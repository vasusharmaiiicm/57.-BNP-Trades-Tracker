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D53488EB-B615-4DCA-B229-6E61033C3183}" xr6:coauthVersionLast="47" xr6:coauthVersionMax="47" xr10:uidLastSave="{00000000-0000-0000-0000-000000000000}"/>
  <bookViews>
    <workbookView xWindow="11424" yWindow="0" windowWidth="11712" windowHeight="12336" tabRatio="916" firstSheet="14" activeTab="17" xr2:uid="{00000000-000D-0000-FFFF-FFFF00000000}"/>
  </bookViews>
  <sheets>
    <sheet name="Summary" sheetId="29" r:id="rId1"/>
    <sheet name="ACAFP Basis" sheetId="32" r:id="rId2"/>
    <sheet name="EU Defence vs Oil" sheetId="2" r:id="rId3"/>
    <sheet name="EU Insurance CDS RV" sheetId="3" r:id="rId4"/>
    <sheet name="Barclays" sheetId="5" r:id="rId5"/>
    <sheet name="KSA RV" sheetId="8" r:id="rId6"/>
    <sheet name="EU Banks CDS RV" sheetId="9" r:id="rId7"/>
    <sheet name="EU ETF Compression" sheetId="10" r:id="rId8"/>
    <sheet name="US ETF Compression" sheetId="12" r:id="rId9"/>
    <sheet name="US IG Cash Curve" sheetId="14" r:id="rId10"/>
    <sheet name="Not_Live_BOFA Basis" sheetId="17" r:id="rId11"/>
    <sheet name="CDX IG vs SPX Puts" sheetId="19" r:id="rId12"/>
    <sheet name="New_CDX IG vs SPX Puts" sheetId="33" r:id="rId13"/>
    <sheet name="ETF Compression" sheetId="24" r:id="rId14"/>
    <sheet name="IHYG vs Xover" sheetId="25" r:id="rId15"/>
    <sheet name="XCCY AT1 HSBC" sheetId="26" r:id="rId16"/>
    <sheet name="XCCY NPS DB" sheetId="28" r:id="rId17"/>
    <sheet name="ACAFP vs SOCGEN" sheetId="31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31" l="1"/>
  <c r="H17" i="31"/>
  <c r="H18" i="31"/>
  <c r="H15" i="31"/>
  <c r="F15" i="31"/>
  <c r="C15" i="31"/>
  <c r="E16" i="31"/>
  <c r="E17" i="31"/>
  <c r="E18" i="31"/>
  <c r="E15" i="31"/>
  <c r="B16" i="31"/>
  <c r="B17" i="31"/>
  <c r="B18" i="31"/>
  <c r="B15" i="31"/>
  <c r="B14" i="28"/>
  <c r="E14" i="28"/>
  <c r="H16" i="25"/>
  <c r="H17" i="25"/>
  <c r="H18" i="25"/>
  <c r="H19" i="25"/>
  <c r="H20" i="25"/>
  <c r="H21" i="25"/>
  <c r="H22" i="25"/>
  <c r="H23" i="25"/>
  <c r="H15" i="25"/>
  <c r="E16" i="25"/>
  <c r="E17" i="25"/>
  <c r="E18" i="25"/>
  <c r="E19" i="25"/>
  <c r="E20" i="25"/>
  <c r="E21" i="25"/>
  <c r="E22" i="25"/>
  <c r="E23" i="25"/>
  <c r="E15" i="25"/>
  <c r="B16" i="25"/>
  <c r="B17" i="25"/>
  <c r="B18" i="25"/>
  <c r="B19" i="25"/>
  <c r="B20" i="25"/>
  <c r="B21" i="25"/>
  <c r="B22" i="25"/>
  <c r="B23" i="25"/>
  <c r="B15" i="25"/>
  <c r="C10" i="19" a="1"/>
  <c r="C10" i="19"/>
  <c r="C10" i="33" a="1"/>
  <c r="C10" i="33"/>
  <c r="H57" i="32" l="1"/>
  <c r="E57" i="32"/>
  <c r="H56" i="32"/>
  <c r="E56" i="32"/>
  <c r="H55" i="32"/>
  <c r="E55" i="32"/>
  <c r="H54" i="32"/>
  <c r="E54" i="32"/>
  <c r="H53" i="32"/>
  <c r="E53" i="32"/>
  <c r="H52" i="32"/>
  <c r="E52" i="32"/>
  <c r="H51" i="32"/>
  <c r="E51" i="32"/>
  <c r="H50" i="32"/>
  <c r="E50" i="32"/>
  <c r="H49" i="32"/>
  <c r="E49" i="32"/>
  <c r="H48" i="32"/>
  <c r="E48" i="32"/>
  <c r="H47" i="32"/>
  <c r="E47" i="32"/>
  <c r="H46" i="32"/>
  <c r="E46" i="32"/>
  <c r="H45" i="32"/>
  <c r="E45" i="32"/>
  <c r="H44" i="32"/>
  <c r="E44" i="32"/>
  <c r="H43" i="32"/>
  <c r="E43" i="32"/>
  <c r="H42" i="32"/>
  <c r="E42" i="32"/>
  <c r="H41" i="32"/>
  <c r="E41" i="32"/>
  <c r="H40" i="32"/>
  <c r="E40" i="32"/>
  <c r="H39" i="32"/>
  <c r="E39" i="32"/>
  <c r="H38" i="32"/>
  <c r="E38" i="32"/>
  <c r="H37" i="32"/>
  <c r="E37" i="32"/>
  <c r="H36" i="32"/>
  <c r="E36" i="32"/>
  <c r="H35" i="32"/>
  <c r="E35" i="32"/>
  <c r="H34" i="32"/>
  <c r="E34" i="32"/>
  <c r="H33" i="32"/>
  <c r="E33" i="32"/>
  <c r="H32" i="32"/>
  <c r="E32" i="32"/>
  <c r="H31" i="32"/>
  <c r="E31" i="32"/>
  <c r="H30" i="32"/>
  <c r="E30" i="32"/>
  <c r="H29" i="32"/>
  <c r="E29" i="32"/>
  <c r="H28" i="32"/>
  <c r="E28" i="32"/>
  <c r="H26" i="32"/>
  <c r="E26" i="32"/>
  <c r="D26" i="32"/>
  <c r="H25" i="32"/>
  <c r="E25" i="32"/>
  <c r="D25" i="32"/>
  <c r="H24" i="32"/>
  <c r="E24" i="32"/>
  <c r="D24" i="32"/>
  <c r="H23" i="32"/>
  <c r="E23" i="32"/>
  <c r="D23" i="32"/>
  <c r="H22" i="32"/>
  <c r="E22" i="32"/>
  <c r="D22" i="32"/>
  <c r="H21" i="32"/>
  <c r="E21" i="32"/>
  <c r="D21" i="32"/>
  <c r="H20" i="32"/>
  <c r="E20" i="32"/>
  <c r="D20" i="32"/>
  <c r="H19" i="32"/>
  <c r="E19" i="32"/>
  <c r="D19" i="32"/>
  <c r="H18" i="32"/>
  <c r="E18" i="32"/>
  <c r="D18" i="32"/>
  <c r="H17" i="32"/>
  <c r="E17" i="32"/>
  <c r="D17" i="32"/>
  <c r="H16" i="32"/>
  <c r="E16" i="32"/>
  <c r="D16" i="32"/>
  <c r="H15" i="32"/>
  <c r="E15" i="32"/>
  <c r="D15" i="32"/>
  <c r="K3" i="32" a="1"/>
  <c r="M3" i="32" a="1"/>
  <c r="C10" i="32" a="1"/>
  <c r="B10" i="32" a="1"/>
  <c r="B10" i="32" l="1"/>
  <c r="C10" i="32"/>
  <c r="M3" i="32"/>
  <c r="K3" i="32"/>
  <c r="F57" i="32"/>
  <c r="G57" i="32" s="1"/>
  <c r="B57" i="32" l="1"/>
  <c r="H5" i="32"/>
  <c r="I6" i="32" s="1"/>
  <c r="F8" i="32" s="1"/>
  <c r="F15" i="32" l="1"/>
  <c r="G15" i="32" s="1"/>
  <c r="I15" i="32" s="1"/>
  <c r="F24" i="32"/>
  <c r="G24" i="32" s="1"/>
  <c r="I24" i="32" s="1"/>
  <c r="F53" i="32"/>
  <c r="G53" i="32" s="1"/>
  <c r="F49" i="32"/>
  <c r="G49" i="32" s="1"/>
  <c r="F45" i="32"/>
  <c r="G45" i="32" s="1"/>
  <c r="F41" i="32"/>
  <c r="G41" i="32" s="1"/>
  <c r="F37" i="32"/>
  <c r="G37" i="32" s="1"/>
  <c r="F29" i="32"/>
  <c r="G29" i="32" s="1"/>
  <c r="F33" i="32"/>
  <c r="G33" i="32" s="1"/>
  <c r="F23" i="32"/>
  <c r="G23" i="32" s="1"/>
  <c r="I23" i="32" s="1"/>
  <c r="F56" i="32"/>
  <c r="G56" i="32" s="1"/>
  <c r="F52" i="32"/>
  <c r="G52" i="32" s="1"/>
  <c r="F48" i="32"/>
  <c r="G48" i="32" s="1"/>
  <c r="F44" i="32"/>
  <c r="G44" i="32" s="1"/>
  <c r="F40" i="32"/>
  <c r="G40" i="32" s="1"/>
  <c r="F36" i="32"/>
  <c r="G36" i="32" s="1"/>
  <c r="F32" i="32"/>
  <c r="G32" i="32" s="1"/>
  <c r="F28" i="32"/>
  <c r="G28" i="32" s="1"/>
  <c r="F18" i="32"/>
  <c r="G18" i="32" s="1"/>
  <c r="I18" i="32" s="1"/>
  <c r="F51" i="32"/>
  <c r="G51" i="32" s="1"/>
  <c r="F43" i="32"/>
  <c r="G43" i="32" s="1"/>
  <c r="F39" i="32"/>
  <c r="G39" i="32" s="1"/>
  <c r="F31" i="32"/>
  <c r="G31" i="32" s="1"/>
  <c r="F16" i="32"/>
  <c r="G16" i="32" s="1"/>
  <c r="I16" i="32" s="1"/>
  <c r="F25" i="32"/>
  <c r="G25" i="32" s="1"/>
  <c r="I25" i="32" s="1"/>
  <c r="F54" i="32"/>
  <c r="G54" i="32" s="1"/>
  <c r="F42" i="32"/>
  <c r="G42" i="32" s="1"/>
  <c r="F34" i="32"/>
  <c r="G34" i="32" s="1"/>
  <c r="F20" i="32"/>
  <c r="G20" i="32" s="1"/>
  <c r="I20" i="32" s="1"/>
  <c r="F19" i="32"/>
  <c r="G19" i="32" s="1"/>
  <c r="I19" i="32" s="1"/>
  <c r="F21" i="32"/>
  <c r="G21" i="32" s="1"/>
  <c r="I21" i="32" s="1"/>
  <c r="F22" i="32"/>
  <c r="G22" i="32" s="1"/>
  <c r="I22" i="32" s="1"/>
  <c r="F17" i="32"/>
  <c r="G17" i="32" s="1"/>
  <c r="I17" i="32" s="1"/>
  <c r="F55" i="32"/>
  <c r="G55" i="32" s="1"/>
  <c r="F47" i="32"/>
  <c r="G47" i="32" s="1"/>
  <c r="F35" i="32"/>
  <c r="G35" i="32" s="1"/>
  <c r="F26" i="32"/>
  <c r="G26" i="32" s="1"/>
  <c r="I26" i="32" s="1"/>
  <c r="F50" i="32"/>
  <c r="G50" i="32" s="1"/>
  <c r="F46" i="32"/>
  <c r="G46" i="32" s="1"/>
  <c r="F38" i="32"/>
  <c r="G38" i="32" s="1"/>
  <c r="F30" i="32"/>
  <c r="G30" i="32" s="1"/>
  <c r="C57" i="32"/>
  <c r="D57" i="32" s="1"/>
  <c r="I57" i="32" s="1"/>
  <c r="B20" i="32" l="1"/>
  <c r="B15" i="32"/>
  <c r="B41" i="32"/>
  <c r="C41" i="32" s="1"/>
  <c r="D41" i="32" s="1"/>
  <c r="I41" i="32" s="1"/>
  <c r="B29" i="32"/>
  <c r="C29" i="32" s="1"/>
  <c r="D29" i="32" s="1"/>
  <c r="I29" i="32" s="1"/>
  <c r="B37" i="32"/>
  <c r="C37" i="32" s="1"/>
  <c r="D37" i="32" s="1"/>
  <c r="I37" i="32" s="1"/>
  <c r="B23" i="32"/>
  <c r="B22" i="32"/>
  <c r="B17" i="32"/>
  <c r="B51" i="32"/>
  <c r="C51" i="32" s="1"/>
  <c r="D51" i="32" s="1"/>
  <c r="I51" i="32" s="1"/>
  <c r="B43" i="32"/>
  <c r="C43" i="32" s="1"/>
  <c r="D43" i="32" s="1"/>
  <c r="I43" i="32" s="1"/>
  <c r="B35" i="32"/>
  <c r="C35" i="32" s="1"/>
  <c r="D35" i="32" s="1"/>
  <c r="I35" i="32" s="1"/>
  <c r="B16" i="32"/>
  <c r="B50" i="32"/>
  <c r="C50" i="32" s="1"/>
  <c r="D50" i="32" s="1"/>
  <c r="I50" i="32" s="1"/>
  <c r="B42" i="32"/>
  <c r="C42" i="32" s="1"/>
  <c r="D42" i="32" s="1"/>
  <c r="I42" i="32" s="1"/>
  <c r="B30" i="32"/>
  <c r="C30" i="32" s="1"/>
  <c r="D30" i="32" s="1"/>
  <c r="I30" i="32" s="1"/>
  <c r="B45" i="32"/>
  <c r="C45" i="32" s="1"/>
  <c r="D45" i="32" s="1"/>
  <c r="I45" i="32" s="1"/>
  <c r="B19" i="32"/>
  <c r="B54" i="32"/>
  <c r="C54" i="32" s="1"/>
  <c r="D54" i="32" s="1"/>
  <c r="I54" i="32" s="1"/>
  <c r="B38" i="32"/>
  <c r="C38" i="32" s="1"/>
  <c r="D38" i="32" s="1"/>
  <c r="I38" i="32" s="1"/>
  <c r="B24" i="32"/>
  <c r="B18" i="32"/>
  <c r="B56" i="32"/>
  <c r="C56" i="32" s="1"/>
  <c r="D56" i="32" s="1"/>
  <c r="I56" i="32" s="1"/>
  <c r="B52" i="32"/>
  <c r="C52" i="32" s="1"/>
  <c r="D52" i="32" s="1"/>
  <c r="I52" i="32" s="1"/>
  <c r="B48" i="32"/>
  <c r="C48" i="32" s="1"/>
  <c r="D48" i="32" s="1"/>
  <c r="I48" i="32" s="1"/>
  <c r="B44" i="32"/>
  <c r="C44" i="32" s="1"/>
  <c r="D44" i="32" s="1"/>
  <c r="I44" i="32" s="1"/>
  <c r="B40" i="32"/>
  <c r="C40" i="32" s="1"/>
  <c r="D40" i="32" s="1"/>
  <c r="I40" i="32" s="1"/>
  <c r="B36" i="32"/>
  <c r="C36" i="32" s="1"/>
  <c r="D36" i="32" s="1"/>
  <c r="I36" i="32" s="1"/>
  <c r="B32" i="32"/>
  <c r="C32" i="32" s="1"/>
  <c r="D32" i="32" s="1"/>
  <c r="I32" i="32" s="1"/>
  <c r="B28" i="32"/>
  <c r="C28" i="32" s="1"/>
  <c r="D28" i="32" s="1"/>
  <c r="I28" i="32" s="1"/>
  <c r="B26" i="32"/>
  <c r="B55" i="32"/>
  <c r="C55" i="32" s="1"/>
  <c r="D55" i="32" s="1"/>
  <c r="I55" i="32" s="1"/>
  <c r="B47" i="32"/>
  <c r="C47" i="32" s="1"/>
  <c r="D47" i="32" s="1"/>
  <c r="I47" i="32" s="1"/>
  <c r="B39" i="32"/>
  <c r="C39" i="32" s="1"/>
  <c r="D39" i="32" s="1"/>
  <c r="I39" i="32" s="1"/>
  <c r="B31" i="32"/>
  <c r="C31" i="32" s="1"/>
  <c r="D31" i="32" s="1"/>
  <c r="I31" i="32" s="1"/>
  <c r="B21" i="32"/>
  <c r="B25" i="32"/>
  <c r="B46" i="32"/>
  <c r="C46" i="32" s="1"/>
  <c r="D46" i="32" s="1"/>
  <c r="I46" i="32" s="1"/>
  <c r="B34" i="32"/>
  <c r="C34" i="32" s="1"/>
  <c r="D34" i="32" s="1"/>
  <c r="I34" i="32" s="1"/>
  <c r="B53" i="32"/>
  <c r="C53" i="32" s="1"/>
  <c r="D53" i="32" s="1"/>
  <c r="I53" i="32" s="1"/>
  <c r="B33" i="32"/>
  <c r="C33" i="32" s="1"/>
  <c r="D33" i="32" s="1"/>
  <c r="I33" i="32" s="1"/>
  <c r="B49" i="32"/>
  <c r="C49" i="32" s="1"/>
  <c r="D49" i="32" s="1"/>
  <c r="I49" i="32" s="1"/>
  <c r="G17" i="31" l="1"/>
  <c r="G18" i="31"/>
  <c r="C17" i="31"/>
  <c r="D17" i="31"/>
  <c r="C18" i="31"/>
  <c r="D18" i="31"/>
  <c r="G21" i="26"/>
  <c r="G22" i="26"/>
  <c r="D21" i="26"/>
  <c r="D22" i="26"/>
  <c r="J22" i="25"/>
  <c r="J23" i="25"/>
  <c r="G22" i="25"/>
  <c r="G23" i="25"/>
  <c r="D22" i="25"/>
  <c r="D23" i="25"/>
  <c r="D16" i="33"/>
  <c r="D43" i="19"/>
  <c r="D44" i="19"/>
  <c r="C30" i="17"/>
  <c r="D30" i="17"/>
  <c r="S39" i="14"/>
  <c r="S40" i="14"/>
  <c r="P39" i="14"/>
  <c r="P40" i="14"/>
  <c r="M39" i="14"/>
  <c r="M40" i="14"/>
  <c r="J39" i="14"/>
  <c r="J40" i="14"/>
  <c r="G39" i="14"/>
  <c r="G40" i="14"/>
  <c r="D39" i="14"/>
  <c r="D40" i="14"/>
  <c r="S47" i="12"/>
  <c r="S48" i="12"/>
  <c r="P47" i="12"/>
  <c r="P48" i="12"/>
  <c r="M47" i="12"/>
  <c r="M48" i="12"/>
  <c r="J47" i="12"/>
  <c r="J48" i="12"/>
  <c r="G47" i="12"/>
  <c r="G48" i="12"/>
  <c r="D47" i="12"/>
  <c r="D48" i="12"/>
  <c r="M31" i="10"/>
  <c r="M32" i="10"/>
  <c r="J31" i="10"/>
  <c r="J32" i="10"/>
  <c r="G31" i="10"/>
  <c r="G32" i="10"/>
  <c r="D31" i="10"/>
  <c r="D32" i="10"/>
  <c r="G33" i="9"/>
  <c r="G34" i="9"/>
  <c r="D33" i="9"/>
  <c r="D34" i="9"/>
  <c r="M35" i="8"/>
  <c r="M36" i="8"/>
  <c r="J35" i="8"/>
  <c r="J36" i="8"/>
  <c r="G35" i="8"/>
  <c r="G36" i="8"/>
  <c r="D35" i="8"/>
  <c r="D36" i="8"/>
  <c r="G36" i="5"/>
  <c r="G37" i="5"/>
  <c r="D36" i="5"/>
  <c r="D37" i="5"/>
  <c r="G39" i="3"/>
  <c r="G40" i="3"/>
  <c r="D39" i="3"/>
  <c r="D40" i="3"/>
  <c r="J40" i="2"/>
  <c r="J41" i="2"/>
  <c r="G40" i="2"/>
  <c r="G41" i="2"/>
  <c r="D40" i="2"/>
  <c r="D41" i="2"/>
  <c r="AB3" i="14" a="1"/>
  <c r="BO3" i="24" a="1"/>
  <c r="T3" i="8" a="1"/>
  <c r="CA2" i="24" a="1"/>
  <c r="L3" i="5" a="1"/>
  <c r="P3" i="8" a="1"/>
  <c r="AB3" i="12" a="1"/>
  <c r="L3" i="26" a="1"/>
  <c r="Q3" i="2" a="1"/>
  <c r="V3" i="10" a="1"/>
  <c r="Y3" i="24" a="1"/>
  <c r="X3" i="14" a="1"/>
  <c r="J3" i="28" a="1"/>
  <c r="Z3" i="12" a="1"/>
  <c r="AA3" i="24" a="1"/>
  <c r="R3" i="8" a="1"/>
  <c r="CQ2" i="24" a="1"/>
  <c r="BK3" i="24" a="1"/>
  <c r="BG3" i="24" a="1"/>
  <c r="O2" i="25" a="1"/>
  <c r="T3" i="10" a="1"/>
  <c r="V3" i="14" a="1"/>
  <c r="L3" i="3" a="1"/>
  <c r="Z3" i="14" a="1"/>
  <c r="CO2" i="24" a="1"/>
  <c r="K3" i="31" a="1"/>
  <c r="J3" i="26" a="1"/>
  <c r="M2" i="25" a="1"/>
  <c r="P3" i="10" a="1"/>
  <c r="Q2" i="25" a="1"/>
  <c r="BM3" i="24" a="1"/>
  <c r="O3" i="2" a="1"/>
  <c r="BI3" i="24" a="1"/>
  <c r="U3" i="24" a="1"/>
  <c r="AD3" i="12" a="1"/>
  <c r="L3" i="28" a="1"/>
  <c r="C10" i="14" a="1"/>
  <c r="J3" i="5" a="1"/>
  <c r="W3" i="24" a="1"/>
  <c r="X3" i="12" a="1"/>
  <c r="V3" i="8" a="1"/>
  <c r="L3" i="9" a="1"/>
  <c r="BE3" i="24" a="1"/>
  <c r="M3" i="2" a="1"/>
  <c r="CC2" i="24" a="1"/>
  <c r="R3" i="10" a="1"/>
  <c r="M3" i="31" a="1"/>
  <c r="V3" i="12" a="1"/>
  <c r="J3" i="3" a="1"/>
  <c r="AD3" i="14" a="1"/>
  <c r="AF3" i="14" a="1"/>
  <c r="J3" i="9" a="1"/>
  <c r="AF3" i="12" a="1"/>
  <c r="B33" i="9" l="1"/>
  <c r="C33" i="9" s="1"/>
  <c r="E40" i="2"/>
  <c r="F40" i="2" s="1"/>
  <c r="K39" i="14"/>
  <c r="L39" i="14" s="1"/>
  <c r="E31" i="10"/>
  <c r="F31" i="10" s="1"/>
  <c r="Q39" i="14"/>
  <c r="R39" i="14" s="1"/>
  <c r="B36" i="5"/>
  <c r="C36" i="5" s="1"/>
  <c r="K31" i="10"/>
  <c r="L31" i="10" s="1"/>
  <c r="B21" i="28"/>
  <c r="H39" i="14"/>
  <c r="I39" i="14" s="1"/>
  <c r="E35" i="8"/>
  <c r="F35" i="8" s="1"/>
  <c r="Q47" i="12"/>
  <c r="R47" i="12" s="1"/>
  <c r="F22" i="25"/>
  <c r="B35" i="8"/>
  <c r="C35" i="8" s="1"/>
  <c r="E47" i="12"/>
  <c r="F47" i="12" s="1"/>
  <c r="E39" i="3"/>
  <c r="F39" i="3" s="1"/>
  <c r="H40" i="2"/>
  <c r="I40" i="2" s="1"/>
  <c r="N39" i="14"/>
  <c r="O39" i="14" s="1"/>
  <c r="C22" i="25"/>
  <c r="B39" i="3"/>
  <c r="C39" i="3" s="1"/>
  <c r="H39" i="3" s="1"/>
  <c r="N47" i="12"/>
  <c r="O47" i="12" s="1"/>
  <c r="F17" i="31"/>
  <c r="K35" i="8"/>
  <c r="L35" i="8" s="1"/>
  <c r="E21" i="26"/>
  <c r="F21" i="26" s="1"/>
  <c r="B39" i="14"/>
  <c r="C39" i="14" s="1"/>
  <c r="K47" i="12"/>
  <c r="L47" i="12" s="1"/>
  <c r="B21" i="26"/>
  <c r="C21" i="26" s="1"/>
  <c r="B40" i="2"/>
  <c r="C40" i="2" s="1"/>
  <c r="H47" i="12"/>
  <c r="I47" i="12" s="1"/>
  <c r="I22" i="25"/>
  <c r="B47" i="12"/>
  <c r="C47" i="12" s="1"/>
  <c r="E39" i="14"/>
  <c r="F39" i="14" s="1"/>
  <c r="H31" i="10"/>
  <c r="I31" i="10" s="1"/>
  <c r="E21" i="28"/>
  <c r="E36" i="5"/>
  <c r="F36" i="5" s="1"/>
  <c r="B31" i="10"/>
  <c r="C31" i="10" s="1"/>
  <c r="E33" i="9"/>
  <c r="F33" i="9" s="1"/>
  <c r="H35" i="8"/>
  <c r="I35" i="8" s="1"/>
  <c r="CG84" i="24"/>
  <c r="CJ84" i="24"/>
  <c r="AM84" i="24"/>
  <c r="AS84" i="24"/>
  <c r="AV84" i="24"/>
  <c r="AJ84" i="24"/>
  <c r="AP84" i="24"/>
  <c r="AG84" i="24"/>
  <c r="B98" i="24"/>
  <c r="K98" i="24"/>
  <c r="H98" i="24"/>
  <c r="E98" i="24"/>
  <c r="V3" i="8"/>
  <c r="M3" i="31"/>
  <c r="R3" i="8"/>
  <c r="W3" i="24"/>
  <c r="R3" i="10"/>
  <c r="Z3" i="14"/>
  <c r="BG3" i="24"/>
  <c r="BK3" i="24"/>
  <c r="BE3" i="24"/>
  <c r="J3" i="9"/>
  <c r="O3" i="2"/>
  <c r="AD3" i="12"/>
  <c r="V3" i="12"/>
  <c r="BI3" i="24"/>
  <c r="BM3" i="24"/>
  <c r="T3" i="8"/>
  <c r="BO3" i="24"/>
  <c r="Z3" i="12"/>
  <c r="V3" i="14"/>
  <c r="L3" i="26"/>
  <c r="L3" i="28"/>
  <c r="AD3" i="14"/>
  <c r="L3" i="5"/>
  <c r="K3" i="31"/>
  <c r="AB3" i="14"/>
  <c r="CO2" i="24"/>
  <c r="J3" i="28"/>
  <c r="AF3" i="14"/>
  <c r="J3" i="5"/>
  <c r="AF3" i="12"/>
  <c r="O2" i="25"/>
  <c r="CQ2" i="24"/>
  <c r="X3" i="14"/>
  <c r="Y3" i="24"/>
  <c r="Q3" i="2"/>
  <c r="T3" i="10"/>
  <c r="M2" i="25"/>
  <c r="J3" i="3"/>
  <c r="U3" i="24"/>
  <c r="P3" i="10"/>
  <c r="L3" i="9"/>
  <c r="CA2" i="24"/>
  <c r="X3" i="12"/>
  <c r="Q2" i="25"/>
  <c r="L3" i="3"/>
  <c r="AA3" i="24"/>
  <c r="V3" i="10"/>
  <c r="AB3" i="12"/>
  <c r="CC2" i="24"/>
  <c r="J3" i="26"/>
  <c r="M3" i="2"/>
  <c r="P3" i="8"/>
  <c r="C10" i="14"/>
  <c r="C10" i="8" a="1"/>
  <c r="T39" i="14" l="1"/>
  <c r="T47" i="12"/>
  <c r="N31" i="10"/>
  <c r="H33" i="9"/>
  <c r="K22" i="25"/>
  <c r="H36" i="5"/>
  <c r="K40" i="2"/>
  <c r="N35" i="8"/>
  <c r="C10" i="8"/>
  <c r="D10" i="2" a="1"/>
  <c r="CG10" i="24" a="1"/>
  <c r="E10" i="8" a="1"/>
  <c r="C10" i="10" a="1"/>
  <c r="AH10" i="24" a="1"/>
  <c r="B10" i="2" a="1"/>
  <c r="E10" i="12" a="1"/>
  <c r="C10" i="28" a="1"/>
  <c r="C10" i="3" a="1"/>
  <c r="D10" i="24" a="1"/>
  <c r="BT10" i="24" a="1"/>
  <c r="B10" i="9" a="1"/>
  <c r="B10" i="12" a="1"/>
  <c r="AK10" i="24" a="1"/>
  <c r="E10" i="14" a="1"/>
  <c r="AJ10" i="24" a="1"/>
  <c r="B10" i="8" a="1"/>
  <c r="D9" i="25" a="1"/>
  <c r="C10" i="5" a="1"/>
  <c r="C10" i="2" a="1"/>
  <c r="D10" i="8" a="1"/>
  <c r="G10" i="14" a="1"/>
  <c r="AG10" i="24" a="1"/>
  <c r="E10" i="24" a="1"/>
  <c r="G10" i="12" a="1"/>
  <c r="CH10" i="24" a="1"/>
  <c r="C10" i="24" a="1"/>
  <c r="B10" i="31" a="1"/>
  <c r="BS10" i="24" a="1"/>
  <c r="C10" i="9" a="1"/>
  <c r="F10" i="12" a="1"/>
  <c r="B10" i="33" a="1"/>
  <c r="B10" i="5" a="1"/>
  <c r="B10" i="28" a="1"/>
  <c r="B9" i="28" a="1"/>
  <c r="D10" i="14" a="1"/>
  <c r="AL10" i="24" a="1"/>
  <c r="C10" i="31" a="1"/>
  <c r="B10" i="3" a="1"/>
  <c r="B10" i="26" a="1"/>
  <c r="C10" i="12" a="1"/>
  <c r="E10" i="10" a="1"/>
  <c r="B9" i="25" a="1"/>
  <c r="AI10" i="24" a="1"/>
  <c r="C10" i="26" a="1"/>
  <c r="B10" i="10" a="1"/>
  <c r="C9" i="25" a="1"/>
  <c r="B10" i="19" a="1"/>
  <c r="D10" i="10" a="1"/>
  <c r="F10" i="14" a="1"/>
  <c r="B10" i="24" a="1"/>
  <c r="D10" i="12" a="1"/>
  <c r="B10" i="14" a="1"/>
  <c r="B9" i="26" a="1"/>
  <c r="B10" i="5" l="1"/>
  <c r="E10" i="10"/>
  <c r="C10" i="12"/>
  <c r="B10" i="9"/>
  <c r="E10" i="12"/>
  <c r="C10" i="10"/>
  <c r="B9" i="28"/>
  <c r="G10" i="14"/>
  <c r="G10" i="12"/>
  <c r="E10" i="14"/>
  <c r="B10" i="24"/>
  <c r="C10" i="31"/>
  <c r="BT10" i="24"/>
  <c r="C10" i="28"/>
  <c r="E10" i="8"/>
  <c r="AL10" i="24"/>
  <c r="C10" i="9"/>
  <c r="D10" i="10"/>
  <c r="D10" i="2"/>
  <c r="C10" i="24"/>
  <c r="B9" i="25"/>
  <c r="D10" i="12"/>
  <c r="C9" i="25"/>
  <c r="AK10" i="24"/>
  <c r="D9" i="25"/>
  <c r="C10" i="26"/>
  <c r="E16" i="33"/>
  <c r="F16" i="33" s="1"/>
  <c r="B10" i="19"/>
  <c r="B10" i="33"/>
  <c r="B16" i="33" s="1"/>
  <c r="C16" i="33" s="1"/>
  <c r="AH10" i="24"/>
  <c r="B10" i="28"/>
  <c r="C10" i="3"/>
  <c r="E10" i="24"/>
  <c r="CG10" i="24"/>
  <c r="AI10" i="24"/>
  <c r="B10" i="14"/>
  <c r="AJ10" i="24"/>
  <c r="AG10" i="24"/>
  <c r="F10" i="14"/>
  <c r="F10" i="12"/>
  <c r="B10" i="3"/>
  <c r="B10" i="8"/>
  <c r="C10" i="2"/>
  <c r="D10" i="24"/>
  <c r="BS10" i="24"/>
  <c r="D10" i="8"/>
  <c r="B10" i="31"/>
  <c r="B10" i="26"/>
  <c r="B10" i="10"/>
  <c r="CH10" i="24"/>
  <c r="B9" i="26"/>
  <c r="H21" i="26" s="1"/>
  <c r="C10" i="5"/>
  <c r="B10" i="2"/>
  <c r="B10" i="12"/>
  <c r="D10" i="14"/>
  <c r="B5" i="33"/>
  <c r="J1" i="33"/>
  <c r="J3" i="33" a="1"/>
  <c r="L3" i="33" a="1"/>
  <c r="C13" i="29" a="1"/>
  <c r="L3" i="33" l="1"/>
  <c r="J3" i="33"/>
  <c r="G16" i="33"/>
  <c r="E15" i="33"/>
  <c r="B15" i="33"/>
  <c r="C15" i="33" s="1"/>
  <c r="C13" i="29"/>
  <c r="D15" i="33"/>
  <c r="F15" i="33" l="1"/>
  <c r="G15" i="33" s="1"/>
  <c r="E13" i="29" a="1"/>
  <c r="E13" i="29" l="1"/>
  <c r="AP83" i="24" l="1"/>
  <c r="AV83" i="24"/>
  <c r="AG83" i="24"/>
  <c r="CG83" i="24"/>
  <c r="AS83" i="24"/>
  <c r="AJ83" i="24"/>
  <c r="C16" i="31" l="1"/>
  <c r="D16" i="31"/>
  <c r="G16" i="31"/>
  <c r="G20" i="26"/>
  <c r="D20" i="26"/>
  <c r="J21" i="25"/>
  <c r="G21" i="25"/>
  <c r="D21" i="25"/>
  <c r="C29" i="17"/>
  <c r="D29" i="17"/>
  <c r="S38" i="14"/>
  <c r="P38" i="14"/>
  <c r="M38" i="14"/>
  <c r="J38" i="14"/>
  <c r="G38" i="14"/>
  <c r="D38" i="14"/>
  <c r="S46" i="12"/>
  <c r="P46" i="12"/>
  <c r="M46" i="12"/>
  <c r="J46" i="12"/>
  <c r="G46" i="12"/>
  <c r="D46" i="12"/>
  <c r="CJ83" i="24" l="1"/>
  <c r="B39" i="2"/>
  <c r="E39" i="2"/>
  <c r="F16" i="31"/>
  <c r="H97" i="24"/>
  <c r="AM83" i="24"/>
  <c r="B38" i="14"/>
  <c r="C38" i="14" s="1"/>
  <c r="N38" i="14"/>
  <c r="O38" i="14" s="1"/>
  <c r="E38" i="3"/>
  <c r="B38" i="3"/>
  <c r="B34" i="8"/>
  <c r="E97" i="24"/>
  <c r="H39" i="2"/>
  <c r="E30" i="10"/>
  <c r="B20" i="26"/>
  <c r="C20" i="26" s="1"/>
  <c r="K38" i="14"/>
  <c r="L38" i="14" s="1"/>
  <c r="B32" i="9"/>
  <c r="H30" i="10"/>
  <c r="E34" i="8"/>
  <c r="E38" i="14"/>
  <c r="F38" i="14" s="1"/>
  <c r="K34" i="8"/>
  <c r="E20" i="26"/>
  <c r="F20" i="26" s="1"/>
  <c r="H46" i="12"/>
  <c r="I46" i="12" s="1"/>
  <c r="B46" i="12"/>
  <c r="C46" i="12" s="1"/>
  <c r="H34" i="8"/>
  <c r="K30" i="10"/>
  <c r="K97" i="24"/>
  <c r="Q46" i="12"/>
  <c r="R46" i="12" s="1"/>
  <c r="F21" i="25"/>
  <c r="Q38" i="14"/>
  <c r="R38" i="14" s="1"/>
  <c r="I21" i="25"/>
  <c r="E20" i="28"/>
  <c r="B97" i="24"/>
  <c r="B20" i="28"/>
  <c r="B30" i="10"/>
  <c r="K46" i="12"/>
  <c r="L46" i="12" s="1"/>
  <c r="H38" i="14"/>
  <c r="I38" i="14" s="1"/>
  <c r="B35" i="5"/>
  <c r="E46" i="12"/>
  <c r="F46" i="12" s="1"/>
  <c r="C21" i="25"/>
  <c r="N46" i="12"/>
  <c r="O46" i="12" s="1"/>
  <c r="E35" i="5"/>
  <c r="E32" i="9"/>
  <c r="K21" i="25" l="1"/>
  <c r="H20" i="26"/>
  <c r="T46" i="12"/>
  <c r="T38" i="14"/>
  <c r="S16" i="12" l="1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35" i="14"/>
  <c r="S36" i="14"/>
  <c r="S37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C16" i="17"/>
  <c r="D16" i="17"/>
  <c r="C17" i="17"/>
  <c r="D17" i="17"/>
  <c r="C18" i="17"/>
  <c r="D18" i="17"/>
  <c r="C19" i="17"/>
  <c r="D19" i="17"/>
  <c r="C20" i="17"/>
  <c r="D20" i="17"/>
  <c r="C21" i="17"/>
  <c r="D21" i="17"/>
  <c r="C22" i="17"/>
  <c r="D22" i="17"/>
  <c r="C23" i="17"/>
  <c r="D23" i="17"/>
  <c r="C24" i="17"/>
  <c r="D24" i="17"/>
  <c r="C25" i="17"/>
  <c r="D25" i="17"/>
  <c r="C26" i="17"/>
  <c r="D26" i="17"/>
  <c r="C27" i="17"/>
  <c r="D27" i="17"/>
  <c r="C28" i="17"/>
  <c r="D28" i="17"/>
  <c r="J16" i="25"/>
  <c r="J17" i="25"/>
  <c r="J18" i="25"/>
  <c r="J19" i="25"/>
  <c r="J20" i="25"/>
  <c r="G16" i="25"/>
  <c r="G17" i="25"/>
  <c r="G18" i="25"/>
  <c r="G19" i="25"/>
  <c r="G20" i="25"/>
  <c r="D16" i="25"/>
  <c r="D17" i="25"/>
  <c r="D18" i="25"/>
  <c r="D19" i="25"/>
  <c r="D20" i="25"/>
  <c r="G16" i="26"/>
  <c r="G17" i="26"/>
  <c r="G18" i="26"/>
  <c r="G19" i="26"/>
  <c r="D16" i="26"/>
  <c r="D17" i="26"/>
  <c r="D18" i="26"/>
  <c r="D19" i="26"/>
  <c r="G15" i="31"/>
  <c r="D15" i="31"/>
  <c r="B37" i="14" l="1"/>
  <c r="C37" i="14" s="1"/>
  <c r="E38" i="2"/>
  <c r="B45" i="12"/>
  <c r="C45" i="12" s="1"/>
  <c r="B19" i="28"/>
  <c r="B31" i="9"/>
  <c r="B34" i="5"/>
  <c r="K33" i="8"/>
  <c r="H38" i="2"/>
  <c r="E37" i="14"/>
  <c r="F37" i="14" s="1"/>
  <c r="B19" i="26"/>
  <c r="E19" i="28"/>
  <c r="Q45" i="12"/>
  <c r="R45" i="12" s="1"/>
  <c r="K37" i="14"/>
  <c r="L37" i="14" s="1"/>
  <c r="E34" i="5"/>
  <c r="E31" i="9"/>
  <c r="B38" i="2"/>
  <c r="Q37" i="14"/>
  <c r="R37" i="14" s="1"/>
  <c r="N45" i="12"/>
  <c r="O45" i="12" s="1"/>
  <c r="E19" i="26"/>
  <c r="F19" i="26" s="1"/>
  <c r="CJ82" i="24"/>
  <c r="AV82" i="24"/>
  <c r="AM82" i="24"/>
  <c r="B96" i="24"/>
  <c r="E96" i="24"/>
  <c r="AS82" i="24"/>
  <c r="E33" i="8"/>
  <c r="I20" i="25"/>
  <c r="H45" i="12"/>
  <c r="I45" i="12" s="1"/>
  <c r="H33" i="8"/>
  <c r="K45" i="12"/>
  <c r="L45" i="12" s="1"/>
  <c r="E45" i="12"/>
  <c r="F45" i="12" s="1"/>
  <c r="AJ82" i="24"/>
  <c r="AP82" i="24"/>
  <c r="CG82" i="24"/>
  <c r="E29" i="10"/>
  <c r="F20" i="25"/>
  <c r="H37" i="14"/>
  <c r="I37" i="14" s="1"/>
  <c r="B29" i="10"/>
  <c r="C20" i="25"/>
  <c r="H96" i="24"/>
  <c r="N37" i="14"/>
  <c r="O37" i="14" s="1"/>
  <c r="H29" i="10"/>
  <c r="K96" i="24"/>
  <c r="K29" i="10"/>
  <c r="B33" i="8"/>
  <c r="AG82" i="24"/>
  <c r="E37" i="3"/>
  <c r="B37" i="3"/>
  <c r="K20" i="25" l="1"/>
  <c r="T45" i="12"/>
  <c r="T37" i="14"/>
  <c r="C19" i="26"/>
  <c r="C17" i="29" a="1"/>
  <c r="H19" i="26" l="1"/>
  <c r="F18" i="31"/>
  <c r="C17" i="29"/>
  <c r="E17" i="29" a="1"/>
  <c r="E17" i="29" l="1"/>
  <c r="E37" i="2" l="1"/>
  <c r="CJ81" i="24"/>
  <c r="E33" i="5"/>
  <c r="B28" i="10"/>
  <c r="C19" i="25"/>
  <c r="F19" i="25"/>
  <c r="B36" i="3"/>
  <c r="K28" i="10"/>
  <c r="I19" i="25"/>
  <c r="H37" i="2"/>
  <c r="E30" i="9"/>
  <c r="E36" i="14"/>
  <c r="F36" i="14" s="1"/>
  <c r="B37" i="2"/>
  <c r="B30" i="9"/>
  <c r="E28" i="10"/>
  <c r="Q44" i="12"/>
  <c r="R44" i="12" s="1"/>
  <c r="AJ81" i="24"/>
  <c r="AP81" i="24"/>
  <c r="AV81" i="24"/>
  <c r="AS81" i="24"/>
  <c r="B95" i="24"/>
  <c r="H95" i="24"/>
  <c r="E95" i="24"/>
  <c r="K95" i="24"/>
  <c r="AG81" i="24"/>
  <c r="B44" i="12"/>
  <c r="C44" i="12" s="1"/>
  <c r="B18" i="26"/>
  <c r="C18" i="26" s="1"/>
  <c r="E32" i="8"/>
  <c r="H32" i="8"/>
  <c r="CG81" i="24"/>
  <c r="E18" i="28"/>
  <c r="K36" i="14"/>
  <c r="L36" i="14" s="1"/>
  <c r="N44" i="12"/>
  <c r="O44" i="12" s="1"/>
  <c r="H36" i="14"/>
  <c r="I36" i="14" s="1"/>
  <c r="B33" i="5"/>
  <c r="K32" i="8"/>
  <c r="E36" i="3"/>
  <c r="Q36" i="14"/>
  <c r="R36" i="14" s="1"/>
  <c r="AM81" i="24"/>
  <c r="H44" i="12"/>
  <c r="I44" i="12" s="1"/>
  <c r="B36" i="14"/>
  <c r="C36" i="14" s="1"/>
  <c r="E18" i="26"/>
  <c r="F18" i="26" s="1"/>
  <c r="B32" i="8"/>
  <c r="N36" i="14"/>
  <c r="O36" i="14" s="1"/>
  <c r="K44" i="12"/>
  <c r="L44" i="12" s="1"/>
  <c r="E44" i="12"/>
  <c r="F44" i="12" s="1"/>
  <c r="B18" i="28"/>
  <c r="H28" i="10"/>
  <c r="T44" i="12" l="1"/>
  <c r="T36" i="14"/>
  <c r="K19" i="25"/>
  <c r="BS85" i="24" l="1"/>
  <c r="H18" i="26"/>
  <c r="BV85" i="24"/>
  <c r="CJ85" i="24"/>
  <c r="CG85" i="24"/>
  <c r="BR71" i="24" l="1"/>
  <c r="BR72" i="24"/>
  <c r="BR73" i="24"/>
  <c r="BR74" i="24"/>
  <c r="BR75" i="24"/>
  <c r="BR76" i="24"/>
  <c r="BR77" i="24"/>
  <c r="BR78" i="24"/>
  <c r="BR79" i="24"/>
  <c r="BR80" i="24"/>
  <c r="BR81" i="24"/>
  <c r="BR82" i="24"/>
  <c r="BR83" i="24"/>
  <c r="BR84" i="24"/>
  <c r="BR85" i="24"/>
  <c r="BS84" i="24" l="1"/>
  <c r="BV84" i="24"/>
  <c r="BS83" i="24"/>
  <c r="BV83" i="24"/>
  <c r="BV82" i="24"/>
  <c r="BS82" i="24"/>
  <c r="BS81" i="24"/>
  <c r="BV81" i="24"/>
  <c r="AM85" i="24"/>
  <c r="E99" i="24"/>
  <c r="AV85" i="24"/>
  <c r="AS85" i="24"/>
  <c r="AP85" i="24"/>
  <c r="K99" i="24"/>
  <c r="H99" i="24"/>
  <c r="AG85" i="24"/>
  <c r="AJ85" i="24"/>
  <c r="B99" i="24"/>
  <c r="H36" i="2"/>
  <c r="K35" i="14"/>
  <c r="L35" i="14" s="1"/>
  <c r="I18" i="25"/>
  <c r="B32" i="5"/>
  <c r="E27" i="10"/>
  <c r="E43" i="12"/>
  <c r="F43" i="12" s="1"/>
  <c r="Q43" i="12"/>
  <c r="R43" i="12" s="1"/>
  <c r="B17" i="26"/>
  <c r="C17" i="26" s="1"/>
  <c r="K27" i="10"/>
  <c r="E17" i="26"/>
  <c r="F17" i="26" s="1"/>
  <c r="E17" i="28"/>
  <c r="B43" i="12"/>
  <c r="C43" i="12" s="1"/>
  <c r="B36" i="2"/>
  <c r="Q35" i="14"/>
  <c r="R35" i="14" s="1"/>
  <c r="H43" i="12"/>
  <c r="I43" i="12" s="1"/>
  <c r="E94" i="24"/>
  <c r="BS80" i="24"/>
  <c r="AG80" i="24"/>
  <c r="BV80" i="24"/>
  <c r="K94" i="24"/>
  <c r="AV80" i="24"/>
  <c r="E31" i="8"/>
  <c r="AS80" i="24"/>
  <c r="N43" i="12"/>
  <c r="O43" i="12" s="1"/>
  <c r="K43" i="12"/>
  <c r="L43" i="12" s="1"/>
  <c r="H35" i="14"/>
  <c r="I35" i="14" s="1"/>
  <c r="K31" i="8"/>
  <c r="AP80" i="24"/>
  <c r="AJ80" i="24"/>
  <c r="B17" i="28"/>
  <c r="E35" i="3"/>
  <c r="B94" i="24"/>
  <c r="B27" i="10"/>
  <c r="C18" i="25"/>
  <c r="B35" i="3"/>
  <c r="E32" i="5"/>
  <c r="E36" i="2"/>
  <c r="N35" i="14"/>
  <c r="O35" i="14" s="1"/>
  <c r="H31" i="8"/>
  <c r="AM80" i="24"/>
  <c r="B35" i="14"/>
  <c r="C35" i="14" s="1"/>
  <c r="F18" i="25"/>
  <c r="H94" i="24"/>
  <c r="H27" i="10"/>
  <c r="E29" i="9"/>
  <c r="B29" i="9"/>
  <c r="E35" i="14"/>
  <c r="F35" i="14" s="1"/>
  <c r="B31" i="8"/>
  <c r="T35" i="14" l="1"/>
  <c r="T43" i="12"/>
  <c r="K18" i="25"/>
  <c r="E36" i="8"/>
  <c r="F36" i="8" s="1"/>
  <c r="B36" i="8" l="1"/>
  <c r="C36" i="8" s="1"/>
  <c r="B41" i="2"/>
  <c r="C41" i="2" s="1"/>
  <c r="H36" i="8"/>
  <c r="I36" i="8" s="1"/>
  <c r="B37" i="5"/>
  <c r="C37" i="5" s="1"/>
  <c r="H17" i="26"/>
  <c r="B40" i="3"/>
  <c r="C40" i="3" s="1"/>
  <c r="E41" i="2"/>
  <c r="F41" i="2" s="1"/>
  <c r="K36" i="8"/>
  <c r="L36" i="8" s="1"/>
  <c r="E40" i="3"/>
  <c r="F40" i="3" s="1"/>
  <c r="E37" i="5"/>
  <c r="F37" i="5" s="1"/>
  <c r="H41" i="2"/>
  <c r="I41" i="2" s="1"/>
  <c r="C2" i="29" a="1"/>
  <c r="C4" i="29" a="1"/>
  <c r="C14" i="29" a="1"/>
  <c r="C11" i="29" a="1"/>
  <c r="C3" i="29" a="1"/>
  <c r="C7" i="29" a="1"/>
  <c r="C15" i="29" a="1"/>
  <c r="C10" i="29" a="1"/>
  <c r="C16" i="29" a="1"/>
  <c r="C8" i="29" a="1"/>
  <c r="C5" i="29" a="1"/>
  <c r="C6" i="29" a="1"/>
  <c r="C9" i="29" a="1"/>
  <c r="C12" i="29" a="1"/>
  <c r="H37" i="5" l="1"/>
  <c r="K41" i="2"/>
  <c r="N36" i="8"/>
  <c r="N34" i="14"/>
  <c r="O34" i="14" s="1"/>
  <c r="E42" i="12"/>
  <c r="F42" i="12" s="1"/>
  <c r="K34" i="14"/>
  <c r="L34" i="14" s="1"/>
  <c r="K42" i="12"/>
  <c r="L42" i="12" s="1"/>
  <c r="E16" i="26"/>
  <c r="F16" i="26" s="1"/>
  <c r="B31" i="5"/>
  <c r="N42" i="12"/>
  <c r="O42" i="12" s="1"/>
  <c r="C17" i="25"/>
  <c r="H34" i="14"/>
  <c r="I34" i="14" s="1"/>
  <c r="AJ79" i="24"/>
  <c r="AP79" i="24"/>
  <c r="AS79" i="24"/>
  <c r="C15" i="29"/>
  <c r="C14" i="29"/>
  <c r="C10" i="29"/>
  <c r="C5" i="29"/>
  <c r="C16" i="29"/>
  <c r="C12" i="29"/>
  <c r="C8" i="29"/>
  <c r="C6" i="29"/>
  <c r="C4" i="29"/>
  <c r="C11" i="29"/>
  <c r="C9" i="29"/>
  <c r="C7" i="29"/>
  <c r="C3" i="29"/>
  <c r="C2" i="29"/>
  <c r="AV79" i="24"/>
  <c r="AG79" i="24"/>
  <c r="B42" i="12"/>
  <c r="C42" i="12" s="1"/>
  <c r="BS79" i="24"/>
  <c r="E30" i="8"/>
  <c r="H35" i="2"/>
  <c r="B30" i="8"/>
  <c r="K30" i="8"/>
  <c r="E93" i="24"/>
  <c r="B26" i="10"/>
  <c r="B93" i="24"/>
  <c r="E26" i="10"/>
  <c r="Q42" i="12"/>
  <c r="R42" i="12" s="1"/>
  <c r="H93" i="24"/>
  <c r="H26" i="10"/>
  <c r="K93" i="24"/>
  <c r="K26" i="10"/>
  <c r="E2" i="29" a="1"/>
  <c r="E2" i="29" l="1"/>
  <c r="B22" i="28" l="1"/>
  <c r="Q34" i="14"/>
  <c r="R34" i="14" s="1"/>
  <c r="H30" i="8"/>
  <c r="F17" i="25"/>
  <c r="E22" i="28" l="1"/>
  <c r="E34" i="14"/>
  <c r="F34" i="14" s="1"/>
  <c r="H42" i="12" l="1"/>
  <c r="AM79" i="24"/>
  <c r="B34" i="3"/>
  <c r="E35" i="2"/>
  <c r="B34" i="14"/>
  <c r="B16" i="26"/>
  <c r="E31" i="5"/>
  <c r="BV79" i="24"/>
  <c r="B35" i="2"/>
  <c r="B28" i="9"/>
  <c r="B16" i="28"/>
  <c r="E16" i="28"/>
  <c r="E34" i="3"/>
  <c r="E28" i="9"/>
  <c r="C5" i="28"/>
  <c r="B5" i="28"/>
  <c r="I17" i="25" l="1"/>
  <c r="K17" i="25" s="1"/>
  <c r="C16" i="26"/>
  <c r="H16" i="26" s="1"/>
  <c r="C34" i="14"/>
  <c r="T34" i="14" s="1"/>
  <c r="I42" i="12"/>
  <c r="T42" i="12" s="1"/>
  <c r="E22" i="26"/>
  <c r="F22" i="26" s="1"/>
  <c r="B22" i="26"/>
  <c r="C22" i="26" s="1"/>
  <c r="AV78" i="24"/>
  <c r="AS78" i="24"/>
  <c r="K41" i="12"/>
  <c r="L41" i="12" s="1"/>
  <c r="E30" i="5"/>
  <c r="AJ78" i="24"/>
  <c r="E92" i="24"/>
  <c r="E25" i="10"/>
  <c r="K29" i="8"/>
  <c r="B25" i="10"/>
  <c r="BS78" i="24"/>
  <c r="E15" i="26"/>
  <c r="H41" i="12"/>
  <c r="I41" i="12" s="1"/>
  <c r="H92" i="24"/>
  <c r="H25" i="10"/>
  <c r="B41" i="12"/>
  <c r="C41" i="12" s="1"/>
  <c r="C16" i="25"/>
  <c r="N41" i="12"/>
  <c r="O41" i="12" s="1"/>
  <c r="H33" i="14"/>
  <c r="I33" i="14" s="1"/>
  <c r="F16" i="25"/>
  <c r="B30" i="5"/>
  <c r="Q33" i="14"/>
  <c r="R33" i="14" s="1"/>
  <c r="E41" i="12"/>
  <c r="F41" i="12" s="1"/>
  <c r="E33" i="3"/>
  <c r="E34" i="2"/>
  <c r="B27" i="9"/>
  <c r="AM78" i="24"/>
  <c r="B33" i="3"/>
  <c r="N33" i="14"/>
  <c r="O33" i="14" s="1"/>
  <c r="I16" i="25"/>
  <c r="H34" i="2"/>
  <c r="B15" i="28"/>
  <c r="E33" i="14"/>
  <c r="F33" i="14" s="1"/>
  <c r="AP78" i="24"/>
  <c r="BV78" i="24"/>
  <c r="B92" i="24"/>
  <c r="B15" i="26"/>
  <c r="E27" i="9"/>
  <c r="AG78" i="24"/>
  <c r="B33" i="14"/>
  <c r="C33" i="14" s="1"/>
  <c r="Q41" i="12"/>
  <c r="R41" i="12" s="1"/>
  <c r="K33" i="14"/>
  <c r="L33" i="14" s="1"/>
  <c r="B29" i="8"/>
  <c r="K92" i="24"/>
  <c r="K25" i="10"/>
  <c r="H29" i="8"/>
  <c r="B34" i="2"/>
  <c r="E15" i="28"/>
  <c r="E29" i="8"/>
  <c r="D21" i="28" l="1"/>
  <c r="D22" i="28"/>
  <c r="C21" i="28"/>
  <c r="C22" i="28"/>
  <c r="G21" i="28"/>
  <c r="G22" i="28"/>
  <c r="F21" i="28"/>
  <c r="F22" i="28"/>
  <c r="F16" i="28"/>
  <c r="G20" i="28"/>
  <c r="F20" i="28"/>
  <c r="D20" i="28"/>
  <c r="C20" i="28"/>
  <c r="G16" i="28"/>
  <c r="G19" i="28"/>
  <c r="G18" i="28"/>
  <c r="G17" i="28"/>
  <c r="F19" i="28"/>
  <c r="F18" i="28"/>
  <c r="F17" i="28"/>
  <c r="D16" i="28"/>
  <c r="D17" i="28"/>
  <c r="D19" i="28"/>
  <c r="D18" i="28"/>
  <c r="C19" i="28"/>
  <c r="C18" i="28"/>
  <c r="C17" i="28"/>
  <c r="C16" i="28"/>
  <c r="K16" i="25"/>
  <c r="T33" i="14"/>
  <c r="T41" i="12"/>
  <c r="H22" i="26"/>
  <c r="G15" i="28"/>
  <c r="D15" i="28"/>
  <c r="H21" i="28" l="1"/>
  <c r="H22" i="28"/>
  <c r="H20" i="28"/>
  <c r="H19" i="28"/>
  <c r="H18" i="28"/>
  <c r="H17" i="28"/>
  <c r="H16" i="28"/>
  <c r="C15" i="28"/>
  <c r="F15" i="28"/>
  <c r="H15" i="28" l="1"/>
  <c r="E16" i="29" a="1"/>
  <c r="E16" i="29" l="1"/>
  <c r="AS77" i="24"/>
  <c r="AV77" i="24"/>
  <c r="AJ77" i="24"/>
  <c r="AP77" i="24"/>
  <c r="AM77" i="24"/>
  <c r="BS77" i="24"/>
  <c r="AG77" i="24"/>
  <c r="BV77" i="24"/>
  <c r="BR70" i="24"/>
  <c r="BR69" i="24"/>
  <c r="BR68" i="24"/>
  <c r="BR67" i="24"/>
  <c r="BR66" i="24"/>
  <c r="BR65" i="24"/>
  <c r="BR64" i="24"/>
  <c r="BR63" i="24"/>
  <c r="BR62" i="24"/>
  <c r="BR61" i="24"/>
  <c r="BR60" i="24"/>
  <c r="BR59" i="24"/>
  <c r="BR58" i="24"/>
  <c r="BR57" i="24"/>
  <c r="BR56" i="24"/>
  <c r="BR55" i="24"/>
  <c r="BR54" i="24"/>
  <c r="BR53" i="24"/>
  <c r="BR52" i="24"/>
  <c r="BR51" i="24"/>
  <c r="BR50" i="24"/>
  <c r="BR49" i="24"/>
  <c r="BR48" i="24"/>
  <c r="BR47" i="24"/>
  <c r="BR46" i="24"/>
  <c r="BR45" i="24"/>
  <c r="BR44" i="24"/>
  <c r="BR43" i="24"/>
  <c r="BR42" i="24"/>
  <c r="BR41" i="24"/>
  <c r="BR40" i="24"/>
  <c r="BR39" i="24"/>
  <c r="BR38" i="24"/>
  <c r="BR37" i="24"/>
  <c r="BR36" i="24"/>
  <c r="BR35" i="24"/>
  <c r="BR34" i="24"/>
  <c r="BR33" i="24"/>
  <c r="BR32" i="24"/>
  <c r="BR31" i="24"/>
  <c r="BR30" i="24"/>
  <c r="BR29" i="24"/>
  <c r="BR28" i="24"/>
  <c r="BR27" i="24"/>
  <c r="BR26" i="24"/>
  <c r="BR25" i="24"/>
  <c r="BR24" i="24"/>
  <c r="BR23" i="24"/>
  <c r="BR22" i="24"/>
  <c r="BR21" i="24"/>
  <c r="BR20" i="24"/>
  <c r="BR19" i="24"/>
  <c r="BR18" i="24"/>
  <c r="BR17" i="24"/>
  <c r="BR16" i="24"/>
  <c r="BR15" i="24"/>
  <c r="BR14" i="24"/>
  <c r="DR13" i="24"/>
  <c r="DQ13" i="24"/>
  <c r="DP13" i="24"/>
  <c r="DJ13" i="24"/>
  <c r="DI13" i="24" l="1"/>
  <c r="J7" i="24" l="1"/>
  <c r="I7" i="24"/>
  <c r="H7" i="24"/>
  <c r="G7" i="24"/>
  <c r="AS6" i="24"/>
  <c r="AR6" i="24"/>
  <c r="AQ6" i="24"/>
  <c r="AP6" i="24"/>
  <c r="AO6" i="24"/>
  <c r="AN6" i="24"/>
  <c r="AL5" i="24" s="1"/>
  <c r="AL6" i="24"/>
  <c r="AK6" i="24"/>
  <c r="AJ6" i="24"/>
  <c r="AH6" i="24"/>
  <c r="CH5" i="24"/>
  <c r="CG5" i="24"/>
  <c r="BT5" i="24"/>
  <c r="BS5" i="24"/>
  <c r="CL84" i="24" l="1"/>
  <c r="CL85" i="24"/>
  <c r="CL83" i="24"/>
  <c r="BU83" i="24"/>
  <c r="BU85" i="24"/>
  <c r="BU84" i="24"/>
  <c r="BX85" i="24"/>
  <c r="BX83" i="24"/>
  <c r="BX84" i="24"/>
  <c r="CI84" i="24"/>
  <c r="CI85" i="24"/>
  <c r="CI83" i="24"/>
  <c r="BU45" i="24"/>
  <c r="BU16" i="24"/>
  <c r="BU52" i="24"/>
  <c r="BU39" i="24"/>
  <c r="BU59" i="24"/>
  <c r="BU28" i="24"/>
  <c r="BU50" i="24"/>
  <c r="BU24" i="24"/>
  <c r="BU26" i="24"/>
  <c r="BU80" i="24"/>
  <c r="BU61" i="24"/>
  <c r="BU79" i="24"/>
  <c r="BU66" i="24"/>
  <c r="BU68" i="24"/>
  <c r="BU17" i="24"/>
  <c r="BU51" i="24"/>
  <c r="BU37" i="24"/>
  <c r="BU69" i="24"/>
  <c r="BU70" i="24"/>
  <c r="BU23" i="24"/>
  <c r="BU21" i="24"/>
  <c r="BU72" i="24"/>
  <c r="BU47" i="24"/>
  <c r="BU49" i="24"/>
  <c r="BU53" i="24"/>
  <c r="BU62" i="24"/>
  <c r="BU32" i="24"/>
  <c r="BU64" i="24"/>
  <c r="BU71" i="24"/>
  <c r="BU67" i="24"/>
  <c r="BU29" i="24"/>
  <c r="BU65" i="24"/>
  <c r="BU81" i="24"/>
  <c r="BU38" i="24"/>
  <c r="BU75" i="24"/>
  <c r="BU44" i="24"/>
  <c r="BU58" i="24"/>
  <c r="BU35" i="24"/>
  <c r="BU20" i="24"/>
  <c r="BU42" i="24"/>
  <c r="BU78" i="24"/>
  <c r="BU25" i="24"/>
  <c r="BU34" i="24"/>
  <c r="BU60" i="24"/>
  <c r="BU27" i="24"/>
  <c r="BU74" i="24"/>
  <c r="BU73" i="24"/>
  <c r="BU63" i="24"/>
  <c r="BU46" i="24"/>
  <c r="BU36" i="24"/>
  <c r="BU18" i="24"/>
  <c r="BU22" i="24"/>
  <c r="BU77" i="24"/>
  <c r="BU43" i="24"/>
  <c r="BU30" i="24"/>
  <c r="BU33" i="24"/>
  <c r="BU48" i="24"/>
  <c r="BU19" i="24"/>
  <c r="BU54" i="24"/>
  <c r="BU76" i="24"/>
  <c r="BU57" i="24"/>
  <c r="BU82" i="24"/>
  <c r="BU40" i="24"/>
  <c r="BU31" i="24"/>
  <c r="BU56" i="24"/>
  <c r="BU55" i="24"/>
  <c r="BU41" i="24"/>
  <c r="CI28" i="24"/>
  <c r="CI60" i="24"/>
  <c r="CI29" i="24"/>
  <c r="CI61" i="24"/>
  <c r="CI68" i="24"/>
  <c r="CI38" i="24"/>
  <c r="CI30" i="24"/>
  <c r="CI62" i="24"/>
  <c r="CI71" i="24"/>
  <c r="CI31" i="24"/>
  <c r="CI63" i="24"/>
  <c r="CI70" i="24"/>
  <c r="CI39" i="24"/>
  <c r="CI32" i="24"/>
  <c r="CI64" i="24"/>
  <c r="CI36" i="24"/>
  <c r="CI33" i="24"/>
  <c r="CI65" i="24"/>
  <c r="CI34" i="24"/>
  <c r="CI66" i="24"/>
  <c r="CI35" i="24"/>
  <c r="CI67" i="24"/>
  <c r="CI37" i="24"/>
  <c r="CI69" i="24"/>
  <c r="CI42" i="24"/>
  <c r="CI74" i="24"/>
  <c r="CI43" i="24"/>
  <c r="CI75" i="24"/>
  <c r="CI44" i="24"/>
  <c r="CI76" i="24"/>
  <c r="CI45" i="24"/>
  <c r="CI77" i="24"/>
  <c r="CI46" i="24"/>
  <c r="CI78" i="24"/>
  <c r="CI16" i="24"/>
  <c r="CI48" i="24"/>
  <c r="CI80" i="24"/>
  <c r="CI17" i="24"/>
  <c r="CI49" i="24"/>
  <c r="CI81" i="24"/>
  <c r="CI18" i="24"/>
  <c r="CI50" i="24"/>
  <c r="CI82" i="24"/>
  <c r="CI19" i="24"/>
  <c r="CI51" i="24"/>
  <c r="CI20" i="24"/>
  <c r="CI52" i="24"/>
  <c r="CI25" i="24"/>
  <c r="CI59" i="24"/>
  <c r="CI72" i="24"/>
  <c r="CI21" i="24"/>
  <c r="CI22" i="24"/>
  <c r="CI23" i="24"/>
  <c r="CI26" i="24"/>
  <c r="CI27" i="24"/>
  <c r="CI40" i="24"/>
  <c r="CI41" i="24"/>
  <c r="CI54" i="24"/>
  <c r="CI56" i="24"/>
  <c r="CI57" i="24"/>
  <c r="CI58" i="24"/>
  <c r="CI73" i="24"/>
  <c r="CI79" i="24"/>
  <c r="CI24" i="24"/>
  <c r="CI47" i="24"/>
  <c r="CI53" i="24"/>
  <c r="CI55" i="24"/>
  <c r="BX78" i="24"/>
  <c r="BX68" i="24"/>
  <c r="BX36" i="24"/>
  <c r="BX38" i="24"/>
  <c r="BX79" i="24"/>
  <c r="BX58" i="24"/>
  <c r="BX42" i="24"/>
  <c r="BX53" i="24"/>
  <c r="BX32" i="24"/>
  <c r="BX55" i="24"/>
  <c r="BX64" i="24"/>
  <c r="BX57" i="24"/>
  <c r="BX60" i="24"/>
  <c r="BX61" i="24"/>
  <c r="BX41" i="24"/>
  <c r="BX66" i="24"/>
  <c r="BX76" i="24"/>
  <c r="BX70" i="24"/>
  <c r="BX22" i="24"/>
  <c r="BX44" i="24"/>
  <c r="BX75" i="24"/>
  <c r="BX56" i="24"/>
  <c r="BX49" i="24"/>
  <c r="BX35" i="24"/>
  <c r="BX28" i="24"/>
  <c r="BX25" i="24"/>
  <c r="BX26" i="24"/>
  <c r="BX27" i="24"/>
  <c r="BX29" i="24"/>
  <c r="BX71" i="24"/>
  <c r="BX77" i="24"/>
  <c r="BX17" i="24"/>
  <c r="BX51" i="24"/>
  <c r="BX74" i="24"/>
  <c r="BX37" i="24"/>
  <c r="BX69" i="24"/>
  <c r="BX18" i="24"/>
  <c r="BX23" i="24"/>
  <c r="BX72" i="24"/>
  <c r="BX21" i="24"/>
  <c r="BX43" i="24"/>
  <c r="BX82" i="24"/>
  <c r="BX73" i="24"/>
  <c r="BX48" i="24"/>
  <c r="BX50" i="24"/>
  <c r="BX80" i="24"/>
  <c r="BX31" i="24"/>
  <c r="BX65" i="24"/>
  <c r="BX39" i="24"/>
  <c r="BX52" i="24"/>
  <c r="BX59" i="24"/>
  <c r="BX47" i="24"/>
  <c r="BX30" i="24"/>
  <c r="BX33" i="24"/>
  <c r="BX19" i="24"/>
  <c r="BX62" i="24"/>
  <c r="BX20" i="24"/>
  <c r="BX54" i="24"/>
  <c r="BX81" i="24"/>
  <c r="BX67" i="24"/>
  <c r="BX63" i="24"/>
  <c r="BX46" i="24"/>
  <c r="BX16" i="24"/>
  <c r="BX24" i="24"/>
  <c r="BX34" i="24"/>
  <c r="BX40" i="24"/>
  <c r="BX45" i="24"/>
  <c r="E5" i="24"/>
  <c r="CL32" i="24"/>
  <c r="CL64" i="24"/>
  <c r="CL33" i="24"/>
  <c r="CL65" i="24"/>
  <c r="CL34" i="24"/>
  <c r="CL66" i="24"/>
  <c r="CL35" i="24"/>
  <c r="CL67" i="24"/>
  <c r="CL36" i="24"/>
  <c r="CL68" i="24"/>
  <c r="CL74" i="24"/>
  <c r="CL37" i="24"/>
  <c r="CL69" i="24"/>
  <c r="CL71" i="24"/>
  <c r="CL38" i="24"/>
  <c r="CL70" i="24"/>
  <c r="CL39" i="24"/>
  <c r="CL40" i="24"/>
  <c r="CL72" i="24"/>
  <c r="CL41" i="24"/>
  <c r="CL73" i="24"/>
  <c r="CL42" i="24"/>
  <c r="CL43" i="24"/>
  <c r="CL75" i="24"/>
  <c r="CL46" i="24"/>
  <c r="CL78" i="24"/>
  <c r="CL47" i="24"/>
  <c r="CL79" i="24"/>
  <c r="CL16" i="24"/>
  <c r="CL48" i="24"/>
  <c r="CL80" i="24"/>
  <c r="CL17" i="24"/>
  <c r="CL49" i="24"/>
  <c r="CL81" i="24"/>
  <c r="CL18" i="24"/>
  <c r="CL50" i="24"/>
  <c r="CL82" i="24"/>
  <c r="CL20" i="24"/>
  <c r="CL52" i="24"/>
  <c r="CL21" i="24"/>
  <c r="CL53" i="24"/>
  <c r="CL22" i="24"/>
  <c r="CL54" i="24"/>
  <c r="CL23" i="24"/>
  <c r="CL55" i="24"/>
  <c r="CL24" i="24"/>
  <c r="CL56" i="24"/>
  <c r="CL62" i="24"/>
  <c r="CL63" i="24"/>
  <c r="CL76" i="24"/>
  <c r="CL77" i="24"/>
  <c r="CL19" i="24"/>
  <c r="CL26" i="24"/>
  <c r="CL27" i="24"/>
  <c r="CL28" i="24"/>
  <c r="CL29" i="24"/>
  <c r="CL30" i="24"/>
  <c r="CL31" i="24"/>
  <c r="CL44" i="24"/>
  <c r="CL45" i="24"/>
  <c r="CL51" i="24"/>
  <c r="CL57" i="24"/>
  <c r="CL58" i="24"/>
  <c r="CL59" i="24"/>
  <c r="CL60" i="24"/>
  <c r="CL61" i="24"/>
  <c r="CL25" i="24"/>
  <c r="B5" i="24"/>
  <c r="C5" i="24"/>
  <c r="D5" i="24"/>
  <c r="AG5" i="24"/>
  <c r="AH5" i="24"/>
  <c r="AI5" i="24"/>
  <c r="AJ5" i="24"/>
  <c r="AK5" i="24"/>
  <c r="AV52" i="24"/>
  <c r="AV75" i="24"/>
  <c r="AV61" i="24"/>
  <c r="AV47" i="24"/>
  <c r="AV64" i="24"/>
  <c r="AV54" i="24"/>
  <c r="AV74" i="24"/>
  <c r="AV55" i="24"/>
  <c r="AV62" i="24"/>
  <c r="AV46" i="24"/>
  <c r="AV21" i="24"/>
  <c r="AV73" i="24"/>
  <c r="AV16" i="24"/>
  <c r="AV24" i="24"/>
  <c r="AV72" i="24"/>
  <c r="AV63" i="24"/>
  <c r="AV30" i="24"/>
  <c r="AV40" i="24"/>
  <c r="AV37" i="24"/>
  <c r="AV68" i="24"/>
  <c r="AV53" i="24"/>
  <c r="AV49" i="24"/>
  <c r="AV44" i="24"/>
  <c r="AV34" i="24"/>
  <c r="AV67" i="24"/>
  <c r="AV57" i="24"/>
  <c r="AV45" i="24"/>
  <c r="AV56" i="24"/>
  <c r="AV48" i="24"/>
  <c r="AV32" i="24"/>
  <c r="AV27" i="24"/>
  <c r="AV35" i="24"/>
  <c r="AV33" i="24"/>
  <c r="AV20" i="24"/>
  <c r="AV41" i="24"/>
  <c r="AV38" i="24"/>
  <c r="AV17" i="24"/>
  <c r="AV15" i="24"/>
  <c r="AV25" i="24"/>
  <c r="AV65" i="24"/>
  <c r="AV58" i="24"/>
  <c r="AV66" i="24"/>
  <c r="AV39" i="24"/>
  <c r="AV31" i="24"/>
  <c r="AV69" i="24"/>
  <c r="AV23" i="24"/>
  <c r="AV42" i="24"/>
  <c r="AV59" i="24"/>
  <c r="AV50" i="24"/>
  <c r="AV70" i="24"/>
  <c r="AV51" i="24"/>
  <c r="AV28" i="24"/>
  <c r="AV29" i="24"/>
  <c r="AV14" i="24"/>
  <c r="AV18" i="24"/>
  <c r="AW18" i="24" s="1"/>
  <c r="AV19" i="24"/>
  <c r="AV22" i="24"/>
  <c r="AV71" i="24"/>
  <c r="AV26" i="24"/>
  <c r="AV76" i="24"/>
  <c r="AV60" i="24"/>
  <c r="AV36" i="24"/>
  <c r="AV43" i="24"/>
  <c r="BU15" i="24"/>
  <c r="BX15" i="24"/>
  <c r="CI15" i="24"/>
  <c r="CL15" i="24"/>
  <c r="AI84" i="24" l="1"/>
  <c r="AI85" i="24"/>
  <c r="AI83" i="24"/>
  <c r="AI15" i="24"/>
  <c r="AO84" i="24"/>
  <c r="AO85" i="24"/>
  <c r="AO83" i="24"/>
  <c r="J99" i="24"/>
  <c r="J98" i="24"/>
  <c r="D99" i="24"/>
  <c r="D98" i="24"/>
  <c r="D15" i="24"/>
  <c r="AO15" i="24"/>
  <c r="AX85" i="24"/>
  <c r="AX84" i="24"/>
  <c r="AW84" i="24"/>
  <c r="AW85" i="24"/>
  <c r="AW19" i="24"/>
  <c r="AW34" i="24"/>
  <c r="AX83" i="24"/>
  <c r="AW83" i="24"/>
  <c r="AO16" i="24"/>
  <c r="AO48" i="24"/>
  <c r="AO80" i="24"/>
  <c r="AO17" i="24"/>
  <c r="AO49" i="24"/>
  <c r="AO81" i="24"/>
  <c r="AO18" i="24"/>
  <c r="AO50" i="24"/>
  <c r="AO82" i="24"/>
  <c r="AO23" i="24"/>
  <c r="AO19" i="24"/>
  <c r="AO51" i="24"/>
  <c r="AO25" i="24"/>
  <c r="AO20" i="24"/>
  <c r="AO52" i="24"/>
  <c r="AO57" i="24"/>
  <c r="AO26" i="24"/>
  <c r="AO21" i="24"/>
  <c r="AO53" i="24"/>
  <c r="AO56" i="24"/>
  <c r="AO22" i="24"/>
  <c r="AO54" i="24"/>
  <c r="AO55" i="24"/>
  <c r="AO24" i="24"/>
  <c r="AO58" i="24"/>
  <c r="AO27" i="24"/>
  <c r="AO59" i="24"/>
  <c r="AO30" i="24"/>
  <c r="AO62" i="24"/>
  <c r="AO31" i="24"/>
  <c r="AO63" i="24"/>
  <c r="AO32" i="24"/>
  <c r="AO64" i="24"/>
  <c r="AO33" i="24"/>
  <c r="AO65" i="24"/>
  <c r="AO34" i="24"/>
  <c r="AO36" i="24"/>
  <c r="AO68" i="24"/>
  <c r="AO37" i="24"/>
  <c r="AO69" i="24"/>
  <c r="AO38" i="24"/>
  <c r="AO70" i="24"/>
  <c r="AO39" i="24"/>
  <c r="AO71" i="24"/>
  <c r="AO40" i="24"/>
  <c r="AO72" i="24"/>
  <c r="AO43" i="24"/>
  <c r="AO74" i="24"/>
  <c r="AO35" i="24"/>
  <c r="AO66" i="24"/>
  <c r="AO67" i="24"/>
  <c r="AO41" i="24"/>
  <c r="AO42" i="24"/>
  <c r="AO61" i="24"/>
  <c r="AO73" i="24"/>
  <c r="AO75" i="24"/>
  <c r="AO77" i="24"/>
  <c r="AO79" i="24"/>
  <c r="AO28" i="24"/>
  <c r="AO29" i="24"/>
  <c r="AO60" i="24"/>
  <c r="AO44" i="24"/>
  <c r="AO45" i="24"/>
  <c r="AO46" i="24"/>
  <c r="AO76" i="24"/>
  <c r="AO47" i="24"/>
  <c r="AO78" i="24"/>
  <c r="J97" i="24"/>
  <c r="J40" i="24"/>
  <c r="J72" i="24"/>
  <c r="J47" i="24"/>
  <c r="J82" i="24"/>
  <c r="J51" i="24"/>
  <c r="J41" i="24"/>
  <c r="J73" i="24"/>
  <c r="J48" i="24"/>
  <c r="J49" i="24"/>
  <c r="J42" i="24"/>
  <c r="J74" i="24"/>
  <c r="J50" i="24"/>
  <c r="J19" i="24"/>
  <c r="J43" i="24"/>
  <c r="J75" i="24"/>
  <c r="J80" i="24"/>
  <c r="J44" i="24"/>
  <c r="J76" i="24"/>
  <c r="J79" i="24"/>
  <c r="J45" i="24"/>
  <c r="J77" i="24"/>
  <c r="J46" i="24"/>
  <c r="J78" i="24"/>
  <c r="J16" i="24"/>
  <c r="J17" i="24"/>
  <c r="J81" i="24"/>
  <c r="J18" i="24"/>
  <c r="J83" i="24"/>
  <c r="J22" i="24"/>
  <c r="J54" i="24"/>
  <c r="J86" i="24"/>
  <c r="J23" i="24"/>
  <c r="J55" i="24"/>
  <c r="J87" i="24"/>
  <c r="J24" i="24"/>
  <c r="J56" i="24"/>
  <c r="J88" i="24"/>
  <c r="J25" i="24"/>
  <c r="J57" i="24"/>
  <c r="J89" i="24"/>
  <c r="J28" i="24"/>
  <c r="J60" i="24"/>
  <c r="J92" i="24"/>
  <c r="J29" i="24"/>
  <c r="J61" i="24"/>
  <c r="J93" i="24"/>
  <c r="J30" i="24"/>
  <c r="J62" i="24"/>
  <c r="J94" i="24"/>
  <c r="J31" i="24"/>
  <c r="J63" i="24"/>
  <c r="J95" i="24"/>
  <c r="J53" i="24"/>
  <c r="J65" i="24"/>
  <c r="J34" i="24"/>
  <c r="J58" i="24"/>
  <c r="J20" i="24"/>
  <c r="J59" i="24"/>
  <c r="J64" i="24"/>
  <c r="J68" i="24"/>
  <c r="J70" i="24"/>
  <c r="J36" i="24"/>
  <c r="J38" i="24"/>
  <c r="J39" i="24"/>
  <c r="J52" i="24"/>
  <c r="J67" i="24"/>
  <c r="J90" i="24"/>
  <c r="J66" i="24"/>
  <c r="J71" i="24"/>
  <c r="J84" i="24"/>
  <c r="J96" i="24"/>
  <c r="J27" i="24"/>
  <c r="J32" i="24"/>
  <c r="J69" i="24"/>
  <c r="J85" i="24"/>
  <c r="J35" i="24"/>
  <c r="J33" i="24"/>
  <c r="J91" i="24"/>
  <c r="J37" i="24"/>
  <c r="J21" i="24"/>
  <c r="J26" i="24"/>
  <c r="AI44" i="24"/>
  <c r="AI76" i="24"/>
  <c r="AI45" i="24"/>
  <c r="AI77" i="24"/>
  <c r="AI22" i="24"/>
  <c r="AI46" i="24"/>
  <c r="AI78" i="24"/>
  <c r="AI53" i="24"/>
  <c r="AI47" i="24"/>
  <c r="AI79" i="24"/>
  <c r="AI19" i="24"/>
  <c r="AI54" i="24"/>
  <c r="AI23" i="24"/>
  <c r="AI16" i="24"/>
  <c r="AI48" i="24"/>
  <c r="AI80" i="24"/>
  <c r="AI52" i="24"/>
  <c r="AI17" i="24"/>
  <c r="AI49" i="24"/>
  <c r="AI81" i="24"/>
  <c r="AI51" i="24"/>
  <c r="AI18" i="24"/>
  <c r="AI50" i="24"/>
  <c r="AI82" i="24"/>
  <c r="AI20" i="24"/>
  <c r="AI21" i="24"/>
  <c r="AI55" i="24"/>
  <c r="AI26" i="24"/>
  <c r="AI58" i="24"/>
  <c r="AI27" i="24"/>
  <c r="AI59" i="24"/>
  <c r="AI28" i="24"/>
  <c r="AI60" i="24"/>
  <c r="AI29" i="24"/>
  <c r="AI61" i="24"/>
  <c r="AI32" i="24"/>
  <c r="AI64" i="24"/>
  <c r="AI33" i="24"/>
  <c r="AI65" i="24"/>
  <c r="AI34" i="24"/>
  <c r="AI66" i="24"/>
  <c r="AI35" i="24"/>
  <c r="AI67" i="24"/>
  <c r="AI36" i="24"/>
  <c r="AI68" i="24"/>
  <c r="AI31" i="24"/>
  <c r="AI43" i="24"/>
  <c r="AI37" i="24"/>
  <c r="AI39" i="24"/>
  <c r="AI62" i="24"/>
  <c r="AI38" i="24"/>
  <c r="AI40" i="24"/>
  <c r="AI63" i="24"/>
  <c r="AI25" i="24"/>
  <c r="AI41" i="24"/>
  <c r="AI42" i="24"/>
  <c r="AI57" i="24"/>
  <c r="AI69" i="24"/>
  <c r="AI70" i="24"/>
  <c r="AI73" i="24"/>
  <c r="AI74" i="24"/>
  <c r="AI24" i="24"/>
  <c r="AI30" i="24"/>
  <c r="AI56" i="24"/>
  <c r="AI71" i="24"/>
  <c r="AI72" i="24"/>
  <c r="AI75" i="24"/>
  <c r="D97" i="24"/>
  <c r="D23" i="24"/>
  <c r="D55" i="24"/>
  <c r="D87" i="24"/>
  <c r="D95" i="24"/>
  <c r="D64" i="24"/>
  <c r="D24" i="24"/>
  <c r="D56" i="24"/>
  <c r="D88" i="24"/>
  <c r="D62" i="24"/>
  <c r="D34" i="24"/>
  <c r="D25" i="24"/>
  <c r="D57" i="24"/>
  <c r="D89" i="24"/>
  <c r="D31" i="24"/>
  <c r="D26" i="24"/>
  <c r="D58" i="24"/>
  <c r="D90" i="24"/>
  <c r="D27" i="24"/>
  <c r="D59" i="24"/>
  <c r="D91" i="24"/>
  <c r="D65" i="24"/>
  <c r="D66" i="24"/>
  <c r="D28" i="24"/>
  <c r="D60" i="24"/>
  <c r="D92" i="24"/>
  <c r="D32" i="24"/>
  <c r="D29" i="24"/>
  <c r="D61" i="24"/>
  <c r="D93" i="24"/>
  <c r="D30" i="24"/>
  <c r="D94" i="24"/>
  <c r="D63" i="24"/>
  <c r="D96" i="24"/>
  <c r="D33" i="24"/>
  <c r="D37" i="24"/>
  <c r="D69" i="24"/>
  <c r="D38" i="24"/>
  <c r="D70" i="24"/>
  <c r="D39" i="24"/>
  <c r="D71" i="24"/>
  <c r="D40" i="24"/>
  <c r="D72" i="24"/>
  <c r="D43" i="24"/>
  <c r="D75" i="24"/>
  <c r="D44" i="24"/>
  <c r="D76" i="24"/>
  <c r="D45" i="24"/>
  <c r="D77" i="24"/>
  <c r="D46" i="24"/>
  <c r="D78" i="24"/>
  <c r="D52" i="24"/>
  <c r="D53" i="24"/>
  <c r="D54" i="24"/>
  <c r="D67" i="24"/>
  <c r="D73" i="24"/>
  <c r="D81" i="24"/>
  <c r="D84" i="24"/>
  <c r="D85" i="24"/>
  <c r="D16" i="24"/>
  <c r="D68" i="24"/>
  <c r="D83" i="24"/>
  <c r="D74" i="24"/>
  <c r="D48" i="24"/>
  <c r="D79" i="24"/>
  <c r="D82" i="24"/>
  <c r="D19" i="24"/>
  <c r="D47" i="24"/>
  <c r="D51" i="24"/>
  <c r="D17" i="24"/>
  <c r="D20" i="24"/>
  <c r="D80" i="24"/>
  <c r="D18" i="24"/>
  <c r="D35" i="24"/>
  <c r="D41" i="24"/>
  <c r="D49" i="24"/>
  <c r="D50" i="24"/>
  <c r="D22" i="24"/>
  <c r="D86" i="24"/>
  <c r="D21" i="24"/>
  <c r="D36" i="24"/>
  <c r="D42" i="24"/>
  <c r="AW44" i="24"/>
  <c r="AW36" i="24"/>
  <c r="AW72" i="24"/>
  <c r="AW24" i="24"/>
  <c r="AW53" i="24"/>
  <c r="AW40" i="24"/>
  <c r="AW42" i="24"/>
  <c r="AW16" i="24"/>
  <c r="AW49" i="24"/>
  <c r="AW51" i="24"/>
  <c r="AW30" i="24"/>
  <c r="AW31" i="24"/>
  <c r="AW73" i="24"/>
  <c r="AW29" i="24"/>
  <c r="AW37" i="24"/>
  <c r="AW59" i="24"/>
  <c r="AW69" i="24"/>
  <c r="AW66" i="24"/>
  <c r="AW62" i="24"/>
  <c r="AX24" i="24"/>
  <c r="AX40" i="24"/>
  <c r="AX56" i="24"/>
  <c r="AX72" i="24"/>
  <c r="AX25" i="24"/>
  <c r="AX41" i="24"/>
  <c r="AX57" i="24"/>
  <c r="AX73" i="24"/>
  <c r="AX26" i="24"/>
  <c r="AX42" i="24"/>
  <c r="AX58" i="24"/>
  <c r="AX74" i="24"/>
  <c r="AX28" i="24"/>
  <c r="AX44" i="24"/>
  <c r="AX60" i="24"/>
  <c r="AX76" i="24"/>
  <c r="AX31" i="24"/>
  <c r="AX47" i="24"/>
  <c r="AX63" i="24"/>
  <c r="AX79" i="24"/>
  <c r="AX16" i="24"/>
  <c r="AX32" i="24"/>
  <c r="AX48" i="24"/>
  <c r="AX64" i="24"/>
  <c r="AX80" i="24"/>
  <c r="AX17" i="24"/>
  <c r="AX33" i="24"/>
  <c r="AX49" i="24"/>
  <c r="AX65" i="24"/>
  <c r="AX81" i="24"/>
  <c r="AX18" i="24"/>
  <c r="AX34" i="24"/>
  <c r="AX50" i="24"/>
  <c r="AX66" i="24"/>
  <c r="AX82" i="24"/>
  <c r="AX45" i="24"/>
  <c r="AX20" i="24"/>
  <c r="AX21" i="24"/>
  <c r="AX75" i="24"/>
  <c r="AX51" i="24"/>
  <c r="AX22" i="24"/>
  <c r="AX55" i="24"/>
  <c r="AX29" i="24"/>
  <c r="AX30" i="24"/>
  <c r="AX36" i="24"/>
  <c r="AX61" i="24"/>
  <c r="AX68" i="24"/>
  <c r="AX27" i="24"/>
  <c r="AX69" i="24"/>
  <c r="AX70" i="24"/>
  <c r="AX35" i="24"/>
  <c r="AX43" i="24"/>
  <c r="AX59" i="24"/>
  <c r="AX67" i="24"/>
  <c r="AX62" i="24"/>
  <c r="AX71" i="24"/>
  <c r="AX23" i="24"/>
  <c r="AX52" i="24"/>
  <c r="AX53" i="24"/>
  <c r="AX78" i="24"/>
  <c r="AX39" i="24"/>
  <c r="AX54" i="24"/>
  <c r="AX77" i="24"/>
  <c r="AX19" i="24"/>
  <c r="AX37" i="24"/>
  <c r="AX46" i="24"/>
  <c r="AX38" i="24"/>
  <c r="AW82" i="24"/>
  <c r="AW81" i="24"/>
  <c r="AW80" i="24"/>
  <c r="AW79" i="24"/>
  <c r="AW78" i="24"/>
  <c r="AW77" i="24"/>
  <c r="AW68" i="24"/>
  <c r="AW50" i="24"/>
  <c r="AW23" i="24"/>
  <c r="AW39" i="24"/>
  <c r="AW46" i="24"/>
  <c r="AW65" i="24"/>
  <c r="AW55" i="24"/>
  <c r="AW28" i="24"/>
  <c r="AW70" i="24"/>
  <c r="AW63" i="24"/>
  <c r="AW21" i="24"/>
  <c r="AW58" i="24"/>
  <c r="AW25" i="24"/>
  <c r="AW74" i="24"/>
  <c r="AW75" i="24"/>
  <c r="AW64" i="24"/>
  <c r="AW41" i="24"/>
  <c r="AW52" i="24"/>
  <c r="AW54" i="24"/>
  <c r="AW38" i="24"/>
  <c r="AW61" i="24"/>
  <c r="AW35" i="24"/>
  <c r="AW17" i="24"/>
  <c r="AW47" i="24"/>
  <c r="AW20" i="24"/>
  <c r="AW33" i="24"/>
  <c r="AW43" i="24"/>
  <c r="AW27" i="24"/>
  <c r="AW32" i="24"/>
  <c r="AW60" i="24"/>
  <c r="AW48" i="24"/>
  <c r="AW76" i="24"/>
  <c r="AW56" i="24"/>
  <c r="AW26" i="24"/>
  <c r="AW45" i="24"/>
  <c r="AW71" i="24"/>
  <c r="AW57" i="24"/>
  <c r="AW22" i="24"/>
  <c r="AW67" i="24"/>
  <c r="J15" i="24"/>
  <c r="AS57" i="24"/>
  <c r="AS66" i="24"/>
  <c r="AS52" i="24"/>
  <c r="AS69" i="24"/>
  <c r="AS59" i="24"/>
  <c r="AS73" i="24"/>
  <c r="AS65" i="24"/>
  <c r="AS53" i="24"/>
  <c r="AS70" i="24"/>
  <c r="AS45" i="24"/>
  <c r="AS44" i="24"/>
  <c r="AS68" i="24"/>
  <c r="AS49" i="24"/>
  <c r="AS26" i="24"/>
  <c r="AS58" i="24"/>
  <c r="AS35" i="24"/>
  <c r="AS61" i="24"/>
  <c r="AS21" i="24"/>
  <c r="AS42" i="24"/>
  <c r="AS25" i="24"/>
  <c r="AS47" i="24"/>
  <c r="AS33" i="24"/>
  <c r="AS63" i="24"/>
  <c r="AS32" i="24"/>
  <c r="AS62" i="24"/>
  <c r="AS60" i="24"/>
  <c r="AS43" i="24"/>
  <c r="AS74" i="24"/>
  <c r="AS64" i="24"/>
  <c r="AS46" i="24"/>
  <c r="AS36" i="24"/>
  <c r="AS22" i="24"/>
  <c r="AS34" i="24"/>
  <c r="AS30" i="24"/>
  <c r="AS76" i="24"/>
  <c r="AS24" i="24"/>
  <c r="AS23" i="24"/>
  <c r="AS54" i="24"/>
  <c r="AS31" i="24"/>
  <c r="AS48" i="24"/>
  <c r="AS71" i="24"/>
  <c r="AS51" i="24"/>
  <c r="AS39" i="24"/>
  <c r="AS72" i="24"/>
  <c r="AS38" i="24"/>
  <c r="AS20" i="24"/>
  <c r="AS55" i="24"/>
  <c r="AS17" i="24"/>
  <c r="AS56" i="24"/>
  <c r="AS19" i="24"/>
  <c r="AS16" i="24"/>
  <c r="AS27" i="24"/>
  <c r="AS28" i="24"/>
  <c r="AS14" i="24"/>
  <c r="AS29" i="24"/>
  <c r="AS75" i="24"/>
  <c r="AS50" i="24"/>
  <c r="AS18" i="24"/>
  <c r="AS67" i="24"/>
  <c r="AS40" i="24"/>
  <c r="AS37" i="24"/>
  <c r="AS41" i="24"/>
  <c r="AS15" i="24"/>
  <c r="AX15" i="24"/>
  <c r="AW15" i="24"/>
  <c r="AU84" i="24" l="1"/>
  <c r="AU85" i="24"/>
  <c r="AT84" i="24"/>
  <c r="AT85" i="24"/>
  <c r="AU83" i="24"/>
  <c r="AT83" i="24"/>
  <c r="AT18" i="24"/>
  <c r="AT32" i="24"/>
  <c r="AT50" i="24"/>
  <c r="AT75" i="24"/>
  <c r="AT29" i="24"/>
  <c r="AT60" i="24"/>
  <c r="AT62" i="24"/>
  <c r="AT63" i="24"/>
  <c r="AT27" i="24"/>
  <c r="AT70" i="24"/>
  <c r="AT16" i="24"/>
  <c r="AT37" i="24"/>
  <c r="AT64" i="24"/>
  <c r="AT40" i="24"/>
  <c r="AT74" i="24"/>
  <c r="AT67" i="24"/>
  <c r="AT43" i="24"/>
  <c r="AT28" i="24"/>
  <c r="AT56" i="24"/>
  <c r="AT47" i="24"/>
  <c r="AT17" i="24"/>
  <c r="AT49" i="24"/>
  <c r="AT42" i="24"/>
  <c r="AT68" i="24"/>
  <c r="AT44" i="24"/>
  <c r="AT20" i="24"/>
  <c r="AT53" i="24"/>
  <c r="AT65" i="24"/>
  <c r="AT33" i="24"/>
  <c r="AT39" i="24"/>
  <c r="AT48" i="24"/>
  <c r="AT54" i="24"/>
  <c r="AT73" i="24"/>
  <c r="AT61" i="24"/>
  <c r="AT31" i="24"/>
  <c r="AT23" i="24"/>
  <c r="AT59" i="24"/>
  <c r="AU20" i="24"/>
  <c r="AU36" i="24"/>
  <c r="AU52" i="24"/>
  <c r="AU68" i="24"/>
  <c r="AU21" i="24"/>
  <c r="AU37" i="24"/>
  <c r="AU53" i="24"/>
  <c r="AU69" i="24"/>
  <c r="AU22" i="24"/>
  <c r="AU38" i="24"/>
  <c r="AU54" i="24"/>
  <c r="AU70" i="24"/>
  <c r="AU24" i="24"/>
  <c r="AU40" i="24"/>
  <c r="AU56" i="24"/>
  <c r="AU72" i="24"/>
  <c r="AU27" i="24"/>
  <c r="AU43" i="24"/>
  <c r="AU59" i="24"/>
  <c r="AU75" i="24"/>
  <c r="AU28" i="24"/>
  <c r="AU44" i="24"/>
  <c r="AU60" i="24"/>
  <c r="AU76" i="24"/>
  <c r="AU29" i="24"/>
  <c r="AU45" i="24"/>
  <c r="AU61" i="24"/>
  <c r="AU77" i="24"/>
  <c r="AU30" i="24"/>
  <c r="AU46" i="24"/>
  <c r="AU62" i="24"/>
  <c r="AU78" i="24"/>
  <c r="AU32" i="24"/>
  <c r="AU57" i="24"/>
  <c r="AU58" i="24"/>
  <c r="AU34" i="24"/>
  <c r="AU63" i="24"/>
  <c r="AU16" i="24"/>
  <c r="AU41" i="24"/>
  <c r="AU17" i="24"/>
  <c r="AU42" i="24"/>
  <c r="AU47" i="24"/>
  <c r="AU19" i="24"/>
  <c r="AU80" i="24"/>
  <c r="AU39" i="24"/>
  <c r="AU81" i="24"/>
  <c r="AU48" i="24"/>
  <c r="AU82" i="24"/>
  <c r="AU18" i="24"/>
  <c r="AU55" i="24"/>
  <c r="AU49" i="24"/>
  <c r="AU50" i="24"/>
  <c r="AU51" i="24"/>
  <c r="AU66" i="24"/>
  <c r="AU67" i="24"/>
  <c r="AU74" i="24"/>
  <c r="AU79" i="24"/>
  <c r="AU71" i="24"/>
  <c r="AU65" i="24"/>
  <c r="AU23" i="24"/>
  <c r="AU35" i="24"/>
  <c r="AU64" i="24"/>
  <c r="AU25" i="24"/>
  <c r="AU26" i="24"/>
  <c r="AU31" i="24"/>
  <c r="AU33" i="24"/>
  <c r="AU73" i="24"/>
  <c r="AT82" i="24"/>
  <c r="AT81" i="24"/>
  <c r="AT80" i="24"/>
  <c r="AT79" i="24"/>
  <c r="AT78" i="24"/>
  <c r="AT77" i="24"/>
  <c r="AT19" i="24"/>
  <c r="AT38" i="24"/>
  <c r="AT71" i="24"/>
  <c r="AT24" i="24"/>
  <c r="AT69" i="24"/>
  <c r="AT55" i="24"/>
  <c r="AT76" i="24"/>
  <c r="AT52" i="24"/>
  <c r="AT72" i="24"/>
  <c r="AT30" i="24"/>
  <c r="AT66" i="24"/>
  <c r="AT35" i="24"/>
  <c r="AT45" i="24"/>
  <c r="AT34" i="24"/>
  <c r="AT57" i="24"/>
  <c r="AT58" i="24"/>
  <c r="AT51" i="24"/>
  <c r="AT22" i="24"/>
  <c r="AT21" i="24"/>
  <c r="AT36" i="24"/>
  <c r="AT25" i="24"/>
  <c r="AT26" i="24"/>
  <c r="AT41" i="24"/>
  <c r="AT46" i="24"/>
  <c r="AT15" i="24"/>
  <c r="AP62" i="24"/>
  <c r="AP76" i="24"/>
  <c r="AP71" i="24"/>
  <c r="AP57" i="24"/>
  <c r="AP64" i="24"/>
  <c r="AP52" i="24"/>
  <c r="AP51" i="24"/>
  <c r="AP73" i="24"/>
  <c r="AP61" i="24"/>
  <c r="AP43" i="24"/>
  <c r="AP42" i="24"/>
  <c r="AP69" i="24"/>
  <c r="AP36" i="24"/>
  <c r="AP31" i="24"/>
  <c r="AP63" i="24"/>
  <c r="AP75" i="24"/>
  <c r="AP55" i="24"/>
  <c r="AP68" i="24"/>
  <c r="AP49" i="24"/>
  <c r="AP44" i="24"/>
  <c r="AP26" i="24"/>
  <c r="AP37" i="24"/>
  <c r="AP74" i="24"/>
  <c r="AP58" i="24"/>
  <c r="AP40" i="24"/>
  <c r="AP72" i="24"/>
  <c r="AP38" i="24"/>
  <c r="AP23" i="24"/>
  <c r="AP67" i="24"/>
  <c r="AP53" i="24"/>
  <c r="AP16" i="24"/>
  <c r="AP35" i="24"/>
  <c r="AP28" i="24"/>
  <c r="AP20" i="24"/>
  <c r="AP54" i="24"/>
  <c r="AP41" i="24"/>
  <c r="AP48" i="24"/>
  <c r="AP60" i="24"/>
  <c r="AP27" i="24"/>
  <c r="AP39" i="24"/>
  <c r="AP70" i="24"/>
  <c r="AP56" i="24"/>
  <c r="AP29" i="24"/>
  <c r="AP25" i="24"/>
  <c r="AP22" i="24"/>
  <c r="AP59" i="24"/>
  <c r="AP45" i="24"/>
  <c r="AP34" i="24"/>
  <c r="AP66" i="24"/>
  <c r="AP47" i="24"/>
  <c r="AP17" i="24"/>
  <c r="AP65" i="24"/>
  <c r="AP15" i="24"/>
  <c r="AP19" i="24"/>
  <c r="AP18" i="24"/>
  <c r="AP50" i="24"/>
  <c r="AP24" i="24"/>
  <c r="AP33" i="24"/>
  <c r="AP46" i="24"/>
  <c r="AP32" i="24"/>
  <c r="AP30" i="24"/>
  <c r="AP21" i="24"/>
  <c r="AP14" i="24"/>
  <c r="AU15" i="24"/>
  <c r="AR84" i="24" l="1"/>
  <c r="AR85" i="24"/>
  <c r="AQ84" i="24"/>
  <c r="AQ85" i="24"/>
  <c r="AR83" i="24"/>
  <c r="AQ83" i="24"/>
  <c r="AQ51" i="24"/>
  <c r="AQ52" i="24"/>
  <c r="AQ73" i="24"/>
  <c r="AQ64" i="24"/>
  <c r="AQ27" i="24"/>
  <c r="AQ57" i="24"/>
  <c r="AQ60" i="24"/>
  <c r="AQ41" i="24"/>
  <c r="AQ28" i="24"/>
  <c r="AQ62" i="24"/>
  <c r="AQ39" i="24"/>
  <c r="AQ48" i="24"/>
  <c r="AQ35" i="24"/>
  <c r="AQ54" i="24"/>
  <c r="AQ71" i="24"/>
  <c r="AQ20" i="24"/>
  <c r="AQ76" i="24"/>
  <c r="AQ30" i="24"/>
  <c r="AQ74" i="24"/>
  <c r="AQ23" i="24"/>
  <c r="AQ16" i="24"/>
  <c r="AQ37" i="24"/>
  <c r="AQ46" i="24"/>
  <c r="AQ18" i="24"/>
  <c r="AQ68" i="24"/>
  <c r="AQ67" i="24"/>
  <c r="AQ55" i="24"/>
  <c r="AQ38" i="24"/>
  <c r="AQ75" i="24"/>
  <c r="AQ53" i="24"/>
  <c r="AQ33" i="24"/>
  <c r="AQ17" i="24"/>
  <c r="AQ34" i="24"/>
  <c r="AQ59" i="24"/>
  <c r="AQ31" i="24"/>
  <c r="AQ40" i="24"/>
  <c r="AQ65" i="24"/>
  <c r="AQ66" i="24"/>
  <c r="AQ36" i="24"/>
  <c r="AQ21" i="24"/>
  <c r="AQ58" i="24"/>
  <c r="AQ19" i="24"/>
  <c r="AQ47" i="24"/>
  <c r="AQ22" i="24"/>
  <c r="AQ25" i="24"/>
  <c r="AQ69" i="24"/>
  <c r="AQ32" i="24"/>
  <c r="AQ24" i="24"/>
  <c r="AQ49" i="24"/>
  <c r="AQ45" i="24"/>
  <c r="AQ29" i="24"/>
  <c r="AQ42" i="24"/>
  <c r="AR16" i="24"/>
  <c r="AR32" i="24"/>
  <c r="AR48" i="24"/>
  <c r="AR64" i="24"/>
  <c r="AR80" i="24"/>
  <c r="AR17" i="24"/>
  <c r="AR33" i="24"/>
  <c r="AR49" i="24"/>
  <c r="AR65" i="24"/>
  <c r="AR81" i="24"/>
  <c r="AR18" i="24"/>
  <c r="AR34" i="24"/>
  <c r="AR50" i="24"/>
  <c r="AR66" i="24"/>
  <c r="AR82" i="24"/>
  <c r="AR20" i="24"/>
  <c r="AR36" i="24"/>
  <c r="AR52" i="24"/>
  <c r="AR68" i="24"/>
  <c r="AR23" i="24"/>
  <c r="AR39" i="24"/>
  <c r="AR55" i="24"/>
  <c r="AR71" i="24"/>
  <c r="AR24" i="24"/>
  <c r="AR40" i="24"/>
  <c r="AR56" i="24"/>
  <c r="AR72" i="24"/>
  <c r="AR25" i="24"/>
  <c r="AR41" i="24"/>
  <c r="AR57" i="24"/>
  <c r="AR73" i="24"/>
  <c r="AR26" i="24"/>
  <c r="AR42" i="24"/>
  <c r="AR58" i="24"/>
  <c r="AR74" i="24"/>
  <c r="AR43" i="24"/>
  <c r="AR67" i="24"/>
  <c r="AR69" i="24"/>
  <c r="AR19" i="24"/>
  <c r="AR45" i="24"/>
  <c r="AR70" i="24"/>
  <c r="AR27" i="24"/>
  <c r="AR51" i="24"/>
  <c r="AR28" i="24"/>
  <c r="AR53" i="24"/>
  <c r="AR78" i="24"/>
  <c r="AR30" i="24"/>
  <c r="AR47" i="24"/>
  <c r="AR62" i="24"/>
  <c r="AR29" i="24"/>
  <c r="AR75" i="24"/>
  <c r="AR31" i="24"/>
  <c r="AR76" i="24"/>
  <c r="AR77" i="24"/>
  <c r="AR79" i="24"/>
  <c r="AR35" i="24"/>
  <c r="AR37" i="24"/>
  <c r="AR46" i="24"/>
  <c r="AR54" i="24"/>
  <c r="AR22" i="24"/>
  <c r="AR21" i="24"/>
  <c r="AR38" i="24"/>
  <c r="AR61" i="24"/>
  <c r="AR44" i="24"/>
  <c r="AR63" i="24"/>
  <c r="AR59" i="24"/>
  <c r="AR60" i="24"/>
  <c r="AQ82" i="24"/>
  <c r="AQ81" i="24"/>
  <c r="AQ80" i="24"/>
  <c r="AQ79" i="24"/>
  <c r="AQ78" i="24"/>
  <c r="AQ77" i="24"/>
  <c r="AQ26" i="24"/>
  <c r="AQ43" i="24"/>
  <c r="AQ72" i="24"/>
  <c r="AQ50" i="24"/>
  <c r="AQ44" i="24"/>
  <c r="AQ63" i="24"/>
  <c r="AQ56" i="24"/>
  <c r="AQ70" i="24"/>
  <c r="AQ61" i="24"/>
  <c r="AM67" i="24"/>
  <c r="AM44" i="24"/>
  <c r="AM62" i="24"/>
  <c r="AN62" i="24" s="1"/>
  <c r="AM69" i="24"/>
  <c r="AN69" i="24" s="1"/>
  <c r="AM64" i="24"/>
  <c r="AN64" i="24" s="1"/>
  <c r="AM72" i="24"/>
  <c r="AN72" i="24" s="1"/>
  <c r="AM50" i="24"/>
  <c r="AM68" i="24"/>
  <c r="AM59" i="24"/>
  <c r="AM76" i="24"/>
  <c r="AM41" i="24"/>
  <c r="AM52" i="24"/>
  <c r="AM37" i="24"/>
  <c r="AM36" i="24"/>
  <c r="AM31" i="24"/>
  <c r="AM75" i="24"/>
  <c r="AM15" i="24"/>
  <c r="AM65" i="24"/>
  <c r="AM58" i="24"/>
  <c r="AM40" i="24"/>
  <c r="AM54" i="24"/>
  <c r="AM73" i="24"/>
  <c r="AM56" i="24"/>
  <c r="AM48" i="24"/>
  <c r="AM33" i="24"/>
  <c r="AM28" i="24"/>
  <c r="AM20" i="24"/>
  <c r="AM14" i="24"/>
  <c r="AM70" i="24"/>
  <c r="AM46" i="24"/>
  <c r="AM29" i="24"/>
  <c r="AM22" i="24"/>
  <c r="AM49" i="24"/>
  <c r="AM35" i="24"/>
  <c r="AM42" i="24"/>
  <c r="AN42" i="24" s="1"/>
  <c r="AM19" i="24"/>
  <c r="AN19" i="24" s="1"/>
  <c r="AM61" i="24"/>
  <c r="AN61" i="24" s="1"/>
  <c r="AM53" i="24"/>
  <c r="AN53" i="24" s="1"/>
  <c r="AM74" i="24"/>
  <c r="AM23" i="24"/>
  <c r="AM71" i="24"/>
  <c r="AM57" i="24"/>
  <c r="AM24" i="24"/>
  <c r="AM18" i="24"/>
  <c r="AM66" i="24"/>
  <c r="AM27" i="24"/>
  <c r="AM55" i="24"/>
  <c r="AM38" i="24"/>
  <c r="AM34" i="24"/>
  <c r="AM39" i="24"/>
  <c r="AM47" i="24"/>
  <c r="AM51" i="24"/>
  <c r="AM43" i="24"/>
  <c r="AM17" i="24"/>
  <c r="AM16" i="24"/>
  <c r="AM25" i="24"/>
  <c r="AM63" i="24"/>
  <c r="AM45" i="24"/>
  <c r="AM26" i="24"/>
  <c r="AM32" i="24"/>
  <c r="AM60" i="24"/>
  <c r="AM30" i="24"/>
  <c r="AM21" i="24"/>
  <c r="AR15" i="24"/>
  <c r="AQ15" i="24"/>
  <c r="AN84" i="24" l="1"/>
  <c r="AN85" i="24"/>
  <c r="AN83" i="24"/>
  <c r="AN71" i="24"/>
  <c r="AN59" i="24"/>
  <c r="AN23" i="24"/>
  <c r="AN68" i="24"/>
  <c r="AN74" i="24"/>
  <c r="AN50" i="24"/>
  <c r="AN44" i="24"/>
  <c r="AN26" i="24"/>
  <c r="AN28" i="24"/>
  <c r="AN49" i="24"/>
  <c r="AN20" i="24"/>
  <c r="AN48" i="24"/>
  <c r="AN63" i="24"/>
  <c r="AN45" i="24"/>
  <c r="AN35" i="24"/>
  <c r="AN32" i="24"/>
  <c r="AN33" i="24"/>
  <c r="AN25" i="24"/>
  <c r="AN22" i="24"/>
  <c r="AN46" i="24"/>
  <c r="AN67" i="24"/>
  <c r="AN21" i="24"/>
  <c r="AN29" i="24"/>
  <c r="AN30" i="24"/>
  <c r="AN60" i="24"/>
  <c r="AN70" i="24"/>
  <c r="AN82" i="24"/>
  <c r="AN81" i="24"/>
  <c r="AN80" i="24"/>
  <c r="AN79" i="24"/>
  <c r="AN78" i="24"/>
  <c r="AN77" i="24"/>
  <c r="AN16" i="24"/>
  <c r="AN17" i="24"/>
  <c r="AN43" i="24"/>
  <c r="AN51" i="24"/>
  <c r="AN39" i="24"/>
  <c r="AN75" i="24"/>
  <c r="AN55" i="24"/>
  <c r="AN27" i="24"/>
  <c r="AN56" i="24"/>
  <c r="AN73" i="24"/>
  <c r="AN54" i="24"/>
  <c r="AN40" i="24"/>
  <c r="AN47" i="24"/>
  <c r="AN58" i="24"/>
  <c r="AN65" i="24"/>
  <c r="AN34" i="24"/>
  <c r="AN38" i="24"/>
  <c r="AN31" i="24"/>
  <c r="AN36" i="24"/>
  <c r="AN66" i="24"/>
  <c r="AN37" i="24"/>
  <c r="AN18" i="24"/>
  <c r="AN52" i="24"/>
  <c r="AN24" i="24"/>
  <c r="AN41" i="24"/>
  <c r="AN57" i="24"/>
  <c r="AN76" i="24"/>
  <c r="AP4" i="24"/>
  <c r="AJ72" i="24"/>
  <c r="AJ49" i="24"/>
  <c r="AJ67" i="24"/>
  <c r="AJ42" i="24"/>
  <c r="AJ63" i="24"/>
  <c r="AJ58" i="24"/>
  <c r="AJ37" i="24"/>
  <c r="AJ70" i="24"/>
  <c r="AJ43" i="24"/>
  <c r="AJ38" i="24"/>
  <c r="AJ52" i="24"/>
  <c r="AJ53" i="24"/>
  <c r="AJ74" i="24"/>
  <c r="AJ71" i="24"/>
  <c r="AJ68" i="24"/>
  <c r="AJ16" i="24"/>
  <c r="AJ57" i="24"/>
  <c r="AJ61" i="24"/>
  <c r="AJ56" i="24"/>
  <c r="AJ69" i="24"/>
  <c r="AJ39" i="24"/>
  <c r="AJ15" i="24"/>
  <c r="AJ50" i="24"/>
  <c r="AJ54" i="24"/>
  <c r="AJ73" i="24"/>
  <c r="AJ47" i="24"/>
  <c r="AJ18" i="24"/>
  <c r="AJ65" i="24"/>
  <c r="AJ64" i="24"/>
  <c r="AJ21" i="24"/>
  <c r="AJ60" i="24"/>
  <c r="AJ59" i="24"/>
  <c r="AJ35" i="24"/>
  <c r="AJ28" i="24"/>
  <c r="AJ76" i="24"/>
  <c r="AJ40" i="24"/>
  <c r="AJ24" i="24"/>
  <c r="AJ32" i="24"/>
  <c r="AJ51" i="24"/>
  <c r="AJ41" i="24"/>
  <c r="AJ31" i="24"/>
  <c r="AJ27" i="24"/>
  <c r="AJ66" i="24"/>
  <c r="AJ34" i="24"/>
  <c r="AJ44" i="24"/>
  <c r="AJ26" i="24"/>
  <c r="AJ29" i="24"/>
  <c r="AJ75" i="24"/>
  <c r="AJ55" i="24"/>
  <c r="AJ36" i="24"/>
  <c r="AJ48" i="24"/>
  <c r="AJ19" i="24"/>
  <c r="AJ30" i="24"/>
  <c r="AJ17" i="24"/>
  <c r="AJ25" i="24"/>
  <c r="AJ20" i="24"/>
  <c r="AJ46" i="24"/>
  <c r="AJ62" i="24"/>
  <c r="AJ23" i="24"/>
  <c r="AJ45" i="24"/>
  <c r="AJ22" i="24"/>
  <c r="AJ33" i="24"/>
  <c r="AJ14" i="24"/>
  <c r="AN15" i="24"/>
  <c r="AL84" i="24" l="1"/>
  <c r="AL85" i="24"/>
  <c r="AK84" i="24"/>
  <c r="AK85" i="24"/>
  <c r="AK28" i="24"/>
  <c r="AK72" i="24"/>
  <c r="AK49" i="24"/>
  <c r="AK35" i="24"/>
  <c r="AL83" i="24"/>
  <c r="AK83" i="24"/>
  <c r="AK76" i="24"/>
  <c r="AK67" i="24"/>
  <c r="AK31" i="24"/>
  <c r="AK43" i="24"/>
  <c r="AK41" i="24"/>
  <c r="AK70" i="24"/>
  <c r="AK37" i="24"/>
  <c r="AK51" i="24"/>
  <c r="AK58" i="24"/>
  <c r="AK24" i="24"/>
  <c r="AK63" i="24"/>
  <c r="AK32" i="24"/>
  <c r="AK40" i="24"/>
  <c r="AK42" i="24"/>
  <c r="AK75" i="24"/>
  <c r="AK48" i="24"/>
  <c r="AK55" i="24"/>
  <c r="AK68" i="24"/>
  <c r="AK56" i="24"/>
  <c r="AK57" i="24"/>
  <c r="AK26" i="24"/>
  <c r="AK71" i="24"/>
  <c r="AK39" i="24"/>
  <c r="AK36" i="24"/>
  <c r="AK16" i="24"/>
  <c r="AK44" i="24"/>
  <c r="AK74" i="24"/>
  <c r="AK59" i="24"/>
  <c r="AK30" i="24"/>
  <c r="AK19" i="24"/>
  <c r="AK61" i="24"/>
  <c r="AK29" i="24"/>
  <c r="AK34" i="24"/>
  <c r="AK53" i="24"/>
  <c r="AK69" i="24"/>
  <c r="AK66" i="24"/>
  <c r="AK52" i="24"/>
  <c r="AK27" i="24"/>
  <c r="AK38" i="24"/>
  <c r="AK21" i="24"/>
  <c r="AK22" i="24"/>
  <c r="AK65" i="24"/>
  <c r="AK46" i="24"/>
  <c r="AK73" i="24"/>
  <c r="AK60" i="24"/>
  <c r="AK64" i="24"/>
  <c r="AK18" i="24"/>
  <c r="AK62" i="24"/>
  <c r="AK20" i="24"/>
  <c r="AK25" i="24"/>
  <c r="AK50" i="24"/>
  <c r="AL24" i="24"/>
  <c r="AL40" i="24"/>
  <c r="AL56" i="24"/>
  <c r="AL72" i="24"/>
  <c r="AL25" i="24"/>
  <c r="AL41" i="24"/>
  <c r="AL57" i="24"/>
  <c r="AL73" i="24"/>
  <c r="AL26" i="24"/>
  <c r="AL42" i="24"/>
  <c r="AL58" i="24"/>
  <c r="AL74" i="24"/>
  <c r="AL28" i="24"/>
  <c r="AL44" i="24"/>
  <c r="AL60" i="24"/>
  <c r="AL76" i="24"/>
  <c r="AL31" i="24"/>
  <c r="AL47" i="24"/>
  <c r="AL63" i="24"/>
  <c r="AL79" i="24"/>
  <c r="AL16" i="24"/>
  <c r="AL32" i="24"/>
  <c r="AL48" i="24"/>
  <c r="AL64" i="24"/>
  <c r="AL80" i="24"/>
  <c r="AL17" i="24"/>
  <c r="AL33" i="24"/>
  <c r="AL49" i="24"/>
  <c r="AL65" i="24"/>
  <c r="AL81" i="24"/>
  <c r="AL18" i="24"/>
  <c r="AL34" i="24"/>
  <c r="AL50" i="24"/>
  <c r="AL66" i="24"/>
  <c r="AL82" i="24"/>
  <c r="AL27" i="24"/>
  <c r="AL52" i="24"/>
  <c r="AL29" i="24"/>
  <c r="AL54" i="24"/>
  <c r="AL78" i="24"/>
  <c r="AL30" i="24"/>
  <c r="AL38" i="24"/>
  <c r="AL62" i="24"/>
  <c r="AL36" i="24"/>
  <c r="AL37" i="24"/>
  <c r="AL70" i="24"/>
  <c r="AL39" i="24"/>
  <c r="AL71" i="24"/>
  <c r="AL19" i="24"/>
  <c r="AL51" i="24"/>
  <c r="AL46" i="24"/>
  <c r="AL55" i="24"/>
  <c r="AL53" i="24"/>
  <c r="AL59" i="24"/>
  <c r="AL67" i="24"/>
  <c r="AL22" i="24"/>
  <c r="AL68" i="24"/>
  <c r="AL35" i="24"/>
  <c r="AL45" i="24"/>
  <c r="AL43" i="24"/>
  <c r="AL20" i="24"/>
  <c r="AL23" i="24"/>
  <c r="AL61" i="24"/>
  <c r="AL69" i="24"/>
  <c r="AL77" i="24"/>
  <c r="AL21" i="24"/>
  <c r="AL75" i="24"/>
  <c r="AK82" i="24"/>
  <c r="AK81" i="24"/>
  <c r="AK80" i="24"/>
  <c r="AK79" i="24"/>
  <c r="AK78" i="24"/>
  <c r="AK77" i="24"/>
  <c r="AK33" i="24"/>
  <c r="AK45" i="24"/>
  <c r="AK23" i="24"/>
  <c r="AK47" i="24"/>
  <c r="AK54" i="24"/>
  <c r="AK17" i="24"/>
  <c r="AG45" i="24"/>
  <c r="AG54" i="24"/>
  <c r="AG72" i="24"/>
  <c r="AG47" i="24"/>
  <c r="AG71" i="24"/>
  <c r="AG63" i="24"/>
  <c r="AG67" i="24"/>
  <c r="AG57" i="24"/>
  <c r="AG48" i="24"/>
  <c r="AG65" i="24"/>
  <c r="AG60" i="24"/>
  <c r="AG39" i="24"/>
  <c r="AG32" i="24"/>
  <c r="AG52" i="24"/>
  <c r="AG44" i="24"/>
  <c r="AG17" i="24"/>
  <c r="AG76" i="24"/>
  <c r="AG75" i="24"/>
  <c r="AH75" i="24" s="1"/>
  <c r="AG64" i="24"/>
  <c r="AH64" i="24" s="1"/>
  <c r="AG59" i="24"/>
  <c r="AH59" i="24" s="1"/>
  <c r="AG21" i="24"/>
  <c r="AG50" i="24"/>
  <c r="AG74" i="24"/>
  <c r="AG66" i="24"/>
  <c r="AG62" i="24"/>
  <c r="AG61" i="24"/>
  <c r="AG58" i="24"/>
  <c r="AG28" i="24"/>
  <c r="AG19" i="24"/>
  <c r="AG70" i="24"/>
  <c r="AG69" i="24"/>
  <c r="AG40" i="24"/>
  <c r="AG38" i="24"/>
  <c r="AG20" i="24"/>
  <c r="AG51" i="24"/>
  <c r="AG37" i="24"/>
  <c r="AG73" i="24"/>
  <c r="AG25" i="24"/>
  <c r="AG53" i="24"/>
  <c r="AG68" i="24"/>
  <c r="AG24" i="24"/>
  <c r="AG31" i="24"/>
  <c r="AG15" i="24"/>
  <c r="AG41" i="24"/>
  <c r="AG33" i="24"/>
  <c r="AG26" i="24"/>
  <c r="AG27" i="24"/>
  <c r="AG55" i="24"/>
  <c r="AG14" i="24"/>
  <c r="AG49" i="24"/>
  <c r="AH49" i="24" s="1"/>
  <c r="AG42" i="24"/>
  <c r="AH42" i="24" s="1"/>
  <c r="AG34" i="24"/>
  <c r="AH34" i="24" s="1"/>
  <c r="AG30" i="24"/>
  <c r="AG36" i="24"/>
  <c r="AG43" i="24"/>
  <c r="AG16" i="24"/>
  <c r="AG23" i="24"/>
  <c r="AG22" i="24"/>
  <c r="AG18" i="24"/>
  <c r="AG35" i="24"/>
  <c r="AG46" i="24"/>
  <c r="AG29" i="24"/>
  <c r="AG56" i="24"/>
  <c r="AL15" i="24"/>
  <c r="AK15" i="24"/>
  <c r="AH74" i="24" l="1"/>
  <c r="AH84" i="24"/>
  <c r="AY84" i="24" s="1"/>
  <c r="AH85" i="24"/>
  <c r="AH36" i="24"/>
  <c r="AY36" i="24" s="1"/>
  <c r="AH50" i="24"/>
  <c r="AY50" i="24" s="1"/>
  <c r="AH43" i="24"/>
  <c r="AY43" i="24" s="1"/>
  <c r="AH30" i="24"/>
  <c r="AY30" i="24" s="1"/>
  <c r="AH21" i="24"/>
  <c r="AY21" i="24" s="1"/>
  <c r="AH22" i="24"/>
  <c r="AY22" i="24" s="1"/>
  <c r="AH61" i="24"/>
  <c r="AY61" i="24" s="1"/>
  <c r="AH23" i="24"/>
  <c r="AY23" i="24" s="1"/>
  <c r="AH62" i="24"/>
  <c r="AY62" i="24" s="1"/>
  <c r="AH16" i="24"/>
  <c r="AY16" i="24" s="1"/>
  <c r="AH66" i="24"/>
  <c r="AY66" i="24" s="1"/>
  <c r="AH83" i="24"/>
  <c r="AY83" i="24" s="1"/>
  <c r="AY85" i="24"/>
  <c r="AH18" i="24"/>
  <c r="AY18" i="24" s="1"/>
  <c r="AH58" i="24"/>
  <c r="AY58" i="24" s="1"/>
  <c r="AH51" i="24"/>
  <c r="AY51" i="24" s="1"/>
  <c r="AH20" i="24"/>
  <c r="AY20" i="24" s="1"/>
  <c r="AH38" i="24"/>
  <c r="AY38" i="24" s="1"/>
  <c r="AH69" i="24"/>
  <c r="AY69" i="24" s="1"/>
  <c r="AH29" i="24"/>
  <c r="AY29" i="24" s="1"/>
  <c r="AH70" i="24"/>
  <c r="AY70" i="24" s="1"/>
  <c r="AH46" i="24"/>
  <c r="AY46" i="24" s="1"/>
  <c r="AH19" i="24"/>
  <c r="AY19" i="24" s="1"/>
  <c r="AH72" i="24"/>
  <c r="AY72" i="24" s="1"/>
  <c r="AH54" i="24"/>
  <c r="AY54" i="24" s="1"/>
  <c r="AH45" i="24"/>
  <c r="AY45" i="24" s="1"/>
  <c r="AH40" i="24"/>
  <c r="AY40" i="24" s="1"/>
  <c r="AH56" i="24"/>
  <c r="AY56" i="24" s="1"/>
  <c r="AH35" i="24"/>
  <c r="AY35" i="24" s="1"/>
  <c r="AH28" i="24"/>
  <c r="AY28" i="24" s="1"/>
  <c r="AH55" i="24"/>
  <c r="AY55" i="24" s="1"/>
  <c r="AH41" i="24"/>
  <c r="AY41" i="24" s="1"/>
  <c r="AH82" i="24"/>
  <c r="AY82" i="24" s="1"/>
  <c r="AH81" i="24"/>
  <c r="AY81" i="24" s="1"/>
  <c r="AH80" i="24"/>
  <c r="AY80" i="24" s="1"/>
  <c r="AH79" i="24"/>
  <c r="AY79" i="24" s="1"/>
  <c r="AH78" i="24"/>
  <c r="AY78" i="24" s="1"/>
  <c r="AH77" i="24"/>
  <c r="AY77" i="24" s="1"/>
  <c r="AH44" i="24"/>
  <c r="AY44" i="24" s="1"/>
  <c r="AH60" i="24"/>
  <c r="AY60" i="24" s="1"/>
  <c r="AH27" i="24"/>
  <c r="AY27" i="24" s="1"/>
  <c r="AH52" i="24"/>
  <c r="AY52" i="24" s="1"/>
  <c r="AH33" i="24"/>
  <c r="AY33" i="24" s="1"/>
  <c r="AH39" i="24"/>
  <c r="AY39" i="24" s="1"/>
  <c r="AH65" i="24"/>
  <c r="AY65" i="24" s="1"/>
  <c r="AH48" i="24"/>
  <c r="AY48" i="24" s="1"/>
  <c r="AH68" i="24"/>
  <c r="AH53" i="24"/>
  <c r="AY53" i="24" s="1"/>
  <c r="AH67" i="24"/>
  <c r="AY67" i="24" s="1"/>
  <c r="AH25" i="24"/>
  <c r="AY25" i="24" s="1"/>
  <c r="AH63" i="24"/>
  <c r="AY63" i="24" s="1"/>
  <c r="AH17" i="24"/>
  <c r="AY17" i="24" s="1"/>
  <c r="AH73" i="24"/>
  <c r="AY73" i="24" s="1"/>
  <c r="AH76" i="24"/>
  <c r="AY76" i="24" s="1"/>
  <c r="AH26" i="24"/>
  <c r="AY26" i="24" s="1"/>
  <c r="AH32" i="24"/>
  <c r="AY32" i="24" s="1"/>
  <c r="AH31" i="24"/>
  <c r="AY31" i="24" s="1"/>
  <c r="AH24" i="24"/>
  <c r="AY24" i="24" s="1"/>
  <c r="AH57" i="24"/>
  <c r="AY57" i="24" s="1"/>
  <c r="AH71" i="24"/>
  <c r="AY71" i="24" s="1"/>
  <c r="AH37" i="24"/>
  <c r="AY37" i="24" s="1"/>
  <c r="AH47" i="24"/>
  <c r="AY47" i="24" s="1"/>
  <c r="AY74" i="24"/>
  <c r="AY34" i="24"/>
  <c r="AO4" i="24"/>
  <c r="BB84" i="24" s="1"/>
  <c r="K55" i="24"/>
  <c r="K87" i="24"/>
  <c r="K64" i="24"/>
  <c r="K89" i="24"/>
  <c r="K50" i="24"/>
  <c r="K91" i="24"/>
  <c r="K82" i="24"/>
  <c r="K67" i="24"/>
  <c r="K88" i="24"/>
  <c r="K57" i="24"/>
  <c r="K61" i="24"/>
  <c r="K78" i="24"/>
  <c r="K69" i="24"/>
  <c r="K54" i="24"/>
  <c r="K66" i="24"/>
  <c r="K47" i="24"/>
  <c r="K41" i="24"/>
  <c r="K24" i="24"/>
  <c r="K51" i="24"/>
  <c r="K72" i="24"/>
  <c r="K40" i="24"/>
  <c r="K19" i="24"/>
  <c r="K58" i="24"/>
  <c r="K60" i="24"/>
  <c r="K86" i="24"/>
  <c r="K90" i="24"/>
  <c r="K39" i="24"/>
  <c r="K26" i="24"/>
  <c r="K75" i="24"/>
  <c r="K84" i="24"/>
  <c r="K16" i="24"/>
  <c r="K73" i="24"/>
  <c r="K68" i="24"/>
  <c r="K63" i="24"/>
  <c r="K17" i="24"/>
  <c r="K53" i="24"/>
  <c r="K45" i="24"/>
  <c r="K44" i="24"/>
  <c r="K77" i="24"/>
  <c r="K52" i="24"/>
  <c r="K42" i="24"/>
  <c r="K25" i="24"/>
  <c r="K70" i="24"/>
  <c r="K80" i="24"/>
  <c r="K56" i="24"/>
  <c r="K71" i="24"/>
  <c r="K14" i="24"/>
  <c r="K28" i="24"/>
  <c r="K74" i="24"/>
  <c r="K32" i="24"/>
  <c r="K21" i="24"/>
  <c r="K18" i="24"/>
  <c r="K79" i="24"/>
  <c r="K85" i="24"/>
  <c r="K30" i="24"/>
  <c r="K35" i="24"/>
  <c r="K62" i="24"/>
  <c r="K46" i="24"/>
  <c r="K76" i="24"/>
  <c r="K38" i="24"/>
  <c r="K33" i="24"/>
  <c r="K49" i="24"/>
  <c r="K34" i="24"/>
  <c r="K27" i="24"/>
  <c r="K83" i="24"/>
  <c r="K31" i="24"/>
  <c r="K43" i="24"/>
  <c r="K81" i="24"/>
  <c r="K65" i="24"/>
  <c r="K59" i="24"/>
  <c r="K36" i="24"/>
  <c r="K37" i="24"/>
  <c r="K23" i="24"/>
  <c r="K20" i="24"/>
  <c r="K29" i="24"/>
  <c r="K22" i="24"/>
  <c r="K48" i="24"/>
  <c r="K15" i="24"/>
  <c r="AY59" i="24"/>
  <c r="AY75" i="24"/>
  <c r="AY68" i="24"/>
  <c r="AY49" i="24"/>
  <c r="AY64" i="24"/>
  <c r="AH15" i="24"/>
  <c r="AY15" i="24" s="1"/>
  <c r="AY42" i="24"/>
  <c r="BC84" i="24" l="1"/>
  <c r="DH83" i="24" s="1"/>
  <c r="M98" i="24"/>
  <c r="M99" i="24"/>
  <c r="L98" i="24"/>
  <c r="L99" i="24"/>
  <c r="BB82" i="24"/>
  <c r="BC82" i="24" s="1"/>
  <c r="DH81" i="24" s="1"/>
  <c r="BB83" i="24"/>
  <c r="BC83" i="24" s="1"/>
  <c r="DH82" i="24" s="1"/>
  <c r="DL82" i="24" s="1"/>
  <c r="DP82" i="24" s="1"/>
  <c r="L74" i="24"/>
  <c r="L41" i="24"/>
  <c r="L28" i="24"/>
  <c r="L47" i="24"/>
  <c r="M97" i="24"/>
  <c r="L97" i="24"/>
  <c r="L49" i="24"/>
  <c r="L84" i="24"/>
  <c r="L75" i="24"/>
  <c r="L33" i="24"/>
  <c r="L38" i="24"/>
  <c r="L26" i="24"/>
  <c r="L76" i="24"/>
  <c r="L39" i="24"/>
  <c r="L46" i="24"/>
  <c r="L90" i="24"/>
  <c r="L62" i="24"/>
  <c r="L86" i="24"/>
  <c r="L35" i="24"/>
  <c r="L60" i="24"/>
  <c r="L30" i="24"/>
  <c r="L58" i="24"/>
  <c r="L85" i="24"/>
  <c r="L19" i="24"/>
  <c r="L79" i="24"/>
  <c r="L40" i="24"/>
  <c r="L18" i="24"/>
  <c r="L72" i="24"/>
  <c r="L21" i="24"/>
  <c r="L51" i="24"/>
  <c r="L32" i="24"/>
  <c r="L24" i="24"/>
  <c r="L54" i="24"/>
  <c r="L69" i="24"/>
  <c r="L22" i="24"/>
  <c r="L61" i="24"/>
  <c r="L20" i="24"/>
  <c r="L42" i="24"/>
  <c r="L52" i="24"/>
  <c r="L36" i="24"/>
  <c r="L44" i="24"/>
  <c r="L45" i="24"/>
  <c r="L81" i="24"/>
  <c r="L64" i="24"/>
  <c r="L31" i="24"/>
  <c r="L83" i="24"/>
  <c r="L68" i="24"/>
  <c r="L55" i="24"/>
  <c r="M16" i="24"/>
  <c r="M32" i="24"/>
  <c r="M48" i="24"/>
  <c r="M64" i="24"/>
  <c r="M80" i="24"/>
  <c r="M96" i="24"/>
  <c r="M17" i="24"/>
  <c r="M33" i="24"/>
  <c r="M49" i="24"/>
  <c r="M65" i="24"/>
  <c r="M81" i="24"/>
  <c r="M18" i="24"/>
  <c r="M34" i="24"/>
  <c r="M50" i="24"/>
  <c r="M66" i="24"/>
  <c r="M82" i="24"/>
  <c r="M20" i="24"/>
  <c r="M36" i="24"/>
  <c r="M52" i="24"/>
  <c r="M68" i="24"/>
  <c r="M84" i="24"/>
  <c r="M23" i="24"/>
  <c r="M39" i="24"/>
  <c r="M55" i="24"/>
  <c r="M71" i="24"/>
  <c r="M87" i="24"/>
  <c r="M24" i="24"/>
  <c r="M40" i="24"/>
  <c r="M56" i="24"/>
  <c r="M72" i="24"/>
  <c r="M88" i="24"/>
  <c r="M25" i="24"/>
  <c r="M41" i="24"/>
  <c r="M57" i="24"/>
  <c r="M73" i="24"/>
  <c r="M89" i="24"/>
  <c r="M26" i="24"/>
  <c r="M42" i="24"/>
  <c r="M58" i="24"/>
  <c r="M74" i="24"/>
  <c r="M90" i="24"/>
  <c r="M37" i="24"/>
  <c r="M62" i="24"/>
  <c r="M63" i="24"/>
  <c r="M91" i="24"/>
  <c r="M46" i="24"/>
  <c r="M70" i="24"/>
  <c r="M47" i="24"/>
  <c r="M51" i="24"/>
  <c r="M76" i="24"/>
  <c r="M27" i="24"/>
  <c r="M28" i="24"/>
  <c r="M59" i="24"/>
  <c r="M92" i="24"/>
  <c r="M29" i="24"/>
  <c r="M60" i="24"/>
  <c r="M93" i="24"/>
  <c r="M38" i="24"/>
  <c r="M21" i="24"/>
  <c r="M69" i="24"/>
  <c r="M22" i="24"/>
  <c r="M31" i="24"/>
  <c r="M30" i="24"/>
  <c r="M75" i="24"/>
  <c r="M77" i="24"/>
  <c r="M78" i="24"/>
  <c r="M44" i="24"/>
  <c r="M83" i="24"/>
  <c r="M45" i="24"/>
  <c r="M67" i="24"/>
  <c r="M79" i="24"/>
  <c r="M61" i="24"/>
  <c r="M85" i="24"/>
  <c r="M86" i="24"/>
  <c r="M54" i="24"/>
  <c r="M94" i="24"/>
  <c r="M95" i="24"/>
  <c r="M53" i="24"/>
  <c r="M19" i="24"/>
  <c r="M43" i="24"/>
  <c r="M35" i="24"/>
  <c r="L96" i="24"/>
  <c r="L95" i="24"/>
  <c r="L94" i="24"/>
  <c r="L93" i="24"/>
  <c r="L92" i="24"/>
  <c r="L48" i="24"/>
  <c r="L80" i="24"/>
  <c r="L70" i="24"/>
  <c r="L25" i="24"/>
  <c r="L88" i="24"/>
  <c r="L67" i="24"/>
  <c r="L77" i="24"/>
  <c r="L91" i="24"/>
  <c r="L50" i="24"/>
  <c r="L53" i="24"/>
  <c r="L17" i="24"/>
  <c r="L87" i="24"/>
  <c r="L27" i="24"/>
  <c r="L73" i="24"/>
  <c r="L66" i="24"/>
  <c r="L71" i="24"/>
  <c r="L56" i="24"/>
  <c r="L78" i="24"/>
  <c r="L29" i="24"/>
  <c r="L57" i="24"/>
  <c r="L23" i="24"/>
  <c r="L37" i="24"/>
  <c r="L82" i="24"/>
  <c r="L59" i="24"/>
  <c r="L65" i="24"/>
  <c r="L89" i="24"/>
  <c r="L43" i="24"/>
  <c r="L63" i="24"/>
  <c r="L34" i="24"/>
  <c r="L16" i="24"/>
  <c r="BB85" i="24"/>
  <c r="BC85" i="24" s="1"/>
  <c r="DH84" i="24" s="1"/>
  <c r="DL84" i="24" s="1"/>
  <c r="DP84" i="24" s="1"/>
  <c r="BB81" i="24"/>
  <c r="BC81" i="24" s="1"/>
  <c r="BB79" i="24"/>
  <c r="BC79" i="24" s="1"/>
  <c r="DH78" i="24" s="1"/>
  <c r="BB80" i="24"/>
  <c r="BC80" i="24" s="1"/>
  <c r="DH79" i="24" s="1"/>
  <c r="BB77" i="24"/>
  <c r="BC77" i="24" s="1"/>
  <c r="DH76" i="24" s="1"/>
  <c r="BB78" i="24"/>
  <c r="BC78" i="24" s="1"/>
  <c r="DH77" i="24" s="1"/>
  <c r="BB54" i="24"/>
  <c r="BC54" i="24" s="1"/>
  <c r="DH53" i="24" s="1"/>
  <c r="BB30" i="24"/>
  <c r="BC30" i="24" s="1"/>
  <c r="DH29" i="24" s="1"/>
  <c r="BB76" i="24"/>
  <c r="BC76" i="24" s="1"/>
  <c r="DH75" i="24" s="1"/>
  <c r="BB27" i="24"/>
  <c r="BC27" i="24" s="1"/>
  <c r="DH26" i="24" s="1"/>
  <c r="BB14" i="24"/>
  <c r="BC14" i="24" s="1"/>
  <c r="DH13" i="24" s="1"/>
  <c r="BB28" i="24"/>
  <c r="BC28" i="24" s="1"/>
  <c r="DH27" i="24" s="1"/>
  <c r="BB34" i="24"/>
  <c r="BC34" i="24" s="1"/>
  <c r="DH33" i="24" s="1"/>
  <c r="BB45" i="24"/>
  <c r="BC45" i="24" s="1"/>
  <c r="DH44" i="24" s="1"/>
  <c r="BB42" i="24"/>
  <c r="BC42" i="24" s="1"/>
  <c r="DH41" i="24" s="1"/>
  <c r="BB44" i="24"/>
  <c r="BC44" i="24" s="1"/>
  <c r="DH43" i="24" s="1"/>
  <c r="BB75" i="24"/>
  <c r="BC75" i="24" s="1"/>
  <c r="DH74" i="24" s="1"/>
  <c r="BB36" i="24"/>
  <c r="BC36" i="24" s="1"/>
  <c r="DH35" i="24" s="1"/>
  <c r="BB70" i="24"/>
  <c r="BC70" i="24" s="1"/>
  <c r="DH69" i="24" s="1"/>
  <c r="BB52" i="24"/>
  <c r="BC52" i="24" s="1"/>
  <c r="DH51" i="24" s="1"/>
  <c r="BB47" i="24"/>
  <c r="BC47" i="24" s="1"/>
  <c r="DH46" i="24" s="1"/>
  <c r="BB63" i="24"/>
  <c r="BC63" i="24" s="1"/>
  <c r="DH62" i="24" s="1"/>
  <c r="BB18" i="24"/>
  <c r="BC18" i="24" s="1"/>
  <c r="DH17" i="24" s="1"/>
  <c r="BB31" i="24"/>
  <c r="BC31" i="24" s="1"/>
  <c r="DH30" i="24" s="1"/>
  <c r="BB41" i="24"/>
  <c r="BC41" i="24" s="1"/>
  <c r="DH40" i="24" s="1"/>
  <c r="BB53" i="24"/>
  <c r="BC53" i="24" s="1"/>
  <c r="DH52" i="24" s="1"/>
  <c r="BB22" i="24"/>
  <c r="BC22" i="24" s="1"/>
  <c r="DH21" i="24" s="1"/>
  <c r="BB66" i="24"/>
  <c r="BC66" i="24" s="1"/>
  <c r="DH65" i="24" s="1"/>
  <c r="BB59" i="24"/>
  <c r="BC59" i="24" s="1"/>
  <c r="DH58" i="24" s="1"/>
  <c r="BB51" i="24"/>
  <c r="BC51" i="24" s="1"/>
  <c r="DH50" i="24" s="1"/>
  <c r="BB55" i="24"/>
  <c r="BC55" i="24" s="1"/>
  <c r="DH54" i="24" s="1"/>
  <c r="BB56" i="24"/>
  <c r="BC56" i="24" s="1"/>
  <c r="DH55" i="24" s="1"/>
  <c r="BB40" i="24"/>
  <c r="BC40" i="24" s="1"/>
  <c r="DH39" i="24" s="1"/>
  <c r="BB19" i="24"/>
  <c r="BC19" i="24" s="1"/>
  <c r="DH18" i="24" s="1"/>
  <c r="BB60" i="24"/>
  <c r="BC60" i="24" s="1"/>
  <c r="DH59" i="24" s="1"/>
  <c r="BB64" i="24"/>
  <c r="BC64" i="24" s="1"/>
  <c r="DH63" i="24" s="1"/>
  <c r="BB72" i="24"/>
  <c r="BC72" i="24" s="1"/>
  <c r="DH71" i="24" s="1"/>
  <c r="BB62" i="24"/>
  <c r="BC62" i="24" s="1"/>
  <c r="DH61" i="24" s="1"/>
  <c r="BB16" i="24"/>
  <c r="BC16" i="24" s="1"/>
  <c r="DH15" i="24" s="1"/>
  <c r="BB23" i="24"/>
  <c r="BC23" i="24" s="1"/>
  <c r="DH22" i="24" s="1"/>
  <c r="BB37" i="24"/>
  <c r="BC37" i="24" s="1"/>
  <c r="DH36" i="24" s="1"/>
  <c r="BB73" i="24"/>
  <c r="BC73" i="24" s="1"/>
  <c r="DH72" i="24" s="1"/>
  <c r="BB39" i="24"/>
  <c r="BC39" i="24" s="1"/>
  <c r="DH38" i="24" s="1"/>
  <c r="BB20" i="24"/>
  <c r="BC20" i="24" s="1"/>
  <c r="DH19" i="24" s="1"/>
  <c r="BB50" i="24"/>
  <c r="BC50" i="24" s="1"/>
  <c r="DH49" i="24" s="1"/>
  <c r="BB25" i="24"/>
  <c r="BC25" i="24" s="1"/>
  <c r="DH24" i="24" s="1"/>
  <c r="BB33" i="24"/>
  <c r="BC33" i="24" s="1"/>
  <c r="DH32" i="24" s="1"/>
  <c r="BB26" i="24"/>
  <c r="BC26" i="24" s="1"/>
  <c r="DH25" i="24" s="1"/>
  <c r="BB67" i="24"/>
  <c r="BC67" i="24" s="1"/>
  <c r="DH66" i="24" s="1"/>
  <c r="BB58" i="24"/>
  <c r="BC58" i="24" s="1"/>
  <c r="DH57" i="24" s="1"/>
  <c r="BB46" i="24"/>
  <c r="BC46" i="24" s="1"/>
  <c r="DH45" i="24" s="1"/>
  <c r="BB74" i="24"/>
  <c r="BC74" i="24" s="1"/>
  <c r="DH73" i="24" s="1"/>
  <c r="BB21" i="24"/>
  <c r="BC21" i="24" s="1"/>
  <c r="DH20" i="24" s="1"/>
  <c r="BB65" i="24"/>
  <c r="BC65" i="24" s="1"/>
  <c r="DH64" i="24" s="1"/>
  <c r="BB69" i="24"/>
  <c r="BC69" i="24" s="1"/>
  <c r="DH68" i="24" s="1"/>
  <c r="BB15" i="24"/>
  <c r="BC15" i="24" s="1"/>
  <c r="DH14" i="24" s="1"/>
  <c r="BB57" i="24"/>
  <c r="BC57" i="24" s="1"/>
  <c r="DH56" i="24" s="1"/>
  <c r="BB24" i="24"/>
  <c r="BC24" i="24" s="1"/>
  <c r="DH23" i="24" s="1"/>
  <c r="BB32" i="24"/>
  <c r="BC32" i="24" s="1"/>
  <c r="DH31" i="24" s="1"/>
  <c r="BB49" i="24"/>
  <c r="BC49" i="24" s="1"/>
  <c r="DH48" i="24" s="1"/>
  <c r="BB48" i="24"/>
  <c r="BC48" i="24" s="1"/>
  <c r="DH47" i="24" s="1"/>
  <c r="BB61" i="24"/>
  <c r="BC61" i="24" s="1"/>
  <c r="DH60" i="24" s="1"/>
  <c r="BB71" i="24"/>
  <c r="BC71" i="24" s="1"/>
  <c r="DH70" i="24" s="1"/>
  <c r="BB35" i="24"/>
  <c r="BC35" i="24" s="1"/>
  <c r="DH34" i="24" s="1"/>
  <c r="BB43" i="24"/>
  <c r="BC43" i="24" s="1"/>
  <c r="DH42" i="24" s="1"/>
  <c r="BB17" i="24"/>
  <c r="BC17" i="24" s="1"/>
  <c r="DH16" i="24" s="1"/>
  <c r="BB68" i="24"/>
  <c r="BC68" i="24" s="1"/>
  <c r="DH67" i="24" s="1"/>
  <c r="BB38" i="24"/>
  <c r="BC38" i="24" s="1"/>
  <c r="DH37" i="24" s="1"/>
  <c r="BB29" i="24"/>
  <c r="BC29" i="24" s="1"/>
  <c r="DH28" i="24" s="1"/>
  <c r="L15" i="24"/>
  <c r="H83" i="24"/>
  <c r="H60" i="24"/>
  <c r="H77" i="24"/>
  <c r="H69" i="24"/>
  <c r="H55" i="24"/>
  <c r="H72" i="24"/>
  <c r="H62" i="24"/>
  <c r="H76" i="24"/>
  <c r="I76" i="24" s="1"/>
  <c r="H91" i="24"/>
  <c r="I91" i="24" s="1"/>
  <c r="H52" i="24"/>
  <c r="H51" i="24"/>
  <c r="H65" i="24"/>
  <c r="H29" i="24"/>
  <c r="I29" i="24" s="1"/>
  <c r="H74" i="24"/>
  <c r="I74" i="24" s="1"/>
  <c r="H67" i="24"/>
  <c r="H54" i="24"/>
  <c r="H47" i="24"/>
  <c r="H41" i="24"/>
  <c r="H24" i="24"/>
  <c r="H48" i="24"/>
  <c r="H89" i="24"/>
  <c r="H85" i="24"/>
  <c r="H70" i="24"/>
  <c r="H49" i="24"/>
  <c r="H38" i="24"/>
  <c r="H64" i="24"/>
  <c r="H59" i="24"/>
  <c r="H36" i="24"/>
  <c r="H35" i="24"/>
  <c r="H90" i="24"/>
  <c r="H14" i="24"/>
  <c r="H27" i="24"/>
  <c r="H15" i="24"/>
  <c r="H53" i="24"/>
  <c r="H45" i="24"/>
  <c r="H34" i="24"/>
  <c r="H43" i="24"/>
  <c r="H22" i="24"/>
  <c r="H61" i="24"/>
  <c r="H30" i="24"/>
  <c r="I30" i="24" s="1"/>
  <c r="H31" i="24"/>
  <c r="I31" i="24" s="1"/>
  <c r="H26" i="24"/>
  <c r="H20" i="24"/>
  <c r="H80" i="24"/>
  <c r="H81" i="24"/>
  <c r="I81" i="24" s="1"/>
  <c r="H28" i="24"/>
  <c r="I28" i="24" s="1"/>
  <c r="H88" i="24"/>
  <c r="H63" i="24"/>
  <c r="H32" i="24"/>
  <c r="H86" i="24"/>
  <c r="H78" i="24"/>
  <c r="H75" i="24"/>
  <c r="H17" i="24"/>
  <c r="H87" i="24"/>
  <c r="H23" i="24"/>
  <c r="H71" i="24"/>
  <c r="H46" i="24"/>
  <c r="H73" i="24"/>
  <c r="H25" i="24"/>
  <c r="H44" i="24"/>
  <c r="H42" i="24"/>
  <c r="H84" i="24"/>
  <c r="H33" i="24"/>
  <c r="H66" i="24"/>
  <c r="H68" i="24"/>
  <c r="H57" i="24"/>
  <c r="H82" i="24"/>
  <c r="H40" i="24"/>
  <c r="H79" i="24"/>
  <c r="H56" i="24"/>
  <c r="H39" i="24"/>
  <c r="H58" i="24"/>
  <c r="I58" i="24" s="1"/>
  <c r="H21" i="24"/>
  <c r="I21" i="24" s="1"/>
  <c r="H19" i="24"/>
  <c r="H50" i="24"/>
  <c r="I50" i="24" s="1"/>
  <c r="H37" i="24"/>
  <c r="I37" i="24" s="1"/>
  <c r="H18" i="24"/>
  <c r="I18" i="24" s="1"/>
  <c r="H16" i="24"/>
  <c r="I16" i="24" s="1"/>
  <c r="M15" i="24"/>
  <c r="I57" i="24" l="1"/>
  <c r="DL83" i="24"/>
  <c r="DP83" i="24" s="1"/>
  <c r="I88" i="24"/>
  <c r="I67" i="24"/>
  <c r="I68" i="24"/>
  <c r="I83" i="24"/>
  <c r="I98" i="24"/>
  <c r="I99" i="24"/>
  <c r="I63" i="24"/>
  <c r="I54" i="24"/>
  <c r="I40" i="24"/>
  <c r="I66" i="24"/>
  <c r="I27" i="24"/>
  <c r="I34" i="24"/>
  <c r="I69" i="24"/>
  <c r="I82" i="24"/>
  <c r="I45" i="24"/>
  <c r="I77" i="24"/>
  <c r="I53" i="24"/>
  <c r="I60" i="24"/>
  <c r="I78" i="24"/>
  <c r="I24" i="24"/>
  <c r="I86" i="24"/>
  <c r="I41" i="24"/>
  <c r="I32" i="24"/>
  <c r="I47" i="24"/>
  <c r="I33" i="24"/>
  <c r="I80" i="24"/>
  <c r="I65" i="24"/>
  <c r="I51" i="24"/>
  <c r="I20" i="24"/>
  <c r="I19" i="24"/>
  <c r="I26" i="24"/>
  <c r="I52" i="24"/>
  <c r="I79" i="24"/>
  <c r="I43" i="24"/>
  <c r="I55" i="24"/>
  <c r="I97" i="24"/>
  <c r="I39" i="24"/>
  <c r="I61" i="24"/>
  <c r="I62" i="24"/>
  <c r="I56" i="24"/>
  <c r="I22" i="24"/>
  <c r="I72" i="24"/>
  <c r="I35" i="24"/>
  <c r="I36" i="24"/>
  <c r="I25" i="24"/>
  <c r="I64" i="24"/>
  <c r="I38" i="24"/>
  <c r="I70" i="24"/>
  <c r="I85" i="24"/>
  <c r="I90" i="24"/>
  <c r="I59" i="24"/>
  <c r="I46" i="24"/>
  <c r="I49" i="24"/>
  <c r="I23" i="24"/>
  <c r="I17" i="24"/>
  <c r="I89" i="24"/>
  <c r="I96" i="24"/>
  <c r="I95" i="24"/>
  <c r="I94" i="24"/>
  <c r="I93" i="24"/>
  <c r="I92" i="24"/>
  <c r="I84" i="24"/>
  <c r="I42" i="24"/>
  <c r="I44" i="24"/>
  <c r="I73" i="24"/>
  <c r="I71" i="24"/>
  <c r="I87" i="24"/>
  <c r="I75" i="24"/>
  <c r="I48" i="24"/>
  <c r="DL28" i="24"/>
  <c r="DP28" i="24" s="1"/>
  <c r="DH80" i="24"/>
  <c r="DL80" i="24" s="1"/>
  <c r="DP80" i="24" s="1"/>
  <c r="DL79" i="24"/>
  <c r="DP79" i="24" s="1"/>
  <c r="DL78" i="24"/>
  <c r="DP78" i="24" s="1"/>
  <c r="DL40" i="24"/>
  <c r="DP40" i="24" s="1"/>
  <c r="DL18" i="24"/>
  <c r="DP18" i="24" s="1"/>
  <c r="DL35" i="24"/>
  <c r="DP35" i="24" s="1"/>
  <c r="DL65" i="24"/>
  <c r="DP65" i="24" s="1"/>
  <c r="H5" i="24"/>
  <c r="DL19" i="24"/>
  <c r="DP19" i="24" s="1"/>
  <c r="DL43" i="24"/>
  <c r="DP43" i="24" s="1"/>
  <c r="DL77" i="24"/>
  <c r="DP77" i="24" s="1"/>
  <c r="DL72" i="24"/>
  <c r="DP72" i="24" s="1"/>
  <c r="DL70" i="24"/>
  <c r="DP70" i="24" s="1"/>
  <c r="DL23" i="24"/>
  <c r="DP23" i="24" s="1"/>
  <c r="DL56" i="24"/>
  <c r="DP56" i="24" s="1"/>
  <c r="DL14" i="24"/>
  <c r="DP14" i="24" s="1"/>
  <c r="DL50" i="24"/>
  <c r="DP50" i="24" s="1"/>
  <c r="DL69" i="24"/>
  <c r="DP69" i="24" s="1"/>
  <c r="DL58" i="24"/>
  <c r="DP58" i="24" s="1"/>
  <c r="DL27" i="24"/>
  <c r="DP27" i="24" s="1"/>
  <c r="DL57" i="24"/>
  <c r="DP57" i="24" s="1"/>
  <c r="DL47" i="24"/>
  <c r="DP47" i="24" s="1"/>
  <c r="DL16" i="24"/>
  <c r="DP16" i="24" s="1"/>
  <c r="DL29" i="24"/>
  <c r="DP29" i="24" s="1"/>
  <c r="DL66" i="24"/>
  <c r="DP66" i="24" s="1"/>
  <c r="DL36" i="24"/>
  <c r="DP36" i="24" s="1"/>
  <c r="DL61" i="24"/>
  <c r="DP61" i="24" s="1"/>
  <c r="DL34" i="24"/>
  <c r="DP34" i="24" s="1"/>
  <c r="DL71" i="24"/>
  <c r="DP71" i="24" s="1"/>
  <c r="DL48" i="24"/>
  <c r="DP48" i="24" s="1"/>
  <c r="DL62" i="24"/>
  <c r="DP62" i="24" s="1"/>
  <c r="DL24" i="24"/>
  <c r="DP24" i="24" s="1"/>
  <c r="DL74" i="24"/>
  <c r="DP74" i="24" s="1"/>
  <c r="DL73" i="24"/>
  <c r="DP73" i="24" s="1"/>
  <c r="DL21" i="24"/>
  <c r="DP21" i="24" s="1"/>
  <c r="DL67" i="24"/>
  <c r="DP67" i="24" s="1"/>
  <c r="DL51" i="24"/>
  <c r="DP51" i="24" s="1"/>
  <c r="DL46" i="24"/>
  <c r="DP46" i="24" s="1"/>
  <c r="DL22" i="24"/>
  <c r="DP22" i="24" s="1"/>
  <c r="DL17" i="24"/>
  <c r="DP17" i="24" s="1"/>
  <c r="DL41" i="24"/>
  <c r="DP41" i="24" s="1"/>
  <c r="DL26" i="24"/>
  <c r="DP26" i="24" s="1"/>
  <c r="DL59" i="24"/>
  <c r="DP59" i="24" s="1"/>
  <c r="DL75" i="24"/>
  <c r="DP75" i="24" s="1"/>
  <c r="DL64" i="24"/>
  <c r="DP64" i="24" s="1"/>
  <c r="DL68" i="24"/>
  <c r="DP68" i="24" s="1"/>
  <c r="DL76" i="24"/>
  <c r="DP76" i="24" s="1"/>
  <c r="DL37" i="24"/>
  <c r="DP37" i="24" s="1"/>
  <c r="DL30" i="24"/>
  <c r="DP30" i="24" s="1"/>
  <c r="DL38" i="24"/>
  <c r="DP38" i="24" s="1"/>
  <c r="DL60" i="24"/>
  <c r="DP60" i="24" s="1"/>
  <c r="DL52" i="24"/>
  <c r="DP52" i="24" s="1"/>
  <c r="DL32" i="24"/>
  <c r="DP32" i="24" s="1"/>
  <c r="DL44" i="24"/>
  <c r="DP44" i="24" s="1"/>
  <c r="DL10" i="24"/>
  <c r="DL45" i="24"/>
  <c r="DP45" i="24" s="1"/>
  <c r="DL54" i="24"/>
  <c r="DP54" i="24" s="1"/>
  <c r="E65" i="24"/>
  <c r="E81" i="24"/>
  <c r="E42" i="24"/>
  <c r="E83" i="24"/>
  <c r="E60" i="24"/>
  <c r="E89" i="24"/>
  <c r="E82" i="24"/>
  <c r="E67" i="24"/>
  <c r="E58" i="24"/>
  <c r="E86" i="24"/>
  <c r="E68" i="24"/>
  <c r="E59" i="24"/>
  <c r="E51" i="24"/>
  <c r="E39" i="24"/>
  <c r="E88" i="24"/>
  <c r="E85" i="24"/>
  <c r="E34" i="24"/>
  <c r="E91" i="24"/>
  <c r="E62" i="24"/>
  <c r="E79" i="24"/>
  <c r="E74" i="24"/>
  <c r="E29" i="24"/>
  <c r="E63" i="24"/>
  <c r="E75" i="24"/>
  <c r="E55" i="24"/>
  <c r="E73" i="24"/>
  <c r="E35" i="24"/>
  <c r="E76" i="24"/>
  <c r="E45" i="24"/>
  <c r="E84" i="24"/>
  <c r="E80" i="24"/>
  <c r="E44" i="24"/>
  <c r="E14" i="24"/>
  <c r="E32" i="24"/>
  <c r="E90" i="24"/>
  <c r="E78" i="24"/>
  <c r="E27" i="24"/>
  <c r="E50" i="24"/>
  <c r="E46" i="24"/>
  <c r="E52" i="24"/>
  <c r="E15" i="24"/>
  <c r="E43" i="24"/>
  <c r="E23" i="24"/>
  <c r="E25" i="24"/>
  <c r="E16" i="24"/>
  <c r="E71" i="24"/>
  <c r="E57" i="24"/>
  <c r="E54" i="24"/>
  <c r="E28" i="24"/>
  <c r="E47" i="24"/>
  <c r="E87" i="24"/>
  <c r="E77" i="24"/>
  <c r="E64" i="24"/>
  <c r="E36" i="24"/>
  <c r="E20" i="24"/>
  <c r="E37" i="24"/>
  <c r="E41" i="24"/>
  <c r="E24" i="24"/>
  <c r="E53" i="24"/>
  <c r="E33" i="24"/>
  <c r="E26" i="24"/>
  <c r="E38" i="24"/>
  <c r="E66" i="24"/>
  <c r="E70" i="24"/>
  <c r="E72" i="24"/>
  <c r="E30" i="24"/>
  <c r="E48" i="24"/>
  <c r="E56" i="24"/>
  <c r="E17" i="24"/>
  <c r="E69" i="24"/>
  <c r="E19" i="24"/>
  <c r="E22" i="24"/>
  <c r="E61" i="24"/>
  <c r="E21" i="24"/>
  <c r="E49" i="24"/>
  <c r="E31" i="24"/>
  <c r="E40" i="24"/>
  <c r="E18" i="24"/>
  <c r="DL33" i="24"/>
  <c r="DP33" i="24" s="1"/>
  <c r="DL42" i="24"/>
  <c r="DP42" i="24" s="1"/>
  <c r="DL31" i="24"/>
  <c r="DP31" i="24" s="1"/>
  <c r="DL20" i="24"/>
  <c r="DP20" i="24" s="1"/>
  <c r="DL55" i="24"/>
  <c r="DP55" i="24" s="1"/>
  <c r="DL39" i="24"/>
  <c r="DP39" i="24" s="1"/>
  <c r="DL15" i="24"/>
  <c r="DP15" i="24" s="1"/>
  <c r="DL49" i="24"/>
  <c r="DP49" i="24" s="1"/>
  <c r="DL53" i="24"/>
  <c r="DP53" i="24" s="1"/>
  <c r="DL63" i="24"/>
  <c r="DP63" i="24" s="1"/>
  <c r="DL25" i="24"/>
  <c r="DP25" i="24" s="1"/>
  <c r="I15" i="24"/>
  <c r="G98" i="24" l="1"/>
  <c r="G99" i="24"/>
  <c r="F98" i="24"/>
  <c r="F99" i="24"/>
  <c r="F48" i="24"/>
  <c r="F42" i="24"/>
  <c r="F90" i="24"/>
  <c r="F32" i="24"/>
  <c r="F30" i="24"/>
  <c r="F81" i="24"/>
  <c r="G97" i="24"/>
  <c r="F97" i="24"/>
  <c r="F26" i="24"/>
  <c r="F33" i="24"/>
  <c r="F24" i="24"/>
  <c r="F41" i="24"/>
  <c r="F55" i="24"/>
  <c r="F37" i="24"/>
  <c r="F75" i="24"/>
  <c r="F20" i="24"/>
  <c r="F63" i="24"/>
  <c r="F36" i="24"/>
  <c r="F29" i="24"/>
  <c r="F72" i="24"/>
  <c r="F70" i="24"/>
  <c r="F53" i="24"/>
  <c r="F44" i="24"/>
  <c r="F80" i="24"/>
  <c r="F84" i="24"/>
  <c r="F76" i="24"/>
  <c r="F73" i="24"/>
  <c r="F74" i="24"/>
  <c r="F87" i="24"/>
  <c r="F34" i="24"/>
  <c r="F54" i="24"/>
  <c r="F39" i="24"/>
  <c r="F51" i="24"/>
  <c r="F59" i="24"/>
  <c r="F68" i="24"/>
  <c r="F86" i="24"/>
  <c r="F58" i="24"/>
  <c r="F22" i="24"/>
  <c r="F67" i="24"/>
  <c r="F19" i="24"/>
  <c r="F46" i="24"/>
  <c r="F82" i="24"/>
  <c r="F65" i="24"/>
  <c r="F66" i="24"/>
  <c r="F38" i="24"/>
  <c r="F45" i="24"/>
  <c r="F35" i="24"/>
  <c r="F64" i="24"/>
  <c r="F79" i="24"/>
  <c r="F91" i="24"/>
  <c r="F28" i="24"/>
  <c r="F85" i="24"/>
  <c r="F88" i="24"/>
  <c r="F71" i="24"/>
  <c r="F40" i="24"/>
  <c r="F25" i="24"/>
  <c r="F23" i="24"/>
  <c r="F21" i="24"/>
  <c r="F52" i="24"/>
  <c r="F50" i="24"/>
  <c r="F17" i="24"/>
  <c r="F27" i="24"/>
  <c r="F60" i="24"/>
  <c r="G28" i="24"/>
  <c r="G44" i="24"/>
  <c r="G60" i="24"/>
  <c r="G76" i="24"/>
  <c r="G92" i="24"/>
  <c r="G29" i="24"/>
  <c r="G45" i="24"/>
  <c r="G61" i="24"/>
  <c r="G77" i="24"/>
  <c r="G93" i="24"/>
  <c r="G30" i="24"/>
  <c r="G46" i="24"/>
  <c r="G62" i="24"/>
  <c r="G78" i="24"/>
  <c r="G94" i="24"/>
  <c r="G16" i="24"/>
  <c r="G32" i="24"/>
  <c r="G48" i="24"/>
  <c r="G64" i="24"/>
  <c r="G80" i="24"/>
  <c r="G96" i="24"/>
  <c r="G19" i="24"/>
  <c r="G35" i="24"/>
  <c r="G51" i="24"/>
  <c r="G67" i="24"/>
  <c r="G83" i="24"/>
  <c r="G20" i="24"/>
  <c r="G36" i="24"/>
  <c r="G52" i="24"/>
  <c r="G68" i="24"/>
  <c r="G84" i="24"/>
  <c r="G21" i="24"/>
  <c r="G37" i="24"/>
  <c r="G53" i="24"/>
  <c r="G69" i="24"/>
  <c r="G85" i="24"/>
  <c r="G22" i="24"/>
  <c r="G38" i="24"/>
  <c r="G54" i="24"/>
  <c r="G70" i="24"/>
  <c r="G86" i="24"/>
  <c r="G87" i="24"/>
  <c r="G40" i="24"/>
  <c r="G89" i="24"/>
  <c r="G41" i="24"/>
  <c r="G65" i="24"/>
  <c r="G23" i="24"/>
  <c r="G95" i="24"/>
  <c r="G24" i="24"/>
  <c r="G26" i="24"/>
  <c r="G50" i="24"/>
  <c r="G33" i="24"/>
  <c r="G66" i="24"/>
  <c r="G34" i="24"/>
  <c r="G39" i="24"/>
  <c r="G71" i="24"/>
  <c r="G17" i="24"/>
  <c r="G79" i="24"/>
  <c r="G49" i="24"/>
  <c r="G81" i="24"/>
  <c r="G42" i="24"/>
  <c r="G82" i="24"/>
  <c r="G43" i="24"/>
  <c r="G47" i="24"/>
  <c r="G88" i="24"/>
  <c r="G56" i="24"/>
  <c r="G18" i="24"/>
  <c r="G57" i="24"/>
  <c r="G31" i="24"/>
  <c r="G55" i="24"/>
  <c r="G27" i="24"/>
  <c r="G90" i="24"/>
  <c r="G25" i="24"/>
  <c r="G58" i="24"/>
  <c r="G59" i="24"/>
  <c r="G74" i="24"/>
  <c r="G63" i="24"/>
  <c r="G75" i="24"/>
  <c r="G91" i="24"/>
  <c r="G72" i="24"/>
  <c r="G73" i="24"/>
  <c r="F96" i="24"/>
  <c r="F95" i="24"/>
  <c r="F94" i="24"/>
  <c r="F93" i="24"/>
  <c r="F92" i="24"/>
  <c r="F77" i="24"/>
  <c r="F62" i="24"/>
  <c r="F47" i="24"/>
  <c r="F57" i="24"/>
  <c r="F18" i="24"/>
  <c r="F16" i="24"/>
  <c r="F31" i="24"/>
  <c r="F49" i="24"/>
  <c r="F43" i="24"/>
  <c r="F61" i="24"/>
  <c r="F69" i="24"/>
  <c r="F89" i="24"/>
  <c r="F56" i="24"/>
  <c r="F78" i="24"/>
  <c r="F83" i="24"/>
  <c r="DL81" i="24"/>
  <c r="DP81" i="24" s="1"/>
  <c r="DT81" i="24" s="1"/>
  <c r="DT80" i="24"/>
  <c r="EB80" i="24" s="1"/>
  <c r="DT79" i="24"/>
  <c r="DT78" i="24"/>
  <c r="DT77" i="24"/>
  <c r="EB77" i="24" s="1"/>
  <c r="DT76" i="24"/>
  <c r="EB76" i="24" s="1"/>
  <c r="F15" i="24"/>
  <c r="B70" i="24"/>
  <c r="B47" i="24"/>
  <c r="B65" i="24"/>
  <c r="B89" i="24"/>
  <c r="B72" i="24"/>
  <c r="B57" i="24"/>
  <c r="B81" i="24"/>
  <c r="B75" i="24"/>
  <c r="B58" i="24"/>
  <c r="B49" i="24"/>
  <c r="B90" i="24"/>
  <c r="B64" i="24"/>
  <c r="B76" i="24"/>
  <c r="B69" i="24"/>
  <c r="B56" i="24"/>
  <c r="B46" i="24"/>
  <c r="B82" i="24"/>
  <c r="B91" i="24"/>
  <c r="B88" i="24"/>
  <c r="B85" i="24"/>
  <c r="B79" i="24"/>
  <c r="B34" i="24"/>
  <c r="B74" i="24"/>
  <c r="B84" i="24"/>
  <c r="B48" i="24"/>
  <c r="B53" i="24"/>
  <c r="B43" i="24"/>
  <c r="B87" i="24"/>
  <c r="B71" i="24"/>
  <c r="B54" i="24"/>
  <c r="B42" i="24"/>
  <c r="B51" i="24"/>
  <c r="B41" i="24"/>
  <c r="B38" i="24"/>
  <c r="B78" i="24"/>
  <c r="B55" i="24"/>
  <c r="B86" i="24"/>
  <c r="B62" i="24"/>
  <c r="B37" i="24"/>
  <c r="B25" i="24"/>
  <c r="B80" i="24"/>
  <c r="B35" i="24"/>
  <c r="B26" i="24"/>
  <c r="B59" i="24"/>
  <c r="B24" i="24"/>
  <c r="B21" i="24"/>
  <c r="B14" i="24"/>
  <c r="B45" i="24"/>
  <c r="B44" i="24"/>
  <c r="B73" i="24"/>
  <c r="B60" i="24"/>
  <c r="B18" i="24"/>
  <c r="B66" i="24"/>
  <c r="B36" i="24"/>
  <c r="B16" i="24"/>
  <c r="B63" i="24"/>
  <c r="B68" i="24"/>
  <c r="B29" i="24"/>
  <c r="B19" i="24"/>
  <c r="B52" i="24"/>
  <c r="B23" i="24"/>
  <c r="B22" i="24"/>
  <c r="B83" i="24"/>
  <c r="B33" i="24"/>
  <c r="B61" i="24"/>
  <c r="B32" i="24"/>
  <c r="B30" i="24"/>
  <c r="B15" i="24"/>
  <c r="B77" i="24"/>
  <c r="B39" i="24"/>
  <c r="B20" i="24"/>
  <c r="B27" i="24"/>
  <c r="B50" i="24"/>
  <c r="B17" i="24"/>
  <c r="B40" i="24"/>
  <c r="B31" i="24"/>
  <c r="B67" i="24"/>
  <c r="B28" i="24"/>
  <c r="DT75" i="24"/>
  <c r="EB75" i="24" s="1"/>
  <c r="DT70" i="24"/>
  <c r="EB70" i="24" s="1"/>
  <c r="DT47" i="24"/>
  <c r="EB47" i="24" s="1"/>
  <c r="DT65" i="24"/>
  <c r="EB65" i="24" s="1"/>
  <c r="DT73" i="24"/>
  <c r="EB73" i="24" s="1"/>
  <c r="DT72" i="24"/>
  <c r="EB72" i="24" s="1"/>
  <c r="DT52" i="24"/>
  <c r="EB52" i="24" s="1"/>
  <c r="DT53" i="24"/>
  <c r="EB53" i="24" s="1"/>
  <c r="DT61" i="24"/>
  <c r="EB61" i="24" s="1"/>
  <c r="DT35" i="24"/>
  <c r="EB35" i="24" s="1"/>
  <c r="DT45" i="24"/>
  <c r="EB45" i="24" s="1"/>
  <c r="DT49" i="24"/>
  <c r="EB49" i="24" s="1"/>
  <c r="DT44" i="24"/>
  <c r="EB44" i="24" s="1"/>
  <c r="DT55" i="24"/>
  <c r="EB55" i="24" s="1"/>
  <c r="DT34" i="24"/>
  <c r="EB34" i="24" s="1"/>
  <c r="DT71" i="24"/>
  <c r="EB71" i="24" s="1"/>
  <c r="DT56" i="24"/>
  <c r="EB56" i="24" s="1"/>
  <c r="DT24" i="24"/>
  <c r="EB24" i="24" s="1"/>
  <c r="DT31" i="24"/>
  <c r="EB31" i="24" s="1"/>
  <c r="DT59" i="24"/>
  <c r="EB59" i="24" s="1"/>
  <c r="DT33" i="24"/>
  <c r="EB33" i="24" s="1"/>
  <c r="DT64" i="24"/>
  <c r="EB64" i="24" s="1"/>
  <c r="DT57" i="24"/>
  <c r="EB57" i="24" s="1"/>
  <c r="DT29" i="24"/>
  <c r="EB29" i="24" s="1"/>
  <c r="DT15" i="24"/>
  <c r="EB15" i="24" s="1"/>
  <c r="DT39" i="24"/>
  <c r="EB39" i="24" s="1"/>
  <c r="DT36" i="24"/>
  <c r="EB36" i="24" s="1"/>
  <c r="DT16" i="24"/>
  <c r="EB16" i="24" s="1"/>
  <c r="DT48" i="24"/>
  <c r="EB48" i="24" s="1"/>
  <c r="DT23" i="24"/>
  <c r="EB23" i="24" s="1"/>
  <c r="DT20" i="24"/>
  <c r="EB20" i="24" s="1"/>
  <c r="DT68" i="24"/>
  <c r="EB68" i="24" s="1"/>
  <c r="DT54" i="24"/>
  <c r="EB54" i="24" s="1"/>
  <c r="DT74" i="24"/>
  <c r="EB74" i="24" s="1"/>
  <c r="DT67" i="24"/>
  <c r="EB67" i="24" s="1"/>
  <c r="DT28" i="24"/>
  <c r="EB28" i="24" s="1"/>
  <c r="DT21" i="24"/>
  <c r="EB21" i="24" s="1"/>
  <c r="DT18" i="24"/>
  <c r="EB18" i="24" s="1"/>
  <c r="DT32" i="24"/>
  <c r="EB32" i="24" s="1"/>
  <c r="DT50" i="24"/>
  <c r="EB50" i="24" s="1"/>
  <c r="DT40" i="24"/>
  <c r="EB40" i="24" s="1"/>
  <c r="DT38" i="24"/>
  <c r="EB38" i="24" s="1"/>
  <c r="DT42" i="24"/>
  <c r="EB42" i="24" s="1"/>
  <c r="DT41" i="24"/>
  <c r="EB41" i="24" s="1"/>
  <c r="DT17" i="24"/>
  <c r="EB17" i="24" s="1"/>
  <c r="DT37" i="24"/>
  <c r="EB37" i="24" s="1"/>
  <c r="DT19" i="24"/>
  <c r="EB19" i="24" s="1"/>
  <c r="DT63" i="24"/>
  <c r="EB63" i="24" s="1"/>
  <c r="DT22" i="24"/>
  <c r="EB22" i="24" s="1"/>
  <c r="DT43" i="24"/>
  <c r="EB43" i="24" s="1"/>
  <c r="DT27" i="24"/>
  <c r="EB27" i="24" s="1"/>
  <c r="DT62" i="24"/>
  <c r="EB62" i="24" s="1"/>
  <c r="DT60" i="24"/>
  <c r="EB60" i="24" s="1"/>
  <c r="DT30" i="24"/>
  <c r="EB30" i="24" s="1"/>
  <c r="DT25" i="24"/>
  <c r="EB25" i="24" s="1"/>
  <c r="DT58" i="24"/>
  <c r="EB58" i="24" s="1"/>
  <c r="DT69" i="24"/>
  <c r="EB69" i="24" s="1"/>
  <c r="DT26" i="24"/>
  <c r="EB26" i="24" s="1"/>
  <c r="DT66" i="24"/>
  <c r="EB66" i="24" s="1"/>
  <c r="DT51" i="24"/>
  <c r="EB51" i="24" s="1"/>
  <c r="DT46" i="24"/>
  <c r="EB46" i="24" s="1"/>
  <c r="G15" i="24"/>
  <c r="DT84" i="24" l="1"/>
  <c r="EB84" i="24" s="1"/>
  <c r="C45" i="24"/>
  <c r="C46" i="24"/>
  <c r="DT83" i="24"/>
  <c r="DT82" i="24"/>
  <c r="C98" i="24"/>
  <c r="N98" i="24" s="1"/>
  <c r="C99" i="24"/>
  <c r="N99" i="24" s="1"/>
  <c r="C18" i="24"/>
  <c r="C85" i="24"/>
  <c r="N85" i="24" s="1"/>
  <c r="C60" i="24"/>
  <c r="N60" i="24" s="1"/>
  <c r="C88" i="24"/>
  <c r="N88" i="24" s="1"/>
  <c r="C73" i="24"/>
  <c r="N73" i="24" s="1"/>
  <c r="C91" i="24"/>
  <c r="C44" i="24"/>
  <c r="N44" i="24" s="1"/>
  <c r="C82" i="24"/>
  <c r="N82" i="24" s="1"/>
  <c r="EB82" i="24"/>
  <c r="C66" i="24"/>
  <c r="N66" i="24" s="1"/>
  <c r="C79" i="24"/>
  <c r="N79" i="24" s="1"/>
  <c r="C16" i="24"/>
  <c r="N16" i="24" s="1"/>
  <c r="C74" i="24"/>
  <c r="N74" i="24" s="1"/>
  <c r="C36" i="24"/>
  <c r="N36" i="24" s="1"/>
  <c r="C34" i="24"/>
  <c r="EB83" i="24"/>
  <c r="C29" i="24"/>
  <c r="N29" i="24" s="1"/>
  <c r="C53" i="24"/>
  <c r="N53" i="24" s="1"/>
  <c r="C68" i="24"/>
  <c r="N68" i="24" s="1"/>
  <c r="C48" i="24"/>
  <c r="N48" i="24" s="1"/>
  <c r="C63" i="24"/>
  <c r="N63" i="24" s="1"/>
  <c r="C84" i="24"/>
  <c r="N84" i="24" s="1"/>
  <c r="C64" i="24"/>
  <c r="N64" i="24" s="1"/>
  <c r="C59" i="24"/>
  <c r="N59" i="24" s="1"/>
  <c r="C97" i="24"/>
  <c r="N97" i="24" s="1"/>
  <c r="C31" i="24"/>
  <c r="N31" i="24" s="1"/>
  <c r="C40" i="24"/>
  <c r="N40" i="24" s="1"/>
  <c r="C49" i="24"/>
  <c r="N49" i="24" s="1"/>
  <c r="C17" i="24"/>
  <c r="N17" i="24" s="1"/>
  <c r="C80" i="24"/>
  <c r="N80" i="24" s="1"/>
  <c r="C35" i="24"/>
  <c r="N35" i="24" s="1"/>
  <c r="C50" i="24"/>
  <c r="N50" i="24" s="1"/>
  <c r="C26" i="24"/>
  <c r="N26" i="24" s="1"/>
  <c r="C90" i="24"/>
  <c r="N90" i="24" s="1"/>
  <c r="C96" i="24"/>
  <c r="N96" i="24" s="1"/>
  <c r="C95" i="24"/>
  <c r="N95" i="24" s="1"/>
  <c r="C94" i="24"/>
  <c r="N94" i="24" s="1"/>
  <c r="C93" i="24"/>
  <c r="N93" i="24" s="1"/>
  <c r="C92" i="24"/>
  <c r="N92" i="24" s="1"/>
  <c r="C56" i="24"/>
  <c r="N56" i="24" s="1"/>
  <c r="C28" i="24"/>
  <c r="N28" i="24" s="1"/>
  <c r="C21" i="24"/>
  <c r="N21" i="24" s="1"/>
  <c r="C69" i="24"/>
  <c r="N69" i="24" s="1"/>
  <c r="C67" i="24"/>
  <c r="N67" i="24" s="1"/>
  <c r="C24" i="24"/>
  <c r="N24" i="24" s="1"/>
  <c r="C76" i="24"/>
  <c r="N76" i="24" s="1"/>
  <c r="C57" i="24"/>
  <c r="N57" i="24" s="1"/>
  <c r="C55" i="24"/>
  <c r="N55" i="24" s="1"/>
  <c r="C78" i="24"/>
  <c r="N78" i="24" s="1"/>
  <c r="C65" i="24"/>
  <c r="N65" i="24" s="1"/>
  <c r="C32" i="24"/>
  <c r="N32" i="24" s="1"/>
  <c r="C38" i="24"/>
  <c r="N38" i="24" s="1"/>
  <c r="C47" i="24"/>
  <c r="N47" i="24" s="1"/>
  <c r="C61" i="24"/>
  <c r="N61" i="24" s="1"/>
  <c r="C41" i="24"/>
  <c r="N41" i="24" s="1"/>
  <c r="C70" i="24"/>
  <c r="N70" i="24" s="1"/>
  <c r="C27" i="24"/>
  <c r="N27" i="24" s="1"/>
  <c r="C77" i="24"/>
  <c r="N77" i="24" s="1"/>
  <c r="C89" i="24"/>
  <c r="N89" i="24" s="1"/>
  <c r="C83" i="24"/>
  <c r="N83" i="24" s="1"/>
  <c r="C75" i="24"/>
  <c r="N75" i="24" s="1"/>
  <c r="C20" i="24"/>
  <c r="N20" i="24" s="1"/>
  <c r="C81" i="24"/>
  <c r="N81" i="24" s="1"/>
  <c r="C39" i="24"/>
  <c r="N39" i="24" s="1"/>
  <c r="C86" i="24"/>
  <c r="N86" i="24" s="1"/>
  <c r="C30" i="24"/>
  <c r="N30" i="24" s="1"/>
  <c r="C33" i="24"/>
  <c r="N33" i="24" s="1"/>
  <c r="C51" i="24"/>
  <c r="N51" i="24" s="1"/>
  <c r="C42" i="24"/>
  <c r="N42" i="24" s="1"/>
  <c r="C22" i="24"/>
  <c r="N22" i="24" s="1"/>
  <c r="C54" i="24"/>
  <c r="N54" i="24" s="1"/>
  <c r="C58" i="24"/>
  <c r="N58" i="24" s="1"/>
  <c r="C25" i="24"/>
  <c r="N25" i="24" s="1"/>
  <c r="C37" i="24"/>
  <c r="N37" i="24" s="1"/>
  <c r="C62" i="24"/>
  <c r="N62" i="24" s="1"/>
  <c r="C72" i="24"/>
  <c r="N72" i="24" s="1"/>
  <c r="C23" i="24"/>
  <c r="N23" i="24" s="1"/>
  <c r="C71" i="24"/>
  <c r="N71" i="24" s="1"/>
  <c r="C52" i="24"/>
  <c r="N52" i="24" s="1"/>
  <c r="C87" i="24"/>
  <c r="N87" i="24" s="1"/>
  <c r="C19" i="24"/>
  <c r="N19" i="24" s="1"/>
  <c r="C43" i="24"/>
  <c r="N43" i="24" s="1"/>
  <c r="EB81" i="24"/>
  <c r="N45" i="24"/>
  <c r="N91" i="24"/>
  <c r="N34" i="24"/>
  <c r="N18" i="24"/>
  <c r="EB78" i="24"/>
  <c r="EB79" i="24"/>
  <c r="G5" i="24"/>
  <c r="N46" i="24"/>
  <c r="C15" i="24"/>
  <c r="N15" i="24" s="1"/>
  <c r="Q97" i="24" l="1"/>
  <c r="Q98" i="24"/>
  <c r="R98" i="24"/>
  <c r="DG83" i="24" s="1"/>
  <c r="R97" i="24"/>
  <c r="DG82" i="24" s="1"/>
  <c r="Q95" i="24"/>
  <c r="Q96" i="24"/>
  <c r="R96" i="24" s="1"/>
  <c r="DG81" i="24" s="1"/>
  <c r="R95" i="24"/>
  <c r="Q84" i="24"/>
  <c r="Q99" i="24"/>
  <c r="R99" i="24" s="1"/>
  <c r="DG84" i="24" s="1"/>
  <c r="Q81" i="24"/>
  <c r="Q14" i="24"/>
  <c r="R14" i="24" s="1"/>
  <c r="Q60" i="24"/>
  <c r="Q78" i="24"/>
  <c r="Q39" i="24"/>
  <c r="R39" i="24" s="1"/>
  <c r="DG24" i="24" s="1"/>
  <c r="Q23" i="24"/>
  <c r="R23" i="24" s="1"/>
  <c r="Q88" i="24"/>
  <c r="R88" i="24" s="1"/>
  <c r="DG73" i="24" s="1"/>
  <c r="Q79" i="24"/>
  <c r="R79" i="24" s="1"/>
  <c r="DG64" i="24" s="1"/>
  <c r="Q94" i="24"/>
  <c r="R94" i="24" s="1"/>
  <c r="DG79" i="24" s="1"/>
  <c r="Q57" i="24"/>
  <c r="R57" i="24" s="1"/>
  <c r="DG42" i="24" s="1"/>
  <c r="Q29" i="24"/>
  <c r="Q65" i="24"/>
  <c r="Q28" i="24"/>
  <c r="R28" i="24" s="1"/>
  <c r="DG13" i="24" s="1"/>
  <c r="Q48" i="24"/>
  <c r="R48" i="24" s="1"/>
  <c r="DG33" i="24" s="1"/>
  <c r="Q21" i="24"/>
  <c r="Q42" i="24"/>
  <c r="R42" i="24" s="1"/>
  <c r="DG27" i="24" s="1"/>
  <c r="Q53" i="24"/>
  <c r="R53" i="24" s="1"/>
  <c r="DG38" i="24" s="1"/>
  <c r="Q74" i="24"/>
  <c r="R74" i="24" s="1"/>
  <c r="DG59" i="24" s="1"/>
  <c r="Q19" i="24"/>
  <c r="R19" i="24" s="1"/>
  <c r="Q56" i="24"/>
  <c r="R56" i="24" s="1"/>
  <c r="DG41" i="24" s="1"/>
  <c r="Q55" i="24"/>
  <c r="R55" i="24" s="1"/>
  <c r="DG40" i="24" s="1"/>
  <c r="Q62" i="24"/>
  <c r="R62" i="24" s="1"/>
  <c r="DG47" i="24" s="1"/>
  <c r="Q61" i="24"/>
  <c r="R61" i="24" s="1"/>
  <c r="DG46" i="24" s="1"/>
  <c r="Q75" i="24"/>
  <c r="R75" i="24" s="1"/>
  <c r="DG60" i="24" s="1"/>
  <c r="Q66" i="24"/>
  <c r="R66" i="24" s="1"/>
  <c r="DG51" i="24" s="1"/>
  <c r="Q77" i="24"/>
  <c r="R77" i="24" s="1"/>
  <c r="DG62" i="24" s="1"/>
  <c r="Q71" i="24"/>
  <c r="R71" i="24" s="1"/>
  <c r="DG56" i="24" s="1"/>
  <c r="Q18" i="24"/>
  <c r="R18" i="24" s="1"/>
  <c r="Q17" i="24"/>
  <c r="R17" i="24" s="1"/>
  <c r="Q87" i="24"/>
  <c r="R87" i="24" s="1"/>
  <c r="DG72" i="24" s="1"/>
  <c r="Q31" i="24"/>
  <c r="R31" i="24" s="1"/>
  <c r="DG16" i="24" s="1"/>
  <c r="Q40" i="24"/>
  <c r="R40" i="24" s="1"/>
  <c r="DG25" i="24" s="1"/>
  <c r="Q44" i="24"/>
  <c r="R44" i="24" s="1"/>
  <c r="DG29" i="24" s="1"/>
  <c r="Q67" i="24"/>
  <c r="R67" i="24" s="1"/>
  <c r="DG52" i="24" s="1"/>
  <c r="Q30" i="24"/>
  <c r="R30" i="24" s="1"/>
  <c r="DG15" i="24" s="1"/>
  <c r="Q49" i="24"/>
  <c r="R49" i="24" s="1"/>
  <c r="DG34" i="24" s="1"/>
  <c r="Q80" i="24"/>
  <c r="R80" i="24" s="1"/>
  <c r="DG65" i="24" s="1"/>
  <c r="Q76" i="24"/>
  <c r="R76" i="24" s="1"/>
  <c r="DG61" i="24" s="1"/>
  <c r="Q15" i="24"/>
  <c r="R15" i="24" s="1"/>
  <c r="Q54" i="24"/>
  <c r="R54" i="24" s="1"/>
  <c r="DG39" i="24" s="1"/>
  <c r="Q89" i="24"/>
  <c r="R89" i="24" s="1"/>
  <c r="DG74" i="24" s="1"/>
  <c r="Q43" i="24"/>
  <c r="R43" i="24" s="1"/>
  <c r="DG28" i="24" s="1"/>
  <c r="Q92" i="24"/>
  <c r="R92" i="24" s="1"/>
  <c r="DG77" i="24" s="1"/>
  <c r="Q93" i="24"/>
  <c r="R93" i="24" s="1"/>
  <c r="DG78" i="24" s="1"/>
  <c r="Q82" i="24"/>
  <c r="R82" i="24" s="1"/>
  <c r="DG67" i="24" s="1"/>
  <c r="Q72" i="24"/>
  <c r="R72" i="24" s="1"/>
  <c r="DG57" i="24" s="1"/>
  <c r="Q16" i="24"/>
  <c r="R16" i="24" s="1"/>
  <c r="Q52" i="24"/>
  <c r="R52" i="24" s="1"/>
  <c r="DG37" i="24" s="1"/>
  <c r="Q37" i="24"/>
  <c r="R37" i="24" s="1"/>
  <c r="DG22" i="24" s="1"/>
  <c r="Q58" i="24"/>
  <c r="R58" i="24" s="1"/>
  <c r="DG43" i="24" s="1"/>
  <c r="Q20" i="24"/>
  <c r="R20" i="24" s="1"/>
  <c r="Q35" i="24"/>
  <c r="R35" i="24" s="1"/>
  <c r="DG20" i="24" s="1"/>
  <c r="Q46" i="24"/>
  <c r="R46" i="24" s="1"/>
  <c r="DG31" i="24" s="1"/>
  <c r="Q22" i="24"/>
  <c r="R22" i="24" s="1"/>
  <c r="Q86" i="24"/>
  <c r="R86" i="24" s="1"/>
  <c r="DG71" i="24" s="1"/>
  <c r="Q41" i="24"/>
  <c r="R41" i="24" s="1"/>
  <c r="DG26" i="24" s="1"/>
  <c r="Q47" i="24"/>
  <c r="R47" i="24" s="1"/>
  <c r="DG32" i="24" s="1"/>
  <c r="Q32" i="24"/>
  <c r="R32" i="24" s="1"/>
  <c r="DG17" i="24" s="1"/>
  <c r="Q36" i="24"/>
  <c r="R36" i="24" s="1"/>
  <c r="DG21" i="24" s="1"/>
  <c r="Q50" i="24"/>
  <c r="R50" i="24" s="1"/>
  <c r="DG35" i="24" s="1"/>
  <c r="Q73" i="24"/>
  <c r="R73" i="24" s="1"/>
  <c r="DG58" i="24" s="1"/>
  <c r="Q69" i="24"/>
  <c r="R69" i="24" s="1"/>
  <c r="DG54" i="24" s="1"/>
  <c r="Q68" i="24"/>
  <c r="R68" i="24" s="1"/>
  <c r="DG53" i="24" s="1"/>
  <c r="Q63" i="24"/>
  <c r="R63" i="24" s="1"/>
  <c r="DG48" i="24" s="1"/>
  <c r="R84" i="24"/>
  <c r="DG69" i="24" s="1"/>
  <c r="Q83" i="24"/>
  <c r="R83" i="24" s="1"/>
  <c r="DG68" i="24" s="1"/>
  <c r="Q45" i="24"/>
  <c r="R45" i="24" s="1"/>
  <c r="DG30" i="24" s="1"/>
  <c r="Q34" i="24"/>
  <c r="R34" i="24" s="1"/>
  <c r="DG19" i="24" s="1"/>
  <c r="Q91" i="24"/>
  <c r="R91" i="24" s="1"/>
  <c r="DG76" i="24" s="1"/>
  <c r="Q24" i="24"/>
  <c r="R24" i="24" s="1"/>
  <c r="Q27" i="24"/>
  <c r="R27" i="24" s="1"/>
  <c r="Q26" i="24"/>
  <c r="R26" i="24" s="1"/>
  <c r="Q85" i="24"/>
  <c r="R85" i="24" s="1"/>
  <c r="DG70" i="24" s="1"/>
  <c r="Q51" i="24"/>
  <c r="R51" i="24" s="1"/>
  <c r="DG36" i="24" s="1"/>
  <c r="Q25" i="24"/>
  <c r="R25" i="24" s="1"/>
  <c r="Q64" i="24"/>
  <c r="R64" i="24" s="1"/>
  <c r="DG49" i="24" s="1"/>
  <c r="Q38" i="24"/>
  <c r="R38" i="24" s="1"/>
  <c r="DG23" i="24" s="1"/>
  <c r="Q70" i="24"/>
  <c r="R70" i="24" s="1"/>
  <c r="DG55" i="24" s="1"/>
  <c r="Q59" i="24"/>
  <c r="R59" i="24" s="1"/>
  <c r="DG44" i="24" s="1"/>
  <c r="Q33" i="24"/>
  <c r="R33" i="24" s="1"/>
  <c r="DG18" i="24" s="1"/>
  <c r="Q90" i="24"/>
  <c r="R90" i="24" s="1"/>
  <c r="DG75" i="24" s="1"/>
  <c r="R78" i="24"/>
  <c r="DG63" i="24" s="1"/>
  <c r="R65" i="24"/>
  <c r="DG50" i="24" s="1"/>
  <c r="R81" i="24"/>
  <c r="DG66" i="24" s="1"/>
  <c r="R29" i="24"/>
  <c r="DG14" i="24" s="1"/>
  <c r="R21" i="24"/>
  <c r="R60" i="24"/>
  <c r="DG45" i="24" s="1"/>
  <c r="DK82" i="24" l="1"/>
  <c r="DK84" i="24"/>
  <c r="DK83" i="24"/>
  <c r="DG80" i="24"/>
  <c r="DK81" i="24" s="1"/>
  <c r="DK79" i="24"/>
  <c r="DK60" i="24"/>
  <c r="DK74" i="24"/>
  <c r="DK59" i="24"/>
  <c r="DK73" i="24"/>
  <c r="DK70" i="24"/>
  <c r="DK69" i="24"/>
  <c r="DK72" i="24"/>
  <c r="DK65" i="24"/>
  <c r="DK37" i="24"/>
  <c r="DK17" i="24"/>
  <c r="DK77" i="24"/>
  <c r="DK19" i="24"/>
  <c r="DK64" i="24"/>
  <c r="DK39" i="24"/>
  <c r="DK20" i="24"/>
  <c r="DK55" i="24"/>
  <c r="DK49" i="24"/>
  <c r="DK54" i="24"/>
  <c r="DK40" i="24"/>
  <c r="DK31" i="24"/>
  <c r="DK32" i="24"/>
  <c r="DK78" i="24"/>
  <c r="DK56" i="24"/>
  <c r="DK53" i="24"/>
  <c r="DK28" i="24"/>
  <c r="DK38" i="24"/>
  <c r="DK29" i="24"/>
  <c r="DK57" i="24"/>
  <c r="DK63" i="24"/>
  <c r="DK51" i="24"/>
  <c r="DK71" i="24"/>
  <c r="DK24" i="24"/>
  <c r="DK23" i="24"/>
  <c r="DK75" i="24"/>
  <c r="DK14" i="24"/>
  <c r="DK67" i="24"/>
  <c r="DK35" i="24"/>
  <c r="DK76" i="24"/>
  <c r="DK15" i="24"/>
  <c r="DK46" i="24"/>
  <c r="DK30" i="24"/>
  <c r="DK10" i="24"/>
  <c r="DK11" i="24" s="1"/>
  <c r="DO82" i="24" s="1"/>
  <c r="DK44" i="24"/>
  <c r="DK25" i="24"/>
  <c r="DK21" i="24"/>
  <c r="DK42" i="24"/>
  <c r="DK52" i="24"/>
  <c r="DK26" i="24"/>
  <c r="DK47" i="24"/>
  <c r="DK66" i="24"/>
  <c r="DK61" i="24"/>
  <c r="DK33" i="24"/>
  <c r="BV76" i="24"/>
  <c r="BW76" i="24" s="1"/>
  <c r="BV75" i="24"/>
  <c r="BW75" i="24" s="1"/>
  <c r="BV51" i="24"/>
  <c r="BW51" i="24" s="1"/>
  <c r="BV56" i="24"/>
  <c r="BW56" i="24" s="1"/>
  <c r="BV50" i="24"/>
  <c r="BW50" i="24" s="1"/>
  <c r="BV57" i="24"/>
  <c r="BW57" i="24" s="1"/>
  <c r="BV67" i="24"/>
  <c r="BW67" i="24" s="1"/>
  <c r="BV53" i="24"/>
  <c r="BV35" i="24"/>
  <c r="BV69" i="24"/>
  <c r="BV28" i="24"/>
  <c r="BV44" i="24"/>
  <c r="BV66" i="24"/>
  <c r="BV42" i="24"/>
  <c r="BV36" i="24"/>
  <c r="BV72" i="24"/>
  <c r="BV58" i="24"/>
  <c r="BV22" i="24"/>
  <c r="BV19" i="24"/>
  <c r="BV21" i="24"/>
  <c r="BV65" i="24"/>
  <c r="BV24" i="24"/>
  <c r="BV49" i="24"/>
  <c r="BV14" i="24"/>
  <c r="BV39" i="24"/>
  <c r="BW39" i="24" s="1"/>
  <c r="BV70" i="24"/>
  <c r="BW70" i="24" s="1"/>
  <c r="BV45" i="24"/>
  <c r="BV30" i="24"/>
  <c r="BW30" i="24" s="1"/>
  <c r="BV54" i="24"/>
  <c r="BW54" i="24" s="1"/>
  <c r="BV74" i="24"/>
  <c r="BW74" i="24" s="1"/>
  <c r="BV34" i="24"/>
  <c r="BW34" i="24" s="1"/>
  <c r="BV17" i="24"/>
  <c r="BW17" i="24" s="1"/>
  <c r="BV71" i="24"/>
  <c r="BW71" i="24" s="1"/>
  <c r="BV38" i="24"/>
  <c r="BW38" i="24" s="1"/>
  <c r="BV20" i="24"/>
  <c r="BW20" i="24" s="1"/>
  <c r="BV23" i="24"/>
  <c r="BW23" i="24" s="1"/>
  <c r="BV26" i="24"/>
  <c r="BW26" i="24" s="1"/>
  <c r="BV73" i="24"/>
  <c r="BW73" i="24" s="1"/>
  <c r="BV59" i="24"/>
  <c r="BW59" i="24" s="1"/>
  <c r="BV32" i="24"/>
  <c r="BV27" i="24"/>
  <c r="BV60" i="24"/>
  <c r="BV47" i="24"/>
  <c r="BV18" i="24"/>
  <c r="BV29" i="24"/>
  <c r="BV31" i="24"/>
  <c r="BV55" i="24"/>
  <c r="BV61" i="24"/>
  <c r="BV37" i="24"/>
  <c r="BV48" i="24"/>
  <c r="BV68" i="24"/>
  <c r="BV25" i="24"/>
  <c r="BV43" i="24"/>
  <c r="BV15" i="24"/>
  <c r="BV52" i="24"/>
  <c r="BV62" i="24"/>
  <c r="BV63" i="24"/>
  <c r="BW63" i="24" s="1"/>
  <c r="BV16" i="24"/>
  <c r="BW16" i="24" s="1"/>
  <c r="BV33" i="24"/>
  <c r="BV41" i="24"/>
  <c r="BW41" i="24" s="1"/>
  <c r="BV46" i="24"/>
  <c r="BW46" i="24" s="1"/>
  <c r="BV40" i="24"/>
  <c r="BW40" i="24" s="1"/>
  <c r="BV64" i="24"/>
  <c r="BW64" i="24" s="1"/>
  <c r="DK16" i="24"/>
  <c r="DK62" i="24"/>
  <c r="DK58" i="24"/>
  <c r="DK45" i="24"/>
  <c r="DK68" i="24"/>
  <c r="DK27" i="24"/>
  <c r="DK36" i="24"/>
  <c r="DK34" i="24"/>
  <c r="DK43" i="24"/>
  <c r="DK48" i="24"/>
  <c r="DK22" i="24"/>
  <c r="DK18" i="24"/>
  <c r="DK41" i="24"/>
  <c r="DK50" i="24"/>
  <c r="DO83" i="24" l="1"/>
  <c r="DO84" i="24"/>
  <c r="BW84" i="24"/>
  <c r="BW85" i="24"/>
  <c r="DK80" i="24"/>
  <c r="BW32" i="24"/>
  <c r="BW53" i="24"/>
  <c r="BW83" i="24"/>
  <c r="BW62" i="24"/>
  <c r="BW65" i="24"/>
  <c r="BW33" i="24"/>
  <c r="BW45" i="24"/>
  <c r="BW21" i="24"/>
  <c r="BW22" i="24"/>
  <c r="BW72" i="24"/>
  <c r="BW42" i="24"/>
  <c r="BW29" i="24"/>
  <c r="BW66" i="24"/>
  <c r="BW82" i="24"/>
  <c r="BW80" i="24"/>
  <c r="BW81" i="24"/>
  <c r="BW79" i="24"/>
  <c r="BW78" i="24"/>
  <c r="BW77" i="24"/>
  <c r="BW24" i="24"/>
  <c r="BW25" i="24"/>
  <c r="BW48" i="24"/>
  <c r="BW61" i="24"/>
  <c r="BW31" i="24"/>
  <c r="BW18" i="24"/>
  <c r="BW44" i="24"/>
  <c r="BW52" i="24"/>
  <c r="BW43" i="24"/>
  <c r="BW19" i="24"/>
  <c r="BW58" i="24"/>
  <c r="BW36" i="24"/>
  <c r="BW47" i="24"/>
  <c r="BW28" i="24"/>
  <c r="BW49" i="24"/>
  <c r="BW68" i="24"/>
  <c r="BW37" i="24"/>
  <c r="BW55" i="24"/>
  <c r="BW60" i="24"/>
  <c r="BW69" i="24"/>
  <c r="BW27" i="24"/>
  <c r="BW35" i="24"/>
  <c r="DO81" i="24"/>
  <c r="DO79" i="24"/>
  <c r="DO80" i="24"/>
  <c r="DO78" i="24"/>
  <c r="DO71" i="24"/>
  <c r="DO77" i="24"/>
  <c r="DO47" i="24"/>
  <c r="DO35" i="24"/>
  <c r="DO60" i="24"/>
  <c r="DO52" i="24"/>
  <c r="DO65" i="24"/>
  <c r="DO53" i="24"/>
  <c r="DO32" i="24"/>
  <c r="DO28" i="24"/>
  <c r="DO49" i="24"/>
  <c r="DO42" i="24"/>
  <c r="DO34" i="24"/>
  <c r="DO55" i="24"/>
  <c r="DO29" i="24"/>
  <c r="DO36" i="24"/>
  <c r="DO31" i="24"/>
  <c r="DO20" i="24"/>
  <c r="DO27" i="24"/>
  <c r="DO68" i="24"/>
  <c r="DO67" i="24"/>
  <c r="DO45" i="24"/>
  <c r="DO41" i="24"/>
  <c r="DO58" i="24"/>
  <c r="DO62" i="24"/>
  <c r="DO50" i="24"/>
  <c r="DO51" i="24"/>
  <c r="DO76" i="24"/>
  <c r="DO16" i="24"/>
  <c r="DO61" i="24"/>
  <c r="DO33" i="24"/>
  <c r="DO22" i="24"/>
  <c r="DO73" i="24"/>
  <c r="DO18" i="24"/>
  <c r="DO38" i="24"/>
  <c r="DO25" i="24"/>
  <c r="DO70" i="24"/>
  <c r="DO24" i="24"/>
  <c r="DO44" i="24"/>
  <c r="DO43" i="24"/>
  <c r="DO64" i="24"/>
  <c r="DO39" i="24"/>
  <c r="DO30" i="24"/>
  <c r="DO15" i="24"/>
  <c r="DO19" i="24"/>
  <c r="DO54" i="24"/>
  <c r="DO74" i="24"/>
  <c r="DO37" i="24"/>
  <c r="DO57" i="24"/>
  <c r="DO14" i="24"/>
  <c r="DO69" i="24"/>
  <c r="DO59" i="24"/>
  <c r="DO72" i="24"/>
  <c r="DO13" i="24"/>
  <c r="DO48" i="24"/>
  <c r="DO17" i="24"/>
  <c r="DO63" i="24"/>
  <c r="DO23" i="24"/>
  <c r="DO66" i="24"/>
  <c r="DO40" i="24"/>
  <c r="DO26" i="24"/>
  <c r="DO46" i="24"/>
  <c r="DO21" i="24"/>
  <c r="DO56" i="24"/>
  <c r="DO75" i="24"/>
  <c r="BS74" i="24"/>
  <c r="BS71" i="24"/>
  <c r="BS56" i="24"/>
  <c r="BS75" i="24"/>
  <c r="BS73" i="24"/>
  <c r="BS54" i="24"/>
  <c r="BS24" i="24"/>
  <c r="BS69" i="24"/>
  <c r="BS36" i="24"/>
  <c r="BS26" i="24"/>
  <c r="BS52" i="24"/>
  <c r="BS28" i="24"/>
  <c r="BS21" i="24"/>
  <c r="BS14" i="24"/>
  <c r="BS42" i="24"/>
  <c r="BS68" i="24"/>
  <c r="BS39" i="24"/>
  <c r="BS47" i="24"/>
  <c r="BS22" i="24"/>
  <c r="BS33" i="24"/>
  <c r="BS31" i="24"/>
  <c r="BS76" i="24"/>
  <c r="BS65" i="24"/>
  <c r="BS17" i="24"/>
  <c r="BS19" i="24"/>
  <c r="BS44" i="24"/>
  <c r="BS18" i="24"/>
  <c r="BS46" i="24"/>
  <c r="BS59" i="24"/>
  <c r="BS66" i="24"/>
  <c r="BS57" i="24"/>
  <c r="BS61" i="24"/>
  <c r="BS40" i="24"/>
  <c r="BS16" i="24"/>
  <c r="BS34" i="24"/>
  <c r="BS53" i="24"/>
  <c r="BS38" i="24"/>
  <c r="BS49" i="24"/>
  <c r="BS62" i="24"/>
  <c r="BS63" i="24"/>
  <c r="BS58" i="24"/>
  <c r="BS27" i="24"/>
  <c r="BS60" i="24"/>
  <c r="BS20" i="24"/>
  <c r="BS29" i="24"/>
  <c r="BS35" i="24"/>
  <c r="BS50" i="24"/>
  <c r="BS25" i="24"/>
  <c r="BS51" i="24"/>
  <c r="BS43" i="24"/>
  <c r="BS48" i="24"/>
  <c r="BS41" i="24"/>
  <c r="BS45" i="24"/>
  <c r="BS32" i="24"/>
  <c r="BS55" i="24"/>
  <c r="BS23" i="24"/>
  <c r="BS30" i="24"/>
  <c r="BS64" i="24"/>
  <c r="BS15" i="24"/>
  <c r="BS67" i="24"/>
  <c r="BS37" i="24"/>
  <c r="BS72" i="24"/>
  <c r="BS70" i="24"/>
  <c r="BW15" i="24"/>
  <c r="DS82" i="24" l="1"/>
  <c r="DS83" i="24"/>
  <c r="DS84" i="24"/>
  <c r="EA84" i="24" s="1"/>
  <c r="BT84" i="24"/>
  <c r="BY84" i="24" s="1"/>
  <c r="DI83" i="24" s="1"/>
  <c r="BT85" i="24"/>
  <c r="BT47" i="24"/>
  <c r="BY47" i="24" s="1"/>
  <c r="DI46" i="24" s="1"/>
  <c r="BT50" i="24"/>
  <c r="BT39" i="24"/>
  <c r="BY39" i="24" s="1"/>
  <c r="DI38" i="24" s="1"/>
  <c r="BT43" i="24"/>
  <c r="BY43" i="24" s="1"/>
  <c r="DI42" i="24" s="1"/>
  <c r="BT83" i="24"/>
  <c r="BY83" i="24" s="1"/>
  <c r="DI82" i="24" s="1"/>
  <c r="BT48" i="24"/>
  <c r="BY48" i="24" s="1"/>
  <c r="DI47" i="24" s="1"/>
  <c r="BT22" i="24"/>
  <c r="BY22" i="24" s="1"/>
  <c r="DI21" i="24" s="1"/>
  <c r="BT42" i="24"/>
  <c r="BT68" i="24"/>
  <c r="BY68" i="24" s="1"/>
  <c r="DI67" i="24" s="1"/>
  <c r="BT51" i="24"/>
  <c r="BY51" i="24" s="1"/>
  <c r="DI50" i="24" s="1"/>
  <c r="BT25" i="24"/>
  <c r="BY25" i="24" s="1"/>
  <c r="DI24" i="24" s="1"/>
  <c r="BT35" i="24"/>
  <c r="BY35" i="24" s="1"/>
  <c r="DI34" i="24" s="1"/>
  <c r="BT45" i="24"/>
  <c r="BY45" i="24" s="1"/>
  <c r="DI44" i="24" s="1"/>
  <c r="BT31" i="24"/>
  <c r="BY31" i="24" s="1"/>
  <c r="DI30" i="24" s="1"/>
  <c r="BT41" i="24"/>
  <c r="BY41" i="24" s="1"/>
  <c r="DI40" i="24" s="1"/>
  <c r="BT33" i="24"/>
  <c r="BY33" i="24" s="1"/>
  <c r="DI32" i="24" s="1"/>
  <c r="BT62" i="24"/>
  <c r="BY62" i="24" s="1"/>
  <c r="DI61" i="24" s="1"/>
  <c r="BT21" i="24"/>
  <c r="BY21" i="24" s="1"/>
  <c r="DI20" i="24" s="1"/>
  <c r="BT69" i="24"/>
  <c r="BY69" i="24" s="1"/>
  <c r="DI68" i="24" s="1"/>
  <c r="BT20" i="24"/>
  <c r="BY20" i="24" s="1"/>
  <c r="DI19" i="24" s="1"/>
  <c r="BT24" i="24"/>
  <c r="BY24" i="24" s="1"/>
  <c r="DI23" i="24" s="1"/>
  <c r="BT34" i="24"/>
  <c r="BY34" i="24" s="1"/>
  <c r="DI33" i="24" s="1"/>
  <c r="BT37" i="24"/>
  <c r="BY37" i="24" s="1"/>
  <c r="DI36" i="24" s="1"/>
  <c r="BT18" i="24"/>
  <c r="BY18" i="24" s="1"/>
  <c r="DI17" i="24" s="1"/>
  <c r="BT82" i="24"/>
  <c r="BY82" i="24" s="1"/>
  <c r="DI81" i="24" s="1"/>
  <c r="BY85" i="24"/>
  <c r="DI84" i="24" s="1"/>
  <c r="DM84" i="24" s="1"/>
  <c r="DQ84" i="24" s="1"/>
  <c r="BT80" i="24"/>
  <c r="BY80" i="24" s="1"/>
  <c r="DI79" i="24" s="1"/>
  <c r="BT81" i="24"/>
  <c r="BY81" i="24" s="1"/>
  <c r="BT79" i="24"/>
  <c r="BY79" i="24" s="1"/>
  <c r="DI78" i="24" s="1"/>
  <c r="BT78" i="24"/>
  <c r="BY78" i="24" s="1"/>
  <c r="DI77" i="24" s="1"/>
  <c r="BT77" i="24"/>
  <c r="BY77" i="24" s="1"/>
  <c r="DI76" i="24" s="1"/>
  <c r="BT28" i="24"/>
  <c r="BY28" i="24" s="1"/>
  <c r="DI27" i="24" s="1"/>
  <c r="BT26" i="24"/>
  <c r="BY26" i="24" s="1"/>
  <c r="DI25" i="24" s="1"/>
  <c r="BT38" i="24"/>
  <c r="BY38" i="24" s="1"/>
  <c r="DI37" i="24" s="1"/>
  <c r="BT16" i="24"/>
  <c r="BY16" i="24" s="1"/>
  <c r="DI15" i="24" s="1"/>
  <c r="BT66" i="24"/>
  <c r="BY66" i="24" s="1"/>
  <c r="DI65" i="24" s="1"/>
  <c r="BT29" i="24"/>
  <c r="BY29" i="24" s="1"/>
  <c r="DI28" i="24" s="1"/>
  <c r="BT27" i="24"/>
  <c r="BY27" i="24" s="1"/>
  <c r="DI26" i="24" s="1"/>
  <c r="BT63" i="24"/>
  <c r="BY63" i="24" s="1"/>
  <c r="DI62" i="24" s="1"/>
  <c r="BT54" i="24"/>
  <c r="BY54" i="24" s="1"/>
  <c r="DI53" i="24" s="1"/>
  <c r="BT74" i="24"/>
  <c r="BY74" i="24" s="1"/>
  <c r="DI73" i="24" s="1"/>
  <c r="BT57" i="24"/>
  <c r="BY57" i="24" s="1"/>
  <c r="DI56" i="24" s="1"/>
  <c r="BT19" i="24"/>
  <c r="BY19" i="24" s="1"/>
  <c r="DI18" i="24" s="1"/>
  <c r="BT52" i="24"/>
  <c r="BY52" i="24" s="1"/>
  <c r="DI51" i="24" s="1"/>
  <c r="BT58" i="24"/>
  <c r="BY58" i="24" s="1"/>
  <c r="DI57" i="24" s="1"/>
  <c r="BT73" i="24"/>
  <c r="BY73" i="24" s="1"/>
  <c r="DI72" i="24" s="1"/>
  <c r="BT56" i="24"/>
  <c r="BY56" i="24" s="1"/>
  <c r="DI55" i="24" s="1"/>
  <c r="BT40" i="24"/>
  <c r="BY40" i="24" s="1"/>
  <c r="DI39" i="24" s="1"/>
  <c r="BT59" i="24"/>
  <c r="BY59" i="24" s="1"/>
  <c r="DI58" i="24" s="1"/>
  <c r="BT64" i="24"/>
  <c r="BY64" i="24" s="1"/>
  <c r="DI63" i="24" s="1"/>
  <c r="BT17" i="24"/>
  <c r="BY17" i="24" s="1"/>
  <c r="DI16" i="24" s="1"/>
  <c r="BT60" i="24"/>
  <c r="BY60" i="24" s="1"/>
  <c r="DI59" i="24" s="1"/>
  <c r="BT49" i="24"/>
  <c r="BY49" i="24" s="1"/>
  <c r="DI48" i="24" s="1"/>
  <c r="BT53" i="24"/>
  <c r="BY53" i="24" s="1"/>
  <c r="DI52" i="24" s="1"/>
  <c r="BT61" i="24"/>
  <c r="BY61" i="24" s="1"/>
  <c r="DI60" i="24" s="1"/>
  <c r="BT72" i="24"/>
  <c r="BY72" i="24" s="1"/>
  <c r="DI71" i="24" s="1"/>
  <c r="BT67" i="24"/>
  <c r="BY67" i="24" s="1"/>
  <c r="DI66" i="24" s="1"/>
  <c r="BT44" i="24"/>
  <c r="BY44" i="24" s="1"/>
  <c r="DI43" i="24" s="1"/>
  <c r="BT55" i="24"/>
  <c r="BY55" i="24" s="1"/>
  <c r="DI54" i="24" s="1"/>
  <c r="BT65" i="24"/>
  <c r="BY65" i="24" s="1"/>
  <c r="DI64" i="24" s="1"/>
  <c r="BT36" i="24"/>
  <c r="BY36" i="24" s="1"/>
  <c r="DI35" i="24" s="1"/>
  <c r="BT75" i="24"/>
  <c r="BY75" i="24" s="1"/>
  <c r="DI74" i="24" s="1"/>
  <c r="BT71" i="24"/>
  <c r="BY71" i="24" s="1"/>
  <c r="DI70" i="24" s="1"/>
  <c r="BT70" i="24"/>
  <c r="BY70" i="24" s="1"/>
  <c r="DI69" i="24" s="1"/>
  <c r="BT46" i="24"/>
  <c r="BY46" i="24" s="1"/>
  <c r="DI45" i="24" s="1"/>
  <c r="BT30" i="24"/>
  <c r="BY30" i="24" s="1"/>
  <c r="DI29" i="24" s="1"/>
  <c r="BT23" i="24"/>
  <c r="BY23" i="24" s="1"/>
  <c r="DI22" i="24" s="1"/>
  <c r="BT32" i="24"/>
  <c r="BY32" i="24" s="1"/>
  <c r="DI31" i="24" s="1"/>
  <c r="BT76" i="24"/>
  <c r="BY76" i="24" s="1"/>
  <c r="DI75" i="24" s="1"/>
  <c r="DS81" i="24"/>
  <c r="EA83" i="24"/>
  <c r="DS80" i="24"/>
  <c r="EA80" i="24" s="1"/>
  <c r="DS79" i="24"/>
  <c r="DS78" i="24"/>
  <c r="DS77" i="24"/>
  <c r="EA77" i="24" s="1"/>
  <c r="BY50" i="24"/>
  <c r="DI49" i="24" s="1"/>
  <c r="BY42" i="24"/>
  <c r="DI41" i="24" s="1"/>
  <c r="DS76" i="24"/>
  <c r="EA76" i="24" s="1"/>
  <c r="E29" i="5"/>
  <c r="E26" i="9"/>
  <c r="N32" i="14"/>
  <c r="O32" i="14" s="1"/>
  <c r="E24" i="10"/>
  <c r="B40" i="12"/>
  <c r="C40" i="12" s="1"/>
  <c r="H32" i="14"/>
  <c r="I32" i="14" s="1"/>
  <c r="N40" i="12"/>
  <c r="O40" i="12" s="1"/>
  <c r="Q40" i="12"/>
  <c r="R40" i="12" s="1"/>
  <c r="E28" i="8"/>
  <c r="B33" i="2"/>
  <c r="K24" i="10"/>
  <c r="B28" i="8"/>
  <c r="K32" i="14"/>
  <c r="L32" i="14" s="1"/>
  <c r="E32" i="3"/>
  <c r="E32" i="14"/>
  <c r="F32" i="14" s="1"/>
  <c r="BT15" i="24"/>
  <c r="BY15" i="24" s="1"/>
  <c r="DI14" i="24" s="1"/>
  <c r="DM14" i="24" s="1"/>
  <c r="DQ14" i="24" s="1"/>
  <c r="DS22" i="24"/>
  <c r="EA22" i="24" s="1"/>
  <c r="DS34" i="24"/>
  <c r="EA34" i="24" s="1"/>
  <c r="DS40" i="24"/>
  <c r="EA40" i="24" s="1"/>
  <c r="DS66" i="24"/>
  <c r="EA66" i="24" s="1"/>
  <c r="DS46" i="24"/>
  <c r="EA46" i="24" s="1"/>
  <c r="DS29" i="24"/>
  <c r="EA29" i="24" s="1"/>
  <c r="DS42" i="24"/>
  <c r="EA42" i="24" s="1"/>
  <c r="DS39" i="24"/>
  <c r="EA39" i="24" s="1"/>
  <c r="DS71" i="24"/>
  <c r="EA71" i="24" s="1"/>
  <c r="DS45" i="24"/>
  <c r="EA45" i="24" s="1"/>
  <c r="DS23" i="24"/>
  <c r="EA23" i="24" s="1"/>
  <c r="DS75" i="24"/>
  <c r="EA75" i="24" s="1"/>
  <c r="DS70" i="24"/>
  <c r="EA70" i="24" s="1"/>
  <c r="DS73" i="24"/>
  <c r="EA73" i="24" s="1"/>
  <c r="DS15" i="24"/>
  <c r="EA15" i="24" s="1"/>
  <c r="DS16" i="24"/>
  <c r="EA16" i="24" s="1"/>
  <c r="DS67" i="24"/>
  <c r="EA67" i="24" s="1"/>
  <c r="DS50" i="24"/>
  <c r="EA50" i="24" s="1"/>
  <c r="DS55" i="24"/>
  <c r="EA55" i="24" s="1"/>
  <c r="DS48" i="24"/>
  <c r="EA48" i="24" s="1"/>
  <c r="DS60" i="24"/>
  <c r="EA60" i="24" s="1"/>
  <c r="DS41" i="24"/>
  <c r="EA41" i="24" s="1"/>
  <c r="DS38" i="24"/>
  <c r="EA38" i="24" s="1"/>
  <c r="DS26" i="24"/>
  <c r="EA26" i="24" s="1"/>
  <c r="DS68" i="24"/>
  <c r="EA68" i="24" s="1"/>
  <c r="DS65" i="24"/>
  <c r="EA65" i="24" s="1"/>
  <c r="DS31" i="24"/>
  <c r="EA31" i="24" s="1"/>
  <c r="DS36" i="24"/>
  <c r="EA36" i="24" s="1"/>
  <c r="DS19" i="24"/>
  <c r="EA19" i="24" s="1"/>
  <c r="DS33" i="24"/>
  <c r="EA33" i="24" s="1"/>
  <c r="DS62" i="24"/>
  <c r="EA62" i="24" s="1"/>
  <c r="DS51" i="24"/>
  <c r="EA51" i="24" s="1"/>
  <c r="DS61" i="24"/>
  <c r="EA61" i="24" s="1"/>
  <c r="DS24" i="24"/>
  <c r="EA24" i="24" s="1"/>
  <c r="DS28" i="24"/>
  <c r="EA28" i="24" s="1"/>
  <c r="DS18" i="24"/>
  <c r="EA18" i="24" s="1"/>
  <c r="DS17" i="24"/>
  <c r="EA17" i="24" s="1"/>
  <c r="DS35" i="24"/>
  <c r="EA35" i="24" s="1"/>
  <c r="DS25" i="24"/>
  <c r="EA25" i="24" s="1"/>
  <c r="DS32" i="24"/>
  <c r="EA32" i="24" s="1"/>
  <c r="DS64" i="24"/>
  <c r="EA64" i="24" s="1"/>
  <c r="DS57" i="24"/>
  <c r="EA57" i="24" s="1"/>
  <c r="DS47" i="24"/>
  <c r="EA47" i="24" s="1"/>
  <c r="DS20" i="24"/>
  <c r="EA20" i="24" s="1"/>
  <c r="DS63" i="24"/>
  <c r="EA63" i="24" s="1"/>
  <c r="DS44" i="24"/>
  <c r="EA44" i="24" s="1"/>
  <c r="DS43" i="24"/>
  <c r="EA43" i="24" s="1"/>
  <c r="DS30" i="24"/>
  <c r="EA30" i="24" s="1"/>
  <c r="DS49" i="24"/>
  <c r="EA49" i="24" s="1"/>
  <c r="DS74" i="24"/>
  <c r="EA74" i="24" s="1"/>
  <c r="DS27" i="24"/>
  <c r="EA27" i="24" s="1"/>
  <c r="DS21" i="24"/>
  <c r="EA21" i="24" s="1"/>
  <c r="DS56" i="24"/>
  <c r="EA56" i="24" s="1"/>
  <c r="DS54" i="24"/>
  <c r="EA54" i="24" s="1"/>
  <c r="DS52" i="24"/>
  <c r="EA52" i="24" s="1"/>
  <c r="DS53" i="24"/>
  <c r="EA53" i="24" s="1"/>
  <c r="DS72" i="24"/>
  <c r="EA72" i="24" s="1"/>
  <c r="DS37" i="24"/>
  <c r="EA37" i="24" s="1"/>
  <c r="DS59" i="24"/>
  <c r="EA59" i="24" s="1"/>
  <c r="DS69" i="24"/>
  <c r="EA69" i="24" s="1"/>
  <c r="DS58" i="24"/>
  <c r="EA58" i="24" s="1"/>
  <c r="K28" i="8"/>
  <c r="E33" i="2"/>
  <c r="H24" i="10"/>
  <c r="H40" i="12"/>
  <c r="I40" i="12" s="1"/>
  <c r="B32" i="14"/>
  <c r="C32" i="14" s="1"/>
  <c r="B29" i="5"/>
  <c r="B24" i="10"/>
  <c r="K40" i="12"/>
  <c r="L40" i="12" s="1"/>
  <c r="E40" i="12"/>
  <c r="F40" i="12" s="1"/>
  <c r="H28" i="8"/>
  <c r="H33" i="2"/>
  <c r="B32" i="3"/>
  <c r="B26" i="9"/>
  <c r="Q32" i="14"/>
  <c r="R32" i="14" s="1"/>
  <c r="C23" i="25"/>
  <c r="DM82" i="24" l="1"/>
  <c r="DQ82" i="24" s="1"/>
  <c r="DM83" i="24"/>
  <c r="DQ83" i="24" s="1"/>
  <c r="DM39" i="24"/>
  <c r="DQ39" i="24" s="1"/>
  <c r="EA81" i="24"/>
  <c r="EA82" i="24"/>
  <c r="DM79" i="24"/>
  <c r="DQ79" i="24" s="1"/>
  <c r="DM18" i="24"/>
  <c r="DQ18" i="24" s="1"/>
  <c r="DM76" i="24"/>
  <c r="DQ76" i="24" s="1"/>
  <c r="DI80" i="24"/>
  <c r="DM32" i="24"/>
  <c r="DQ32" i="24" s="1"/>
  <c r="DM77" i="24"/>
  <c r="DQ77" i="24" s="1"/>
  <c r="EA78" i="24"/>
  <c r="EA79" i="24"/>
  <c r="DM27" i="24"/>
  <c r="DQ27" i="24" s="1"/>
  <c r="DM34" i="24"/>
  <c r="DQ34" i="24" s="1"/>
  <c r="DM78" i="24"/>
  <c r="DQ78" i="24" s="1"/>
  <c r="DM69" i="24"/>
  <c r="DQ69" i="24" s="1"/>
  <c r="DM63" i="24"/>
  <c r="DQ63" i="24" s="1"/>
  <c r="DM56" i="24"/>
  <c r="DQ56" i="24" s="1"/>
  <c r="DM54" i="24"/>
  <c r="DQ54" i="24" s="1"/>
  <c r="DM37" i="24"/>
  <c r="DQ37" i="24" s="1"/>
  <c r="DM64" i="24"/>
  <c r="DQ64" i="24" s="1"/>
  <c r="T40" i="12"/>
  <c r="T32" i="14"/>
  <c r="DM47" i="24"/>
  <c r="DQ47" i="24" s="1"/>
  <c r="DM30" i="24"/>
  <c r="DQ30" i="24" s="1"/>
  <c r="DM25" i="24"/>
  <c r="DQ25" i="24" s="1"/>
  <c r="DM70" i="24"/>
  <c r="DQ70" i="24" s="1"/>
  <c r="DM36" i="24"/>
  <c r="DQ36" i="24" s="1"/>
  <c r="DM41" i="24"/>
  <c r="DQ41" i="24" s="1"/>
  <c r="DM29" i="24"/>
  <c r="DQ29" i="24" s="1"/>
  <c r="DM22" i="24"/>
  <c r="DQ22" i="24" s="1"/>
  <c r="DM44" i="24"/>
  <c r="DQ44" i="24" s="1"/>
  <c r="DM17" i="24"/>
  <c r="DQ17" i="24" s="1"/>
  <c r="DM67" i="24"/>
  <c r="DQ67" i="24" s="1"/>
  <c r="DM46" i="24"/>
  <c r="DQ46" i="24" s="1"/>
  <c r="DM57" i="24"/>
  <c r="DQ57" i="24" s="1"/>
  <c r="DM66" i="24"/>
  <c r="DQ66" i="24" s="1"/>
  <c r="DM23" i="24"/>
  <c r="DQ23" i="24" s="1"/>
  <c r="DM45" i="24"/>
  <c r="DQ45" i="24" s="1"/>
  <c r="DM61" i="24"/>
  <c r="DQ61" i="24" s="1"/>
  <c r="DM15" i="24"/>
  <c r="DQ15" i="24" s="1"/>
  <c r="DM33" i="24"/>
  <c r="DQ33" i="24" s="1"/>
  <c r="DM72" i="24"/>
  <c r="DQ72" i="24" s="1"/>
  <c r="DM53" i="24"/>
  <c r="DQ53" i="24" s="1"/>
  <c r="DM51" i="24"/>
  <c r="DQ51" i="24" s="1"/>
  <c r="DM75" i="24"/>
  <c r="DQ75" i="24" s="1"/>
  <c r="DM42" i="24"/>
  <c r="DQ42" i="24" s="1"/>
  <c r="DM68" i="24"/>
  <c r="DQ68" i="24" s="1"/>
  <c r="DM73" i="24"/>
  <c r="DQ73" i="24" s="1"/>
  <c r="DM19" i="24"/>
  <c r="DQ19" i="24" s="1"/>
  <c r="DM50" i="24"/>
  <c r="DQ50" i="24" s="1"/>
  <c r="DM65" i="24"/>
  <c r="DQ65" i="24" s="1"/>
  <c r="DM31" i="24"/>
  <c r="DQ31" i="24" s="1"/>
  <c r="DM48" i="24"/>
  <c r="DQ48" i="24" s="1"/>
  <c r="DM20" i="24"/>
  <c r="DQ20" i="24" s="1"/>
  <c r="DM59" i="24"/>
  <c r="DQ59" i="24" s="1"/>
  <c r="DM43" i="24"/>
  <c r="DQ43" i="24" s="1"/>
  <c r="DM21" i="24"/>
  <c r="DQ21" i="24" s="1"/>
  <c r="DM10" i="24"/>
  <c r="DM62" i="24"/>
  <c r="DQ62" i="24" s="1"/>
  <c r="DM74" i="24"/>
  <c r="DQ74" i="24" s="1"/>
  <c r="DM71" i="24"/>
  <c r="DQ71" i="24" s="1"/>
  <c r="DM52" i="24"/>
  <c r="DQ52" i="24" s="1"/>
  <c r="DM16" i="24"/>
  <c r="DQ16" i="24" s="1"/>
  <c r="DM26" i="24"/>
  <c r="DQ26" i="24" s="1"/>
  <c r="DM49" i="24"/>
  <c r="DQ49" i="24" s="1"/>
  <c r="DM55" i="24"/>
  <c r="DQ55" i="24" s="1"/>
  <c r="DM35" i="24"/>
  <c r="DQ35" i="24" s="1"/>
  <c r="DM24" i="24"/>
  <c r="DQ24" i="24" s="1"/>
  <c r="DM60" i="24"/>
  <c r="DQ60" i="24" s="1"/>
  <c r="DM40" i="24"/>
  <c r="DQ40" i="24" s="1"/>
  <c r="DM58" i="24"/>
  <c r="DQ58" i="24" s="1"/>
  <c r="DM38" i="24"/>
  <c r="DQ38" i="24" s="1"/>
  <c r="DM28" i="24"/>
  <c r="DQ28" i="24" s="1"/>
  <c r="DM81" i="24" l="1"/>
  <c r="DQ81" i="24" s="1"/>
  <c r="DM80" i="24"/>
  <c r="DQ80" i="24" s="1"/>
  <c r="DU80" i="24"/>
  <c r="ED80" i="24" s="1"/>
  <c r="DU79" i="24"/>
  <c r="DU78" i="24"/>
  <c r="DU77" i="24"/>
  <c r="ED77" i="24" s="1"/>
  <c r="DU76" i="24"/>
  <c r="ED76" i="24" s="1"/>
  <c r="DU19" i="24"/>
  <c r="ED19" i="24" s="1"/>
  <c r="DU17" i="24"/>
  <c r="ED17" i="24" s="1"/>
  <c r="DU22" i="24"/>
  <c r="ED22" i="24" s="1"/>
  <c r="DU31" i="24"/>
  <c r="ED31" i="24" s="1"/>
  <c r="DU26" i="24"/>
  <c r="ED26" i="24" s="1"/>
  <c r="DU15" i="24"/>
  <c r="ED15" i="24" s="1"/>
  <c r="DU35" i="24"/>
  <c r="ED35" i="24" s="1"/>
  <c r="DU49" i="24"/>
  <c r="ED49" i="24" s="1"/>
  <c r="DU45" i="24"/>
  <c r="ED45" i="24" s="1"/>
  <c r="DU53" i="24"/>
  <c r="ED53" i="24" s="1"/>
  <c r="DU72" i="24"/>
  <c r="ED72" i="24" s="1"/>
  <c r="DU73" i="24"/>
  <c r="ED73" i="24" s="1"/>
  <c r="DU51" i="24"/>
  <c r="ED51" i="24" s="1"/>
  <c r="DU42" i="24"/>
  <c r="ED42" i="24" s="1"/>
  <c r="DU24" i="24"/>
  <c r="ED24" i="24" s="1"/>
  <c r="DU33" i="24"/>
  <c r="ED33" i="24" s="1"/>
  <c r="DU70" i="24"/>
  <c r="ED70" i="24" s="1"/>
  <c r="DU60" i="24"/>
  <c r="ED60" i="24" s="1"/>
  <c r="DU41" i="24"/>
  <c r="ED41" i="24" s="1"/>
  <c r="DU38" i="24"/>
  <c r="ED38" i="24" s="1"/>
  <c r="DU71" i="24"/>
  <c r="ED71" i="24" s="1"/>
  <c r="DU59" i="24"/>
  <c r="ED59" i="24" s="1"/>
  <c r="DU21" i="24"/>
  <c r="ED21" i="24" s="1"/>
  <c r="DU75" i="24"/>
  <c r="ED75" i="24" s="1"/>
  <c r="DU18" i="24"/>
  <c r="ED18" i="24" s="1"/>
  <c r="DU20" i="24"/>
  <c r="ED20" i="24" s="1"/>
  <c r="DU23" i="24"/>
  <c r="ED23" i="24" s="1"/>
  <c r="DU67" i="24"/>
  <c r="ED67" i="24" s="1"/>
  <c r="DU30" i="24"/>
  <c r="ED30" i="24" s="1"/>
  <c r="DU52" i="24"/>
  <c r="ED52" i="24" s="1"/>
  <c r="DU63" i="24"/>
  <c r="ED63" i="24" s="1"/>
  <c r="DU56" i="24"/>
  <c r="ED56" i="24" s="1"/>
  <c r="DU34" i="24"/>
  <c r="ED34" i="24" s="1"/>
  <c r="DU55" i="24"/>
  <c r="ED55" i="24" s="1"/>
  <c r="DU46" i="24"/>
  <c r="ED46" i="24" s="1"/>
  <c r="DU54" i="24"/>
  <c r="ED54" i="24" s="1"/>
  <c r="DU40" i="24"/>
  <c r="ED40" i="24" s="1"/>
  <c r="DU65" i="24"/>
  <c r="ED65" i="24" s="1"/>
  <c r="DU37" i="24"/>
  <c r="ED37" i="24" s="1"/>
  <c r="DU32" i="24"/>
  <c r="ED32" i="24" s="1"/>
  <c r="DU64" i="24"/>
  <c r="ED64" i="24" s="1"/>
  <c r="DU16" i="24"/>
  <c r="ED16" i="24" s="1"/>
  <c r="DU68" i="24"/>
  <c r="ED68" i="24" s="1"/>
  <c r="DU47" i="24"/>
  <c r="ED47" i="24" s="1"/>
  <c r="DU36" i="24"/>
  <c r="ED36" i="24" s="1"/>
  <c r="DU44" i="24"/>
  <c r="ED44" i="24" s="1"/>
  <c r="DU66" i="24"/>
  <c r="ED66" i="24" s="1"/>
  <c r="DU48" i="24"/>
  <c r="ED48" i="24" s="1"/>
  <c r="DU57" i="24"/>
  <c r="ED57" i="24" s="1"/>
  <c r="DU69" i="24"/>
  <c r="ED69" i="24" s="1"/>
  <c r="DU39" i="24"/>
  <c r="ED39" i="24" s="1"/>
  <c r="DU74" i="24"/>
  <c r="ED74" i="24" s="1"/>
  <c r="DU50" i="24"/>
  <c r="ED50" i="24" s="1"/>
  <c r="DU29" i="24"/>
  <c r="ED29" i="24" s="1"/>
  <c r="DU28" i="24"/>
  <c r="ED28" i="24" s="1"/>
  <c r="DU27" i="24"/>
  <c r="ED27" i="24" s="1"/>
  <c r="DU58" i="24"/>
  <c r="ED58" i="24" s="1"/>
  <c r="DU25" i="24"/>
  <c r="ED25" i="24" s="1"/>
  <c r="DU62" i="24"/>
  <c r="ED62" i="24" s="1"/>
  <c r="DU43" i="24"/>
  <c r="ED43" i="24" s="1"/>
  <c r="DU61" i="24"/>
  <c r="ED61" i="24" s="1"/>
  <c r="DU83" i="24" l="1"/>
  <c r="ED83" i="24" s="1"/>
  <c r="DU84" i="24"/>
  <c r="ED84" i="24" s="1"/>
  <c r="DU82" i="24"/>
  <c r="DU81" i="24"/>
  <c r="ED81" i="24" s="1"/>
  <c r="ED82" i="24"/>
  <c r="ED78" i="24"/>
  <c r="ED79" i="24"/>
  <c r="I23" i="25"/>
  <c r="F23" i="25"/>
  <c r="G15" i="26"/>
  <c r="D15" i="26"/>
  <c r="K23" i="25" l="1"/>
  <c r="C5" i="26"/>
  <c r="B5" i="26"/>
  <c r="C15" i="26" l="1"/>
  <c r="F15" i="26"/>
  <c r="H15" i="26" l="1"/>
  <c r="J15" i="25"/>
  <c r="G15" i="25"/>
  <c r="D15" i="25"/>
  <c r="E15" i="29" a="1"/>
  <c r="E15" i="29" l="1"/>
  <c r="C15" i="25"/>
  <c r="I15" i="25"/>
  <c r="F15" i="25"/>
  <c r="D5" i="25"/>
  <c r="C5" i="25"/>
  <c r="B5" i="25"/>
  <c r="K15" i="25" l="1"/>
  <c r="AF77" i="25"/>
  <c r="AF74" i="25"/>
  <c r="AF75" i="25"/>
  <c r="AF73" i="25"/>
  <c r="AF76" i="25"/>
  <c r="E14" i="29" a="1"/>
  <c r="E14" i="29" l="1"/>
  <c r="E44" i="19" l="1"/>
  <c r="F44" i="19" s="1"/>
  <c r="B44" i="19"/>
  <c r="C44" i="19" s="1"/>
  <c r="G44" i="19" s="1"/>
  <c r="H31" i="14"/>
  <c r="I31" i="14" s="1"/>
  <c r="N38" i="12"/>
  <c r="O38" i="12" s="1"/>
  <c r="N31" i="14"/>
  <c r="O31" i="14" s="1"/>
  <c r="H27" i="8"/>
  <c r="Q39" i="12"/>
  <c r="R39" i="12" s="1"/>
  <c r="K26" i="8"/>
  <c r="K22" i="10"/>
  <c r="E27" i="8"/>
  <c r="K23" i="10"/>
  <c r="B27" i="8"/>
  <c r="B26" i="8"/>
  <c r="H38" i="12"/>
  <c r="I38" i="12" s="1"/>
  <c r="H39" i="12"/>
  <c r="I39" i="12" s="1"/>
  <c r="K38" i="12"/>
  <c r="L38" i="12" s="1"/>
  <c r="K39" i="12"/>
  <c r="L39" i="12" s="1"/>
  <c r="E23" i="10"/>
  <c r="E38" i="12"/>
  <c r="F38" i="12" s="1"/>
  <c r="K30" i="14"/>
  <c r="L30" i="14" s="1"/>
  <c r="B39" i="12"/>
  <c r="C39" i="12" s="1"/>
  <c r="B30" i="14"/>
  <c r="C30" i="14" s="1"/>
  <c r="B23" i="10"/>
  <c r="B27" i="5"/>
  <c r="K27" i="8" l="1"/>
  <c r="H30" i="14"/>
  <c r="I30" i="14" s="1"/>
  <c r="H23" i="10"/>
  <c r="E30" i="14"/>
  <c r="F30" i="14" s="1"/>
  <c r="E31" i="14"/>
  <c r="F31" i="14" s="1"/>
  <c r="B22" i="10"/>
  <c r="N39" i="12"/>
  <c r="O39" i="12" s="1"/>
  <c r="B28" i="5"/>
  <c r="E39" i="12"/>
  <c r="F39" i="12" s="1"/>
  <c r="B31" i="14"/>
  <c r="C31" i="14" s="1"/>
  <c r="N30" i="14"/>
  <c r="O30" i="14" s="1"/>
  <c r="B38" i="12"/>
  <c r="C38" i="12" s="1"/>
  <c r="E22" i="10"/>
  <c r="Q38" i="12"/>
  <c r="R38" i="12" s="1"/>
  <c r="K31" i="14"/>
  <c r="L31" i="14" s="1"/>
  <c r="E26" i="8"/>
  <c r="H26" i="8"/>
  <c r="H22" i="10"/>
  <c r="E25" i="9"/>
  <c r="T39" i="12" l="1"/>
  <c r="E28" i="5"/>
  <c r="E27" i="5"/>
  <c r="T38" i="12"/>
  <c r="E24" i="9"/>
  <c r="H31" i="2" l="1"/>
  <c r="Q31" i="14"/>
  <c r="B25" i="9"/>
  <c r="E32" i="2"/>
  <c r="H32" i="2"/>
  <c r="B30" i="3"/>
  <c r="B31" i="2"/>
  <c r="E31" i="3"/>
  <c r="R31" i="14" l="1"/>
  <c r="T31" i="14" s="1"/>
  <c r="B24" i="9"/>
  <c r="B32" i="2"/>
  <c r="E31" i="2"/>
  <c r="B31" i="3"/>
  <c r="E30" i="3"/>
  <c r="Q30" i="14"/>
  <c r="R30" i="14" l="1"/>
  <c r="T30" i="14" s="1"/>
  <c r="B5" i="19"/>
  <c r="J1" i="19"/>
  <c r="L3" i="19" a="1"/>
  <c r="J3" i="19" a="1"/>
  <c r="J3" i="19" l="1"/>
  <c r="L3" i="19"/>
  <c r="B43" i="19"/>
  <c r="E41" i="19"/>
  <c r="F41" i="19" s="1"/>
  <c r="E43" i="19"/>
  <c r="F43" i="19" s="1"/>
  <c r="D42" i="19"/>
  <c r="D28" i="19"/>
  <c r="D29" i="19"/>
  <c r="D31" i="19"/>
  <c r="D35" i="19"/>
  <c r="D38" i="19"/>
  <c r="D40" i="19"/>
  <c r="D17" i="19"/>
  <c r="D20" i="19"/>
  <c r="D22" i="19"/>
  <c r="D30" i="19"/>
  <c r="D36" i="19"/>
  <c r="D37" i="19"/>
  <c r="D39" i="19"/>
  <c r="D41" i="19"/>
  <c r="D32" i="19"/>
  <c r="D34" i="19"/>
  <c r="D18" i="19"/>
  <c r="D24" i="19"/>
  <c r="D25" i="19"/>
  <c r="D33" i="19"/>
  <c r="D19" i="19"/>
  <c r="D21" i="19"/>
  <c r="D16" i="19"/>
  <c r="D23" i="19"/>
  <c r="D26" i="19"/>
  <c r="D27" i="19"/>
  <c r="E40" i="19"/>
  <c r="F40" i="19" s="1"/>
  <c r="B42" i="19"/>
  <c r="C42" i="19" s="1"/>
  <c r="D15" i="19"/>
  <c r="C43" i="19" l="1"/>
  <c r="G43" i="19" s="1"/>
  <c r="B41" i="19"/>
  <c r="C41" i="19" s="1"/>
  <c r="G41" i="19" s="1"/>
  <c r="B40" i="19"/>
  <c r="C40" i="19" s="1"/>
  <c r="G40" i="19" s="1"/>
  <c r="E42" i="19"/>
  <c r="F42" i="19" s="1"/>
  <c r="G42" i="19" s="1"/>
  <c r="E39" i="19"/>
  <c r="F39" i="19" s="1"/>
  <c r="B39" i="19"/>
  <c r="C39" i="19" s="1"/>
  <c r="E34" i="19"/>
  <c r="F34" i="19" s="1"/>
  <c r="B23" i="19"/>
  <c r="C23" i="19" s="1"/>
  <c r="B38" i="19"/>
  <c r="C38" i="19" s="1"/>
  <c r="E38" i="19"/>
  <c r="F38" i="19" s="1"/>
  <c r="E35" i="19"/>
  <c r="F35" i="19" s="1"/>
  <c r="E37" i="19"/>
  <c r="F37" i="19" s="1"/>
  <c r="E23" i="19"/>
  <c r="F23" i="19" s="1"/>
  <c r="B31" i="19"/>
  <c r="C31" i="19" s="1"/>
  <c r="B29" i="19"/>
  <c r="C29" i="19" s="1"/>
  <c r="E33" i="19"/>
  <c r="F33" i="19" s="1"/>
  <c r="E25" i="19"/>
  <c r="F25" i="19" s="1"/>
  <c r="E31" i="19"/>
  <c r="F31" i="19" s="1"/>
  <c r="B27" i="19"/>
  <c r="C27" i="19" s="1"/>
  <c r="B24" i="19"/>
  <c r="C24" i="19" s="1"/>
  <c r="B35" i="19"/>
  <c r="C35" i="19" s="1"/>
  <c r="E30" i="19"/>
  <c r="F30" i="19" s="1"/>
  <c r="E32" i="19"/>
  <c r="F32" i="19" s="1"/>
  <c r="E24" i="19"/>
  <c r="F24" i="19" s="1"/>
  <c r="E36" i="19"/>
  <c r="F36" i="19" s="1"/>
  <c r="E28" i="19"/>
  <c r="F28" i="19" s="1"/>
  <c r="B33" i="19"/>
  <c r="C33" i="19" s="1"/>
  <c r="B25" i="19"/>
  <c r="C25" i="19" s="1"/>
  <c r="E22" i="19"/>
  <c r="F22" i="19" s="1"/>
  <c r="B34" i="19"/>
  <c r="C34" i="19" s="1"/>
  <c r="E29" i="19"/>
  <c r="F29" i="19" s="1"/>
  <c r="E26" i="19"/>
  <c r="F26" i="19" s="1"/>
  <c r="E27" i="19"/>
  <c r="F27" i="19" s="1"/>
  <c r="B32" i="19"/>
  <c r="C32" i="19" s="1"/>
  <c r="B26" i="19"/>
  <c r="C26" i="19" s="1"/>
  <c r="B28" i="19"/>
  <c r="C28" i="19" s="1"/>
  <c r="B37" i="19"/>
  <c r="C37" i="19" s="1"/>
  <c r="B36" i="19"/>
  <c r="C36" i="19" s="1"/>
  <c r="B30" i="19"/>
  <c r="C30" i="19" s="1"/>
  <c r="B22" i="19"/>
  <c r="C22" i="19" s="1"/>
  <c r="B19" i="19"/>
  <c r="C19" i="19" s="1"/>
  <c r="E21" i="19"/>
  <c r="F21" i="19" s="1"/>
  <c r="B20" i="19"/>
  <c r="C20" i="19" s="1"/>
  <c r="B21" i="19"/>
  <c r="C21" i="19" s="1"/>
  <c r="E20" i="19"/>
  <c r="F20" i="19" s="1"/>
  <c r="B17" i="19"/>
  <c r="C17" i="19" s="1"/>
  <c r="B18" i="19"/>
  <c r="C18" i="19" s="1"/>
  <c r="B15" i="19"/>
  <c r="C15" i="19" s="1"/>
  <c r="E15" i="19"/>
  <c r="F15" i="19" s="1"/>
  <c r="E18" i="19"/>
  <c r="F18" i="19" s="1"/>
  <c r="E16" i="19"/>
  <c r="F16" i="19" s="1"/>
  <c r="E17" i="19"/>
  <c r="F17" i="19" s="1"/>
  <c r="E19" i="19"/>
  <c r="F19" i="19" s="1"/>
  <c r="B16" i="19"/>
  <c r="C16" i="19" s="1"/>
  <c r="G39" i="19" l="1"/>
  <c r="G34" i="19"/>
  <c r="G23" i="19"/>
  <c r="G38" i="19"/>
  <c r="G35" i="19"/>
  <c r="G37" i="19"/>
  <c r="G22" i="19"/>
  <c r="G32" i="19"/>
  <c r="G36" i="19"/>
  <c r="G27" i="19"/>
  <c r="G30" i="19"/>
  <c r="G25" i="19"/>
  <c r="G33" i="19"/>
  <c r="G28" i="19"/>
  <c r="G26" i="19"/>
  <c r="G29" i="19"/>
  <c r="G31" i="19"/>
  <c r="G24" i="19"/>
  <c r="G21" i="19"/>
  <c r="G19" i="19"/>
  <c r="G17" i="19"/>
  <c r="G20" i="19"/>
  <c r="G18" i="19"/>
  <c r="G15" i="19"/>
  <c r="G16" i="19"/>
  <c r="E12" i="29" a="1"/>
  <c r="E12" i="29" l="1"/>
  <c r="B30" i="2" l="1"/>
  <c r="K21" i="10"/>
  <c r="N37" i="12"/>
  <c r="O37" i="12" s="1"/>
  <c r="E30" i="2"/>
  <c r="K37" i="12"/>
  <c r="L37" i="12" s="1"/>
  <c r="E37" i="12"/>
  <c r="F37" i="12" s="1"/>
  <c r="E26" i="5"/>
  <c r="H29" i="14"/>
  <c r="I29" i="14" s="1"/>
  <c r="Q37" i="12"/>
  <c r="R37" i="12" s="1"/>
  <c r="E25" i="8"/>
  <c r="E23" i="9"/>
  <c r="B21" i="10"/>
  <c r="H25" i="8"/>
  <c r="B26" i="5"/>
  <c r="K29" i="14"/>
  <c r="L29" i="14" s="1"/>
  <c r="E29" i="3"/>
  <c r="K25" i="8"/>
  <c r="H30" i="2"/>
  <c r="E21" i="10"/>
  <c r="N29" i="14"/>
  <c r="O29" i="14" s="1"/>
  <c r="H21" i="10"/>
  <c r="Q29" i="14"/>
  <c r="R29" i="14" s="1"/>
  <c r="H37" i="12"/>
  <c r="I37" i="12" s="1"/>
  <c r="B29" i="14"/>
  <c r="C29" i="14" s="1"/>
  <c r="B29" i="3"/>
  <c r="B37" i="12"/>
  <c r="C37" i="12" s="1"/>
  <c r="E29" i="14"/>
  <c r="F29" i="14" s="1"/>
  <c r="B23" i="9"/>
  <c r="B25" i="8"/>
  <c r="T37" i="12" l="1"/>
  <c r="K48" i="12"/>
  <c r="L48" i="12" s="1"/>
  <c r="K32" i="10"/>
  <c r="L32" i="10" s="1"/>
  <c r="Q40" i="14"/>
  <c r="R40" i="14" s="1"/>
  <c r="E48" i="12"/>
  <c r="F48" i="12" s="1"/>
  <c r="E40" i="14"/>
  <c r="F40" i="14" s="1"/>
  <c r="H48" i="12"/>
  <c r="I48" i="12" s="1"/>
  <c r="B48" i="12"/>
  <c r="C48" i="12" s="1"/>
  <c r="B40" i="14"/>
  <c r="C40" i="14" s="1"/>
  <c r="E32" i="10"/>
  <c r="F32" i="10" s="1"/>
  <c r="B34" i="9"/>
  <c r="C34" i="9" s="1"/>
  <c r="B32" i="10"/>
  <c r="C32" i="10" s="1"/>
  <c r="H32" i="10"/>
  <c r="I32" i="10" s="1"/>
  <c r="E34" i="9"/>
  <c r="F34" i="9" s="1"/>
  <c r="N40" i="14"/>
  <c r="O40" i="14" s="1"/>
  <c r="N48" i="12"/>
  <c r="O48" i="12" s="1"/>
  <c r="H40" i="14"/>
  <c r="I40" i="14" s="1"/>
  <c r="Q48" i="12"/>
  <c r="R48" i="12" s="1"/>
  <c r="K40" i="14"/>
  <c r="L40" i="14" s="1"/>
  <c r="T29" i="14"/>
  <c r="E15" i="3"/>
  <c r="H17" i="10"/>
  <c r="H18" i="10"/>
  <c r="H19" i="10"/>
  <c r="H20" i="10"/>
  <c r="H15" i="10"/>
  <c r="H16" i="10"/>
  <c r="B18" i="2"/>
  <c r="B22" i="2"/>
  <c r="B25" i="2"/>
  <c r="E19" i="5"/>
  <c r="E20" i="8"/>
  <c r="E18" i="8"/>
  <c r="E21" i="8"/>
  <c r="N28" i="12"/>
  <c r="O28" i="12" s="1"/>
  <c r="E30" i="12"/>
  <c r="F30" i="12" s="1"/>
  <c r="B22" i="8"/>
  <c r="H16" i="8"/>
  <c r="H17" i="8"/>
  <c r="H18" i="8"/>
  <c r="H19" i="8"/>
  <c r="H20" i="8"/>
  <c r="H21" i="8"/>
  <c r="H23" i="8"/>
  <c r="H24" i="8"/>
  <c r="H22" i="8"/>
  <c r="H15" i="8"/>
  <c r="E18" i="2"/>
  <c r="E24" i="2"/>
  <c r="E25" i="2"/>
  <c r="E27" i="2"/>
  <c r="E28" i="2"/>
  <c r="E19" i="2"/>
  <c r="E15" i="2"/>
  <c r="E16" i="2"/>
  <c r="E26" i="2"/>
  <c r="E20" i="2"/>
  <c r="E23" i="2"/>
  <c r="E29" i="2"/>
  <c r="H24" i="2"/>
  <c r="H26" i="2"/>
  <c r="H17" i="2"/>
  <c r="H19" i="2"/>
  <c r="H21" i="2"/>
  <c r="H23" i="2"/>
  <c r="H25" i="2"/>
  <c r="H22" i="2"/>
  <c r="H16" i="2"/>
  <c r="H18" i="2"/>
  <c r="H27" i="2"/>
  <c r="H28" i="2"/>
  <c r="H15" i="2"/>
  <c r="H29" i="2"/>
  <c r="H20" i="2"/>
  <c r="B28" i="3"/>
  <c r="B17" i="3"/>
  <c r="B24" i="3"/>
  <c r="B15" i="3"/>
  <c r="B20" i="3"/>
  <c r="B22" i="3"/>
  <c r="B23" i="3"/>
  <c r="K21" i="8"/>
  <c r="K24" i="8"/>
  <c r="B22" i="5"/>
  <c r="Q36" i="12"/>
  <c r="R36" i="12" s="1"/>
  <c r="K26" i="12"/>
  <c r="L26" i="12" s="1"/>
  <c r="H23" i="12"/>
  <c r="I23" i="12" s="1"/>
  <c r="E18" i="9"/>
  <c r="E21" i="9"/>
  <c r="E16" i="9"/>
  <c r="E19" i="9"/>
  <c r="E22" i="9"/>
  <c r="E17" i="9"/>
  <c r="E20" i="9"/>
  <c r="E15" i="9"/>
  <c r="B16" i="9"/>
  <c r="B15" i="9"/>
  <c r="B17" i="9"/>
  <c r="B18" i="9"/>
  <c r="B20" i="9"/>
  <c r="B19" i="9"/>
  <c r="B22" i="9"/>
  <c r="B21" i="9"/>
  <c r="B18" i="10"/>
  <c r="B20" i="10"/>
  <c r="B15" i="10"/>
  <c r="E16" i="10"/>
  <c r="E20" i="10"/>
  <c r="E15" i="10"/>
  <c r="E17" i="10"/>
  <c r="E18" i="10"/>
  <c r="E19" i="10"/>
  <c r="K16" i="10"/>
  <c r="B29" i="12"/>
  <c r="C29" i="12" s="1"/>
  <c r="B33" i="12"/>
  <c r="C33" i="12" s="1"/>
  <c r="B19" i="12"/>
  <c r="C19" i="12" s="1"/>
  <c r="B22" i="12"/>
  <c r="C22" i="12" s="1"/>
  <c r="B28" i="12"/>
  <c r="C28" i="12" s="1"/>
  <c r="B30" i="12"/>
  <c r="C30" i="12" s="1"/>
  <c r="B31" i="12"/>
  <c r="C31" i="12" s="1"/>
  <c r="B36" i="12"/>
  <c r="C36" i="12" s="1"/>
  <c r="H29" i="12"/>
  <c r="I29" i="12" s="1"/>
  <c r="H19" i="12"/>
  <c r="I19" i="12" s="1"/>
  <c r="H20" i="12"/>
  <c r="I20" i="12" s="1"/>
  <c r="H34" i="12"/>
  <c r="I34" i="12" s="1"/>
  <c r="H31" i="12"/>
  <c r="I31" i="12" s="1"/>
  <c r="H35" i="12"/>
  <c r="I35" i="12" s="1"/>
  <c r="H36" i="12"/>
  <c r="I36" i="12" s="1"/>
  <c r="H22" i="12"/>
  <c r="I22" i="12" s="1"/>
  <c r="H28" i="12"/>
  <c r="I28" i="12" s="1"/>
  <c r="K29" i="12"/>
  <c r="L29" i="12" s="1"/>
  <c r="K30" i="12"/>
  <c r="L30" i="12" s="1"/>
  <c r="K22" i="12"/>
  <c r="L22" i="12" s="1"/>
  <c r="K24" i="12"/>
  <c r="L24" i="12" s="1"/>
  <c r="K25" i="12"/>
  <c r="L25" i="12" s="1"/>
  <c r="K31" i="12"/>
  <c r="L31" i="12" s="1"/>
  <c r="K15" i="12"/>
  <c r="K17" i="12"/>
  <c r="L17" i="12" s="1"/>
  <c r="E36" i="12"/>
  <c r="F36" i="12" s="1"/>
  <c r="E16" i="12"/>
  <c r="F16" i="12" s="1"/>
  <c r="E27" i="12"/>
  <c r="F27" i="12" s="1"/>
  <c r="E19" i="12"/>
  <c r="F19" i="12" s="1"/>
  <c r="E23" i="12"/>
  <c r="F23" i="12" s="1"/>
  <c r="E29" i="12"/>
  <c r="F29" i="12" s="1"/>
  <c r="E32" i="12"/>
  <c r="F32" i="12" s="1"/>
  <c r="E17" i="12"/>
  <c r="F17" i="12" s="1"/>
  <c r="E28" i="12"/>
  <c r="F28" i="12" s="1"/>
  <c r="E31" i="12"/>
  <c r="F31" i="12" s="1"/>
  <c r="E35" i="12"/>
  <c r="F35" i="12" s="1"/>
  <c r="E24" i="12"/>
  <c r="F24" i="12" s="1"/>
  <c r="Q21" i="12"/>
  <c r="R21" i="12" s="1"/>
  <c r="Q23" i="12"/>
  <c r="R23" i="12" s="1"/>
  <c r="Q28" i="12"/>
  <c r="R28" i="12" s="1"/>
  <c r="Q30" i="12"/>
  <c r="R30" i="12" s="1"/>
  <c r="Q34" i="12"/>
  <c r="R34" i="12" s="1"/>
  <c r="Q16" i="12"/>
  <c r="R16" i="12" s="1"/>
  <c r="Q22" i="12"/>
  <c r="R22" i="12" s="1"/>
  <c r="Q25" i="12"/>
  <c r="R25" i="12" s="1"/>
  <c r="Q26" i="12"/>
  <c r="R26" i="12" s="1"/>
  <c r="Q27" i="12"/>
  <c r="R27" i="12" s="1"/>
  <c r="Q19" i="12"/>
  <c r="R19" i="12" s="1"/>
  <c r="Q24" i="12"/>
  <c r="R24" i="12" s="1"/>
  <c r="Q17" i="12"/>
  <c r="R17" i="12" s="1"/>
  <c r="N20" i="12"/>
  <c r="O20" i="12" s="1"/>
  <c r="N26" i="12"/>
  <c r="O26" i="12" s="1"/>
  <c r="N34" i="12"/>
  <c r="O34" i="12" s="1"/>
  <c r="N17" i="12"/>
  <c r="O17" i="12" s="1"/>
  <c r="N27" i="12"/>
  <c r="O27" i="12" s="1"/>
  <c r="N29" i="12"/>
  <c r="O29" i="12" s="1"/>
  <c r="N16" i="12"/>
  <c r="O16" i="12" s="1"/>
  <c r="N18" i="12"/>
  <c r="O18" i="12" s="1"/>
  <c r="N19" i="12"/>
  <c r="O19" i="12" s="1"/>
  <c r="N22" i="12"/>
  <c r="O22" i="12" s="1"/>
  <c r="N24" i="12"/>
  <c r="O24" i="12" s="1"/>
  <c r="N25" i="12"/>
  <c r="O25" i="12" s="1"/>
  <c r="N23" i="12"/>
  <c r="O23" i="12" s="1"/>
  <c r="N31" i="12"/>
  <c r="O31" i="12" s="1"/>
  <c r="N32" i="12"/>
  <c r="O32" i="12" s="1"/>
  <c r="E20" i="12"/>
  <c r="F20" i="12" s="1"/>
  <c r="H16" i="12"/>
  <c r="I16" i="12" s="1"/>
  <c r="B17" i="12"/>
  <c r="C17" i="12" s="1"/>
  <c r="N32" i="10" l="1"/>
  <c r="H34" i="9"/>
  <c r="T40" i="14"/>
  <c r="T48" i="12"/>
  <c r="K17" i="8"/>
  <c r="B20" i="2"/>
  <c r="E25" i="5"/>
  <c r="K19" i="12"/>
  <c r="L19" i="12" s="1"/>
  <c r="B21" i="2"/>
  <c r="H27" i="12"/>
  <c r="I27" i="12" s="1"/>
  <c r="B18" i="3"/>
  <c r="B17" i="2"/>
  <c r="B15" i="5"/>
  <c r="B16" i="3"/>
  <c r="B27" i="2"/>
  <c r="B21" i="5"/>
  <c r="B17" i="5"/>
  <c r="E16" i="8"/>
  <c r="B17" i="10"/>
  <c r="B23" i="5"/>
  <c r="B19" i="3"/>
  <c r="E15" i="8"/>
  <c r="B23" i="2"/>
  <c r="E23" i="8"/>
  <c r="B16" i="5"/>
  <c r="H33" i="12"/>
  <c r="I33" i="12" s="1"/>
  <c r="B19" i="10"/>
  <c r="B20" i="5"/>
  <c r="E19" i="8"/>
  <c r="B29" i="2"/>
  <c r="E22" i="12"/>
  <c r="F22" i="12" s="1"/>
  <c r="H30" i="12"/>
  <c r="I30" i="12" s="1"/>
  <c r="B16" i="10"/>
  <c r="B25" i="5"/>
  <c r="E24" i="8"/>
  <c r="B26" i="2"/>
  <c r="N21" i="12"/>
  <c r="O21" i="12" s="1"/>
  <c r="E21" i="12"/>
  <c r="F21" i="12" s="1"/>
  <c r="B24" i="5"/>
  <c r="E22" i="8"/>
  <c r="B16" i="2"/>
  <c r="B19" i="5"/>
  <c r="B18" i="5"/>
  <c r="E17" i="8"/>
  <c r="K18" i="12"/>
  <c r="L18" i="12" s="1"/>
  <c r="K18" i="8"/>
  <c r="E24" i="5"/>
  <c r="E20" i="5"/>
  <c r="E24" i="3"/>
  <c r="E22" i="3"/>
  <c r="K16" i="8"/>
  <c r="E28" i="3"/>
  <c r="E27" i="3"/>
  <c r="E25" i="3"/>
  <c r="K22" i="8"/>
  <c r="B21" i="8"/>
  <c r="E18" i="5"/>
  <c r="E23" i="3"/>
  <c r="K19" i="8"/>
  <c r="B20" i="8"/>
  <c r="E17" i="5"/>
  <c r="E17" i="3"/>
  <c r="K15" i="8"/>
  <c r="E23" i="5"/>
  <c r="K21" i="12"/>
  <c r="L21" i="12" s="1"/>
  <c r="K35" i="12"/>
  <c r="L35" i="12" s="1"/>
  <c r="E16" i="3"/>
  <c r="E21" i="3"/>
  <c r="E15" i="5"/>
  <c r="B24" i="8"/>
  <c r="K33" i="12"/>
  <c r="L33" i="12" s="1"/>
  <c r="B23" i="8"/>
  <c r="Q32" i="12"/>
  <c r="R32" i="12" s="1"/>
  <c r="K36" i="12"/>
  <c r="L36" i="12" s="1"/>
  <c r="Q15" i="12"/>
  <c r="K20" i="12"/>
  <c r="L20" i="12" s="1"/>
  <c r="Q35" i="12"/>
  <c r="R35" i="12" s="1"/>
  <c r="E21" i="2"/>
  <c r="B17" i="8"/>
  <c r="B28" i="2"/>
  <c r="N33" i="12"/>
  <c r="O33" i="12" s="1"/>
  <c r="Q31" i="12"/>
  <c r="R31" i="12" s="1"/>
  <c r="K32" i="12"/>
  <c r="L32" i="12" s="1"/>
  <c r="K17" i="10"/>
  <c r="B26" i="3"/>
  <c r="E22" i="2"/>
  <c r="B15" i="8"/>
  <c r="B19" i="2"/>
  <c r="E20" i="3"/>
  <c r="K20" i="8"/>
  <c r="K23" i="8"/>
  <c r="K18" i="10"/>
  <c r="K15" i="10"/>
  <c r="B21" i="3"/>
  <c r="B18" i="8"/>
  <c r="K19" i="10"/>
  <c r="B25" i="3"/>
  <c r="E17" i="2"/>
  <c r="B19" i="8"/>
  <c r="B15" i="2"/>
  <c r="E19" i="3"/>
  <c r="K23" i="12"/>
  <c r="L23" i="12" s="1"/>
  <c r="E22" i="5"/>
  <c r="E21" i="5"/>
  <c r="K20" i="10"/>
  <c r="E16" i="5"/>
  <c r="K34" i="12"/>
  <c r="L34" i="12" s="1"/>
  <c r="B27" i="3"/>
  <c r="N30" i="12"/>
  <c r="O30" i="12" s="1"/>
  <c r="E15" i="12"/>
  <c r="K28" i="12"/>
  <c r="L28" i="12" s="1"/>
  <c r="K27" i="12"/>
  <c r="L27" i="12" s="1"/>
  <c r="B16" i="8"/>
  <c r="B24" i="2"/>
  <c r="E18" i="3"/>
  <c r="E26" i="3"/>
  <c r="B26" i="12"/>
  <c r="C26" i="12" s="1"/>
  <c r="B23" i="12"/>
  <c r="C23" i="12" s="1"/>
  <c r="B20" i="12"/>
  <c r="C20" i="12" s="1"/>
  <c r="B16" i="12"/>
  <c r="C16" i="12" s="1"/>
  <c r="B35" i="12"/>
  <c r="C35" i="12" s="1"/>
  <c r="B34" i="12"/>
  <c r="C34" i="12" s="1"/>
  <c r="B32" i="12"/>
  <c r="C32" i="12" s="1"/>
  <c r="B18" i="12"/>
  <c r="C18" i="12" s="1"/>
  <c r="E26" i="12"/>
  <c r="F26" i="12" s="1"/>
  <c r="Q20" i="12"/>
  <c r="R20" i="12" s="1"/>
  <c r="N15" i="12"/>
  <c r="Q33" i="12"/>
  <c r="R33" i="12" s="1"/>
  <c r="N36" i="12"/>
  <c r="O36" i="12" s="1"/>
  <c r="Q29" i="12"/>
  <c r="R29" i="12" s="1"/>
  <c r="E18" i="12"/>
  <c r="F18" i="12" s="1"/>
  <c r="H24" i="12"/>
  <c r="I24" i="12" s="1"/>
  <c r="B27" i="12"/>
  <c r="C27" i="12" s="1"/>
  <c r="H32" i="12"/>
  <c r="I32" i="12" s="1"/>
  <c r="E25" i="12"/>
  <c r="F25" i="12" s="1"/>
  <c r="H25" i="12"/>
  <c r="I25" i="12" s="1"/>
  <c r="N35" i="12"/>
  <c r="O35" i="12" s="1"/>
  <c r="Q18" i="12"/>
  <c r="R18" i="12" s="1"/>
  <c r="K16" i="12"/>
  <c r="L16" i="12" s="1"/>
  <c r="H21" i="12"/>
  <c r="I21" i="12" s="1"/>
  <c r="B25" i="12"/>
  <c r="C25" i="12" s="1"/>
  <c r="H18" i="12"/>
  <c r="I18" i="12" s="1"/>
  <c r="B24" i="12"/>
  <c r="C24" i="12" s="1"/>
  <c r="E34" i="12"/>
  <c r="F34" i="12" s="1"/>
  <c r="H17" i="12"/>
  <c r="I17" i="12" s="1"/>
  <c r="B21" i="12"/>
  <c r="C21" i="12" s="1"/>
  <c r="E33" i="12"/>
  <c r="F33" i="12" s="1"/>
  <c r="H15" i="12"/>
  <c r="B15" i="12"/>
  <c r="H26" i="12"/>
  <c r="I26" i="12" s="1"/>
  <c r="Q14" i="12" l="1"/>
  <c r="N14" i="12"/>
  <c r="K14" i="12"/>
  <c r="E14" i="12"/>
  <c r="E6" i="12" l="1"/>
  <c r="C6" i="12"/>
  <c r="G5" i="12"/>
  <c r="F5" i="12"/>
  <c r="E5" i="12"/>
  <c r="D5" i="12"/>
  <c r="C5" i="12"/>
  <c r="B5" i="12"/>
  <c r="R15" i="12" l="1"/>
  <c r="J15" i="12"/>
  <c r="S15" i="12"/>
  <c r="G15" i="12"/>
  <c r="D15" i="12"/>
  <c r="P15" i="12"/>
  <c r="M15" i="12"/>
  <c r="J4" i="12"/>
  <c r="K4" i="12"/>
  <c r="O15" i="12" l="1"/>
  <c r="J9" i="12"/>
  <c r="L15" i="12" l="1"/>
  <c r="I15" i="12" l="1"/>
  <c r="F15" i="12" l="1"/>
  <c r="T23" i="12" l="1"/>
  <c r="T21" i="12"/>
  <c r="C15" i="12"/>
  <c r="T15" i="12" s="1"/>
  <c r="T20" i="12"/>
  <c r="T25" i="12"/>
  <c r="T16" i="12"/>
  <c r="T30" i="12"/>
  <c r="T26" i="12"/>
  <c r="T27" i="12"/>
  <c r="T35" i="12"/>
  <c r="T18" i="12"/>
  <c r="T34" i="12"/>
  <c r="T28" i="12"/>
  <c r="T22" i="12"/>
  <c r="T19" i="12"/>
  <c r="T17" i="12"/>
  <c r="T24" i="12"/>
  <c r="T32" i="12"/>
  <c r="T33" i="12"/>
  <c r="T36" i="12"/>
  <c r="T31" i="12"/>
  <c r="T29" i="12"/>
  <c r="E9" i="29" a="1"/>
  <c r="E9" i="29" l="1"/>
  <c r="H27" i="14"/>
  <c r="I27" i="14" s="1"/>
  <c r="H16" i="14"/>
  <c r="I16" i="14" s="1"/>
  <c r="N25" i="14"/>
  <c r="O25" i="14" s="1"/>
  <c r="N26" i="14"/>
  <c r="O26" i="14" s="1"/>
  <c r="N23" i="14"/>
  <c r="O23" i="14" s="1"/>
  <c r="N24" i="14"/>
  <c r="O24" i="14" s="1"/>
  <c r="B21" i="14"/>
  <c r="C21" i="14" s="1"/>
  <c r="E16" i="14"/>
  <c r="F16" i="14" s="1"/>
  <c r="Q24" i="14"/>
  <c r="R24" i="14" s="1"/>
  <c r="N27" i="14"/>
  <c r="O27" i="14" s="1"/>
  <c r="K25" i="14"/>
  <c r="L25" i="14" s="1"/>
  <c r="H19" i="14"/>
  <c r="I19" i="14" s="1"/>
  <c r="K22" i="14" l="1"/>
  <c r="L22" i="14" s="1"/>
  <c r="K27" i="14"/>
  <c r="L27" i="14" s="1"/>
  <c r="Q21" i="14"/>
  <c r="R21" i="14" s="1"/>
  <c r="K19" i="14"/>
  <c r="L19" i="14" s="1"/>
  <c r="K24" i="14"/>
  <c r="L24" i="14" s="1"/>
  <c r="Q20" i="14"/>
  <c r="R20" i="14" s="1"/>
  <c r="B18" i="14"/>
  <c r="C18" i="14" s="1"/>
  <c r="H26" i="14"/>
  <c r="I26" i="14" s="1"/>
  <c r="K21" i="14"/>
  <c r="L21" i="14" s="1"/>
  <c r="E23" i="14"/>
  <c r="F23" i="14" s="1"/>
  <c r="K20" i="14"/>
  <c r="L20" i="14" s="1"/>
  <c r="K28" i="14"/>
  <c r="L28" i="14" s="1"/>
  <c r="Q18" i="14"/>
  <c r="R18" i="14" s="1"/>
  <c r="Q17" i="14"/>
  <c r="R17" i="14" s="1"/>
  <c r="Q16" i="14"/>
  <c r="R16" i="14" s="1"/>
  <c r="Q26" i="14"/>
  <c r="R26" i="14" s="1"/>
  <c r="H15" i="14"/>
  <c r="B25" i="14"/>
  <c r="C25" i="14" s="1"/>
  <c r="B23" i="14"/>
  <c r="C23" i="14" s="1"/>
  <c r="N22" i="14"/>
  <c r="O22" i="14" s="1"/>
  <c r="N21" i="14"/>
  <c r="O21" i="14" s="1"/>
  <c r="N20" i="14"/>
  <c r="O20" i="14" s="1"/>
  <c r="K17" i="14"/>
  <c r="L17" i="14" s="1"/>
  <c r="K26" i="14"/>
  <c r="L26" i="14" s="1"/>
  <c r="Q23" i="14"/>
  <c r="R23" i="14" s="1"/>
  <c r="E27" i="14"/>
  <c r="F27" i="14" s="1"/>
  <c r="E24" i="14"/>
  <c r="F24" i="14" s="1"/>
  <c r="B20" i="14"/>
  <c r="C20" i="14" s="1"/>
  <c r="E17" i="14"/>
  <c r="F17" i="14" s="1"/>
  <c r="B15" i="14"/>
  <c r="B28" i="14"/>
  <c r="C28" i="14" s="1"/>
  <c r="H28" i="14"/>
  <c r="I28" i="14" s="1"/>
  <c r="H25" i="14"/>
  <c r="I25" i="14" s="1"/>
  <c r="N19" i="14"/>
  <c r="O19" i="14" s="1"/>
  <c r="N18" i="14"/>
  <c r="O18" i="14" s="1"/>
  <c r="N16" i="14"/>
  <c r="O16" i="14" s="1"/>
  <c r="H21" i="14"/>
  <c r="I21" i="14" s="1"/>
  <c r="B19" i="14"/>
  <c r="C19" i="14" s="1"/>
  <c r="K23" i="14"/>
  <c r="L23" i="14" s="1"/>
  <c r="N15" i="14"/>
  <c r="Q15" i="14"/>
  <c r="K16" i="14"/>
  <c r="L16" i="14" s="1"/>
  <c r="Q25" i="14"/>
  <c r="R25" i="14" s="1"/>
  <c r="E18" i="14"/>
  <c r="F18" i="14" s="1"/>
  <c r="Q22" i="14"/>
  <c r="R22" i="14" s="1"/>
  <c r="E25" i="14"/>
  <c r="F25" i="14" s="1"/>
  <c r="Q19" i="14"/>
  <c r="R19" i="14" s="1"/>
  <c r="E19" i="14"/>
  <c r="F19" i="14" s="1"/>
  <c r="B16" i="14"/>
  <c r="C16" i="14" s="1"/>
  <c r="E15" i="14"/>
  <c r="E28" i="14"/>
  <c r="F28" i="14" s="1"/>
  <c r="E26" i="14"/>
  <c r="F26" i="14" s="1"/>
  <c r="E21" i="14"/>
  <c r="F21" i="14" s="1"/>
  <c r="H24" i="14"/>
  <c r="I24" i="14" s="1"/>
  <c r="H23" i="14"/>
  <c r="I23" i="14" s="1"/>
  <c r="H22" i="14"/>
  <c r="I22" i="14" s="1"/>
  <c r="N28" i="14"/>
  <c r="O28" i="14" s="1"/>
  <c r="H20" i="14"/>
  <c r="I20" i="14" s="1"/>
  <c r="B22" i="14"/>
  <c r="C22" i="14" s="1"/>
  <c r="H17" i="14"/>
  <c r="I17" i="14" s="1"/>
  <c r="K15" i="14"/>
  <c r="K18" i="14"/>
  <c r="L18" i="14" s="1"/>
  <c r="Q28" i="14"/>
  <c r="R28" i="14" s="1"/>
  <c r="Q27" i="14"/>
  <c r="R27" i="14" s="1"/>
  <c r="E20" i="14"/>
  <c r="F20" i="14" s="1"/>
  <c r="E22" i="14"/>
  <c r="F22" i="14" s="1"/>
  <c r="B17" i="14"/>
  <c r="C17" i="14" s="1"/>
  <c r="H18" i="14"/>
  <c r="I18" i="14" s="1"/>
  <c r="B27" i="14"/>
  <c r="C27" i="14" s="1"/>
  <c r="B26" i="14"/>
  <c r="C26" i="14" s="1"/>
  <c r="B24" i="14"/>
  <c r="C24" i="14" s="1"/>
  <c r="N17" i="14"/>
  <c r="O17" i="14" s="1"/>
  <c r="Q14" i="14" l="1"/>
  <c r="K14" i="14"/>
  <c r="H14" i="14"/>
  <c r="E14" i="14"/>
  <c r="G6" i="14" l="1"/>
  <c r="C6" i="14"/>
  <c r="G5" i="14"/>
  <c r="F5" i="14"/>
  <c r="E5" i="14"/>
  <c r="D5" i="14"/>
  <c r="C5" i="14"/>
  <c r="B5" i="14"/>
  <c r="F15" i="14" l="1"/>
  <c r="P15" i="14"/>
  <c r="O15" i="14"/>
  <c r="D15" i="14"/>
  <c r="C15" i="14"/>
  <c r="J15" i="14"/>
  <c r="I15" i="14"/>
  <c r="M15" i="14"/>
  <c r="L15" i="14"/>
  <c r="R15" i="14"/>
  <c r="G15" i="14"/>
  <c r="S15" i="14"/>
  <c r="T15" i="14" l="1"/>
  <c r="T16" i="14"/>
  <c r="T17" i="14"/>
  <c r="K4" i="14"/>
  <c r="J4" i="14"/>
  <c r="J9" i="14" l="1"/>
  <c r="T27" i="14"/>
  <c r="T23" i="14"/>
  <c r="T19" i="14"/>
  <c r="T18" i="14"/>
  <c r="T21" i="14"/>
  <c r="T24" i="14"/>
  <c r="T22" i="14"/>
  <c r="T20" i="14"/>
  <c r="T25" i="14"/>
  <c r="T26" i="14"/>
  <c r="T28" i="14" l="1"/>
  <c r="E10" i="29" a="1"/>
  <c r="E10" i="29" l="1"/>
  <c r="M1" i="17"/>
  <c r="M2" i="17" a="1"/>
  <c r="Q2" i="17" a="1"/>
  <c r="O2" i="17" a="1"/>
  <c r="O2" i="17" l="1"/>
  <c r="Q2" i="17"/>
  <c r="M2" i="17"/>
  <c r="H30" i="17"/>
  <c r="E30" i="17"/>
  <c r="AE108" i="17"/>
  <c r="AE109" i="17"/>
  <c r="AE110" i="17"/>
  <c r="AE111" i="17"/>
  <c r="AE107" i="17"/>
  <c r="D5" i="17"/>
  <c r="C5" i="17"/>
  <c r="B5" i="17"/>
  <c r="E27" i="17" l="1"/>
  <c r="E29" i="17"/>
  <c r="H28" i="17"/>
  <c r="H29" i="17"/>
  <c r="H24" i="17"/>
  <c r="E26" i="17"/>
  <c r="H27" i="17"/>
  <c r="E28" i="17"/>
  <c r="H20" i="17"/>
  <c r="H26" i="17"/>
  <c r="E22" i="17"/>
  <c r="E21" i="17"/>
  <c r="E23" i="17"/>
  <c r="E24" i="17"/>
  <c r="H23" i="17"/>
  <c r="H25" i="17"/>
  <c r="E25" i="17"/>
  <c r="E20" i="17"/>
  <c r="E18" i="17"/>
  <c r="H17" i="17"/>
  <c r="H18" i="17"/>
  <c r="H14" i="17"/>
  <c r="J30" i="17" s="1"/>
  <c r="H16" i="17"/>
  <c r="H22" i="17"/>
  <c r="H21" i="17"/>
  <c r="C15" i="17"/>
  <c r="D15" i="17"/>
  <c r="E14" i="17"/>
  <c r="G30" i="17" s="1"/>
  <c r="E19" i="17"/>
  <c r="H19" i="17"/>
  <c r="E17" i="17"/>
  <c r="E16" i="17"/>
  <c r="E15" i="17"/>
  <c r="H15" i="17"/>
  <c r="F30" i="17" l="1"/>
  <c r="I30" i="17"/>
  <c r="G29" i="17"/>
  <c r="I29" i="17"/>
  <c r="I28" i="17"/>
  <c r="J29" i="17"/>
  <c r="F29" i="17"/>
  <c r="I22" i="17"/>
  <c r="F26" i="17"/>
  <c r="F19" i="17"/>
  <c r="F16" i="17"/>
  <c r="F17" i="17"/>
  <c r="I16" i="17"/>
  <c r="I19" i="17"/>
  <c r="I21" i="17"/>
  <c r="J18" i="17"/>
  <c r="J20" i="17"/>
  <c r="J27" i="17"/>
  <c r="J16" i="17"/>
  <c r="J21" i="17"/>
  <c r="J22" i="17"/>
  <c r="J28" i="17"/>
  <c r="J17" i="17"/>
  <c r="J19" i="17"/>
  <c r="J23" i="17"/>
  <c r="J24" i="17"/>
  <c r="J25" i="17"/>
  <c r="J26" i="17"/>
  <c r="I17" i="17"/>
  <c r="I23" i="17"/>
  <c r="I20" i="17"/>
  <c r="I18" i="17"/>
  <c r="I25" i="17"/>
  <c r="I26" i="17"/>
  <c r="I27" i="17"/>
  <c r="I24" i="17"/>
  <c r="F18" i="17"/>
  <c r="F25" i="17"/>
  <c r="F24" i="17"/>
  <c r="F23" i="17"/>
  <c r="F21" i="17"/>
  <c r="F22" i="17"/>
  <c r="F28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F20" i="17"/>
  <c r="F27" i="17"/>
  <c r="J15" i="17"/>
  <c r="I15" i="17"/>
  <c r="F15" i="17"/>
  <c r="G15" i="17"/>
  <c r="K30" i="17" l="1"/>
  <c r="K29" i="17"/>
  <c r="K27" i="17"/>
  <c r="K28" i="17"/>
  <c r="K26" i="17"/>
  <c r="K24" i="17"/>
  <c r="K25" i="17"/>
  <c r="K23" i="17"/>
  <c r="K18" i="17"/>
  <c r="K20" i="17"/>
  <c r="K17" i="17"/>
  <c r="K22" i="17"/>
  <c r="K21" i="17"/>
  <c r="K15" i="17"/>
  <c r="K16" i="17"/>
  <c r="K19" i="17"/>
  <c r="E11" i="29" a="1"/>
  <c r="E11" i="29" l="1"/>
  <c r="E5" i="10" l="1"/>
  <c r="D5" i="10"/>
  <c r="C5" i="10"/>
  <c r="B5" i="10"/>
  <c r="D30" i="10" l="1"/>
  <c r="C30" i="10"/>
  <c r="D17" i="10"/>
  <c r="D19" i="10"/>
  <c r="D21" i="10"/>
  <c r="D24" i="10"/>
  <c r="D26" i="10"/>
  <c r="D20" i="10"/>
  <c r="D18" i="10"/>
  <c r="D23" i="10"/>
  <c r="D25" i="10"/>
  <c r="D27" i="10"/>
  <c r="D29" i="10"/>
  <c r="D16" i="10"/>
  <c r="D28" i="10"/>
  <c r="D22" i="10"/>
  <c r="C29" i="10"/>
  <c r="C28" i="10"/>
  <c r="C27" i="10"/>
  <c r="C26" i="10"/>
  <c r="C25" i="10"/>
  <c r="C24" i="10"/>
  <c r="C23" i="10"/>
  <c r="C22" i="10"/>
  <c r="N22" i="10" s="1"/>
  <c r="C21" i="10"/>
  <c r="N21" i="10" s="1"/>
  <c r="C18" i="10"/>
  <c r="C20" i="10"/>
  <c r="C16" i="10"/>
  <c r="C19" i="10"/>
  <c r="C17" i="10"/>
  <c r="G30" i="10"/>
  <c r="F30" i="10"/>
  <c r="G18" i="10"/>
  <c r="G28" i="10"/>
  <c r="G16" i="10"/>
  <c r="G19" i="10"/>
  <c r="G24" i="10"/>
  <c r="G20" i="10"/>
  <c r="G26" i="10"/>
  <c r="G21" i="10"/>
  <c r="G25" i="10"/>
  <c r="G17" i="10"/>
  <c r="G22" i="10"/>
  <c r="G23" i="10"/>
  <c r="G27" i="10"/>
  <c r="G29" i="10"/>
  <c r="F29" i="10"/>
  <c r="F28" i="10"/>
  <c r="F27" i="10"/>
  <c r="F26" i="10"/>
  <c r="F25" i="10"/>
  <c r="F24" i="10"/>
  <c r="F23" i="10"/>
  <c r="F22" i="10"/>
  <c r="F21" i="10"/>
  <c r="F19" i="10"/>
  <c r="F18" i="10"/>
  <c r="F17" i="10"/>
  <c r="F20" i="10"/>
  <c r="F16" i="10"/>
  <c r="J30" i="10"/>
  <c r="I30" i="10"/>
  <c r="J25" i="10"/>
  <c r="J19" i="10"/>
  <c r="J21" i="10"/>
  <c r="J24" i="10"/>
  <c r="J16" i="10"/>
  <c r="J28" i="10"/>
  <c r="J17" i="10"/>
  <c r="J22" i="10"/>
  <c r="J26" i="10"/>
  <c r="J29" i="10"/>
  <c r="J18" i="10"/>
  <c r="J20" i="10"/>
  <c r="J23" i="10"/>
  <c r="J27" i="10"/>
  <c r="I29" i="10"/>
  <c r="I28" i="10"/>
  <c r="I27" i="10"/>
  <c r="I26" i="10"/>
  <c r="I25" i="10"/>
  <c r="I24" i="10"/>
  <c r="I22" i="10"/>
  <c r="I23" i="10"/>
  <c r="I21" i="10"/>
  <c r="I16" i="10"/>
  <c r="I20" i="10"/>
  <c r="I19" i="10"/>
  <c r="I18" i="10"/>
  <c r="I17" i="10"/>
  <c r="M30" i="10"/>
  <c r="L30" i="10"/>
  <c r="M22" i="10"/>
  <c r="M25" i="10"/>
  <c r="M27" i="10"/>
  <c r="M28" i="10"/>
  <c r="M16" i="10"/>
  <c r="M20" i="10"/>
  <c r="M24" i="10"/>
  <c r="M26" i="10"/>
  <c r="M17" i="10"/>
  <c r="M19" i="10"/>
  <c r="M23" i="10"/>
  <c r="M18" i="10"/>
  <c r="M21" i="10"/>
  <c r="M29" i="10"/>
  <c r="L29" i="10"/>
  <c r="L28" i="10"/>
  <c r="L27" i="10"/>
  <c r="L26" i="10"/>
  <c r="L25" i="10"/>
  <c r="L24" i="10"/>
  <c r="L22" i="10"/>
  <c r="L23" i="10"/>
  <c r="L21" i="10"/>
  <c r="L16" i="10"/>
  <c r="L19" i="10"/>
  <c r="L18" i="10"/>
  <c r="L17" i="10"/>
  <c r="L20" i="10"/>
  <c r="G15" i="10"/>
  <c r="F15" i="10"/>
  <c r="J15" i="10"/>
  <c r="I15" i="10"/>
  <c r="D15" i="10"/>
  <c r="C15" i="10"/>
  <c r="M15" i="10"/>
  <c r="L15" i="10"/>
  <c r="N25" i="10" l="1"/>
  <c r="N24" i="10"/>
  <c r="N26" i="10"/>
  <c r="N27" i="10"/>
  <c r="N28" i="10"/>
  <c r="N23" i="10"/>
  <c r="N29" i="10"/>
  <c r="N30" i="10"/>
  <c r="N15" i="10"/>
  <c r="N16" i="10"/>
  <c r="N19" i="10" l="1"/>
  <c r="N20" i="10"/>
  <c r="N17" i="10"/>
  <c r="N18" i="10" l="1"/>
  <c r="E8" i="29" a="1"/>
  <c r="E8" i="29" l="1"/>
  <c r="C5" i="9" l="1"/>
  <c r="F15" i="9"/>
  <c r="B5" i="9"/>
  <c r="G32" i="9" l="1"/>
  <c r="F32" i="9"/>
  <c r="G22" i="9"/>
  <c r="G26" i="9"/>
  <c r="G16" i="9"/>
  <c r="G24" i="9"/>
  <c r="G17" i="9"/>
  <c r="G29" i="9"/>
  <c r="G18" i="9"/>
  <c r="G23" i="9"/>
  <c r="G27" i="9"/>
  <c r="G30" i="9"/>
  <c r="G19" i="9"/>
  <c r="G25" i="9"/>
  <c r="G28" i="9"/>
  <c r="G20" i="9"/>
  <c r="G21" i="9"/>
  <c r="G31" i="9"/>
  <c r="F31" i="9"/>
  <c r="F30" i="9"/>
  <c r="F29" i="9"/>
  <c r="F28" i="9"/>
  <c r="F27" i="9"/>
  <c r="F26" i="9"/>
  <c r="F25" i="9"/>
  <c r="F24" i="9"/>
  <c r="F23" i="9"/>
  <c r="F20" i="9"/>
  <c r="F17" i="9"/>
  <c r="F22" i="9"/>
  <c r="F16" i="9"/>
  <c r="F21" i="9"/>
  <c r="F18" i="9"/>
  <c r="F19" i="9"/>
  <c r="D32" i="9"/>
  <c r="C32" i="9"/>
  <c r="D31" i="9"/>
  <c r="D18" i="9"/>
  <c r="D20" i="9"/>
  <c r="D22" i="9"/>
  <c r="D24" i="9"/>
  <c r="D28" i="9"/>
  <c r="D30" i="9"/>
  <c r="D23" i="9"/>
  <c r="D17" i="9"/>
  <c r="D21" i="9"/>
  <c r="D25" i="9"/>
  <c r="D27" i="9"/>
  <c r="D16" i="9"/>
  <c r="D29" i="9"/>
  <c r="D19" i="9"/>
  <c r="D26" i="9"/>
  <c r="C31" i="9"/>
  <c r="C30" i="9"/>
  <c r="C29" i="9"/>
  <c r="C28" i="9"/>
  <c r="C27" i="9"/>
  <c r="C26" i="9"/>
  <c r="C25" i="9"/>
  <c r="C24" i="9"/>
  <c r="C23" i="9"/>
  <c r="C20" i="9"/>
  <c r="C17" i="9"/>
  <c r="C21" i="9"/>
  <c r="C22" i="9"/>
  <c r="C19" i="9"/>
  <c r="C18" i="9"/>
  <c r="C16" i="9"/>
  <c r="G15" i="9"/>
  <c r="C15" i="9"/>
  <c r="D15" i="9"/>
  <c r="H32" i="9" l="1"/>
  <c r="H23" i="9"/>
  <c r="H24" i="9"/>
  <c r="H25" i="9"/>
  <c r="H26" i="9"/>
  <c r="H27" i="9"/>
  <c r="H28" i="9"/>
  <c r="H29" i="9"/>
  <c r="H30" i="9"/>
  <c r="H31" i="9"/>
  <c r="H16" i="9"/>
  <c r="H17" i="9"/>
  <c r="H22" i="9"/>
  <c r="H19" i="9"/>
  <c r="H21" i="9"/>
  <c r="H18" i="9"/>
  <c r="H20" i="9"/>
  <c r="H15" i="9"/>
  <c r="E5" i="8"/>
  <c r="L15" i="8" s="1"/>
  <c r="D5" i="8"/>
  <c r="C5" i="8"/>
  <c r="E7" i="29" a="1"/>
  <c r="G34" i="8" l="1"/>
  <c r="F34" i="8"/>
  <c r="G17" i="8"/>
  <c r="G19" i="8"/>
  <c r="G21" i="8"/>
  <c r="G20" i="8"/>
  <c r="G23" i="8"/>
  <c r="G25" i="8"/>
  <c r="G22" i="8"/>
  <c r="G26" i="8"/>
  <c r="G16" i="8"/>
  <c r="G18" i="8"/>
  <c r="G24" i="8"/>
  <c r="G27" i="8"/>
  <c r="G28" i="8"/>
  <c r="G29" i="8"/>
  <c r="G30" i="8"/>
  <c r="G31" i="8"/>
  <c r="G32" i="8"/>
  <c r="G33" i="8"/>
  <c r="F33" i="8"/>
  <c r="F32" i="8"/>
  <c r="F31" i="8"/>
  <c r="F30" i="8"/>
  <c r="F29" i="8"/>
  <c r="F28" i="8"/>
  <c r="F27" i="8"/>
  <c r="F26" i="8"/>
  <c r="F25" i="8"/>
  <c r="F18" i="8"/>
  <c r="F21" i="8"/>
  <c r="F20" i="8"/>
  <c r="F22" i="8"/>
  <c r="F24" i="8"/>
  <c r="F23" i="8"/>
  <c r="F17" i="8"/>
  <c r="F19" i="8"/>
  <c r="F16" i="8"/>
  <c r="J34" i="8"/>
  <c r="I34" i="8"/>
  <c r="J28" i="8"/>
  <c r="J27" i="8"/>
  <c r="J29" i="8"/>
  <c r="J31" i="8"/>
  <c r="J30" i="8"/>
  <c r="J26" i="8"/>
  <c r="J32" i="8"/>
  <c r="J25" i="8"/>
  <c r="J33" i="8"/>
  <c r="J16" i="8"/>
  <c r="J17" i="8"/>
  <c r="J18" i="8"/>
  <c r="J19" i="8"/>
  <c r="J20" i="8"/>
  <c r="J21" i="8"/>
  <c r="J22" i="8"/>
  <c r="J23" i="8"/>
  <c r="J24" i="8"/>
  <c r="I33" i="8"/>
  <c r="I32" i="8"/>
  <c r="I31" i="8"/>
  <c r="I30" i="8"/>
  <c r="I29" i="8"/>
  <c r="I28" i="8"/>
  <c r="I27" i="8"/>
  <c r="I26" i="8"/>
  <c r="I25" i="8"/>
  <c r="I24" i="8"/>
  <c r="I22" i="8"/>
  <c r="I18" i="8"/>
  <c r="I16" i="8"/>
  <c r="I23" i="8"/>
  <c r="I19" i="8"/>
  <c r="I21" i="8"/>
  <c r="I20" i="8"/>
  <c r="I17" i="8"/>
  <c r="F15" i="8"/>
  <c r="M34" i="8"/>
  <c r="L34" i="8"/>
  <c r="M27" i="8"/>
  <c r="M22" i="8"/>
  <c r="M16" i="8"/>
  <c r="M17" i="8"/>
  <c r="M21" i="8"/>
  <c r="M24" i="8"/>
  <c r="M28" i="8"/>
  <c r="M18" i="8"/>
  <c r="M26" i="8"/>
  <c r="M29" i="8"/>
  <c r="M19" i="8"/>
  <c r="M20" i="8"/>
  <c r="M23" i="8"/>
  <c r="M25" i="8"/>
  <c r="M30" i="8"/>
  <c r="M31" i="8"/>
  <c r="M32" i="8"/>
  <c r="M33" i="8"/>
  <c r="L33" i="8"/>
  <c r="L32" i="8"/>
  <c r="L31" i="8"/>
  <c r="L30" i="8"/>
  <c r="L29" i="8"/>
  <c r="L28" i="8"/>
  <c r="L26" i="8"/>
  <c r="L27" i="8"/>
  <c r="L25" i="8"/>
  <c r="L21" i="8"/>
  <c r="L24" i="8"/>
  <c r="L18" i="8"/>
  <c r="L17" i="8"/>
  <c r="L19" i="8"/>
  <c r="L22" i="8"/>
  <c r="L23" i="8"/>
  <c r="L20" i="8"/>
  <c r="L16" i="8"/>
  <c r="G15" i="8"/>
  <c r="I15" i="8"/>
  <c r="J15" i="8"/>
  <c r="M15" i="8"/>
  <c r="E7" i="29"/>
  <c r="B5" i="8"/>
  <c r="D34" i="8" l="1"/>
  <c r="C34" i="8"/>
  <c r="N34" i="8" s="1"/>
  <c r="D24" i="8"/>
  <c r="D27" i="8"/>
  <c r="D20" i="8"/>
  <c r="D25" i="8"/>
  <c r="D26" i="8"/>
  <c r="D32" i="8"/>
  <c r="D33" i="8"/>
  <c r="D28" i="8"/>
  <c r="D29" i="8"/>
  <c r="D30" i="8"/>
  <c r="D31" i="8"/>
  <c r="D21" i="8"/>
  <c r="D23" i="8"/>
  <c r="D16" i="8"/>
  <c r="D17" i="8"/>
  <c r="D18" i="8"/>
  <c r="D19" i="8"/>
  <c r="D22" i="8"/>
  <c r="C33" i="8"/>
  <c r="C32" i="8"/>
  <c r="C31" i="8"/>
  <c r="C30" i="8"/>
  <c r="C29" i="8"/>
  <c r="C28" i="8"/>
  <c r="C27" i="8"/>
  <c r="C26" i="8"/>
  <c r="C25" i="8"/>
  <c r="C22" i="8"/>
  <c r="N22" i="8" s="1"/>
  <c r="C16" i="8"/>
  <c r="C18" i="8"/>
  <c r="C20" i="8"/>
  <c r="C17" i="8"/>
  <c r="C23" i="8"/>
  <c r="C24" i="8"/>
  <c r="N24" i="8" s="1"/>
  <c r="C19" i="8"/>
  <c r="C21" i="8"/>
  <c r="C15" i="8"/>
  <c r="D15" i="8"/>
  <c r="C5" i="5"/>
  <c r="B5" i="5"/>
  <c r="N30" i="8" l="1"/>
  <c r="N19" i="8"/>
  <c r="N27" i="8"/>
  <c r="N17" i="8"/>
  <c r="N18" i="8"/>
  <c r="N23" i="8"/>
  <c r="N16" i="8"/>
  <c r="N15" i="8"/>
  <c r="N21" i="8"/>
  <c r="N20" i="8"/>
  <c r="N25" i="8"/>
  <c r="N26" i="8"/>
  <c r="N28" i="8"/>
  <c r="N29" i="8"/>
  <c r="N31" i="8"/>
  <c r="N32" i="8"/>
  <c r="N33" i="8"/>
  <c r="D33" i="5"/>
  <c r="D35" i="5"/>
  <c r="D34" i="5"/>
  <c r="C35" i="5"/>
  <c r="D29" i="5"/>
  <c r="D24" i="5"/>
  <c r="D30" i="5"/>
  <c r="D17" i="5"/>
  <c r="D25" i="5"/>
  <c r="D31" i="5"/>
  <c r="D20" i="5"/>
  <c r="D27" i="5"/>
  <c r="D32" i="5"/>
  <c r="D26" i="5"/>
  <c r="D28" i="5"/>
  <c r="D18" i="5"/>
  <c r="D21" i="5"/>
  <c r="D16" i="5"/>
  <c r="D23" i="5"/>
  <c r="D19" i="5"/>
  <c r="D22" i="5"/>
  <c r="C34" i="5"/>
  <c r="C33" i="5"/>
  <c r="C32" i="5"/>
  <c r="C31" i="5"/>
  <c r="C30" i="5"/>
  <c r="C29" i="5"/>
  <c r="C27" i="5"/>
  <c r="C28" i="5"/>
  <c r="C26" i="5"/>
  <c r="C22" i="5"/>
  <c r="C20" i="5"/>
  <c r="C16" i="5"/>
  <c r="C23" i="5"/>
  <c r="C17" i="5"/>
  <c r="C18" i="5"/>
  <c r="C19" i="5"/>
  <c r="C24" i="5"/>
  <c r="C25" i="5"/>
  <c r="C21" i="5"/>
  <c r="D15" i="5"/>
  <c r="G33" i="5"/>
  <c r="G34" i="5"/>
  <c r="G35" i="5"/>
  <c r="F35" i="5"/>
  <c r="G16" i="5"/>
  <c r="G22" i="5"/>
  <c r="G25" i="5"/>
  <c r="G28" i="5"/>
  <c r="G17" i="5"/>
  <c r="G26" i="5"/>
  <c r="G30" i="5"/>
  <c r="G18" i="5"/>
  <c r="G20" i="5"/>
  <c r="G24" i="5"/>
  <c r="G29" i="5"/>
  <c r="G19" i="5"/>
  <c r="G21" i="5"/>
  <c r="G23" i="5"/>
  <c r="G27" i="5"/>
  <c r="G31" i="5"/>
  <c r="G32" i="5"/>
  <c r="F34" i="5"/>
  <c r="F33" i="5"/>
  <c r="F32" i="5"/>
  <c r="F31" i="5"/>
  <c r="F30" i="5"/>
  <c r="F29" i="5"/>
  <c r="F28" i="5"/>
  <c r="F27" i="5"/>
  <c r="F26" i="5"/>
  <c r="F19" i="5"/>
  <c r="F24" i="5"/>
  <c r="F16" i="5"/>
  <c r="F21" i="5"/>
  <c r="F22" i="5"/>
  <c r="F25" i="5"/>
  <c r="F23" i="5"/>
  <c r="F17" i="5"/>
  <c r="F18" i="5"/>
  <c r="F20" i="5"/>
  <c r="C15" i="5"/>
  <c r="F15" i="5"/>
  <c r="G15" i="5"/>
  <c r="E6" i="29" a="1"/>
  <c r="E6" i="29" l="1"/>
  <c r="H15" i="5"/>
  <c r="H23" i="5"/>
  <c r="H19" i="5"/>
  <c r="H31" i="5"/>
  <c r="H18" i="5"/>
  <c r="H17" i="5"/>
  <c r="H35" i="5"/>
  <c r="H32" i="5"/>
  <c r="H20" i="5"/>
  <c r="H22" i="5"/>
  <c r="H26" i="5"/>
  <c r="H29" i="5"/>
  <c r="H30" i="5"/>
  <c r="H33" i="5"/>
  <c r="H34" i="5"/>
  <c r="H28" i="5"/>
  <c r="H24" i="5"/>
  <c r="H27" i="5"/>
  <c r="H21" i="5"/>
  <c r="H25" i="5"/>
  <c r="H16" i="5"/>
  <c r="C5" i="3"/>
  <c r="G15" i="3" s="1"/>
  <c r="E5" i="29" a="1"/>
  <c r="E5" i="29" l="1"/>
  <c r="G22" i="3"/>
  <c r="G24" i="3"/>
  <c r="G28" i="3"/>
  <c r="G32" i="3"/>
  <c r="G16" i="3"/>
  <c r="G17" i="3"/>
  <c r="G25" i="3"/>
  <c r="G27" i="3"/>
  <c r="G29" i="3"/>
  <c r="G30" i="3"/>
  <c r="G31" i="3"/>
  <c r="G37" i="3"/>
  <c r="G38" i="3"/>
  <c r="G18" i="3"/>
  <c r="G19" i="3"/>
  <c r="G20" i="3"/>
  <c r="G21" i="3"/>
  <c r="G23" i="3"/>
  <c r="G33" i="3"/>
  <c r="G34" i="3"/>
  <c r="G35" i="3"/>
  <c r="G36" i="3"/>
  <c r="G26" i="3"/>
  <c r="F38" i="3"/>
  <c r="F37" i="3"/>
  <c r="F36" i="3"/>
  <c r="F35" i="3"/>
  <c r="F34" i="3"/>
  <c r="F33" i="3"/>
  <c r="F32" i="3"/>
  <c r="F31" i="3"/>
  <c r="F30" i="3"/>
  <c r="F29" i="3"/>
  <c r="F23" i="3"/>
  <c r="F25" i="3"/>
  <c r="F26" i="3"/>
  <c r="F20" i="3"/>
  <c r="F27" i="3"/>
  <c r="F28" i="3"/>
  <c r="F18" i="3"/>
  <c r="F22" i="3"/>
  <c r="F24" i="3"/>
  <c r="F19" i="3"/>
  <c r="F21" i="3"/>
  <c r="F16" i="3"/>
  <c r="F17" i="3"/>
  <c r="B5" i="3"/>
  <c r="D16" i="3" l="1"/>
  <c r="D31" i="3"/>
  <c r="D34" i="3"/>
  <c r="D35" i="3"/>
  <c r="D38" i="3"/>
  <c r="D17" i="3"/>
  <c r="D19" i="3"/>
  <c r="D20" i="3"/>
  <c r="D21" i="3"/>
  <c r="D22" i="3"/>
  <c r="D23" i="3"/>
  <c r="D26" i="3"/>
  <c r="D27" i="3"/>
  <c r="D28" i="3"/>
  <c r="D29" i="3"/>
  <c r="D32" i="3"/>
  <c r="D36" i="3"/>
  <c r="D18" i="3"/>
  <c r="D24" i="3"/>
  <c r="D25" i="3"/>
  <c r="D30" i="3"/>
  <c r="D33" i="3"/>
  <c r="D37" i="3"/>
  <c r="C38" i="3"/>
  <c r="C37" i="3"/>
  <c r="H37" i="3" s="1"/>
  <c r="C36" i="3"/>
  <c r="C35" i="3"/>
  <c r="C34" i="3"/>
  <c r="C33" i="3"/>
  <c r="C32" i="3"/>
  <c r="C30" i="3"/>
  <c r="C31" i="3"/>
  <c r="H31" i="3" s="1"/>
  <c r="C29" i="3"/>
  <c r="C28" i="3"/>
  <c r="C23" i="3"/>
  <c r="C22" i="3"/>
  <c r="C20" i="3"/>
  <c r="C24" i="3"/>
  <c r="C17" i="3"/>
  <c r="H17" i="3" s="1"/>
  <c r="C26" i="3"/>
  <c r="C19" i="3"/>
  <c r="H19" i="3" s="1"/>
  <c r="C16" i="3"/>
  <c r="C27" i="3"/>
  <c r="H27" i="3" s="1"/>
  <c r="C18" i="3"/>
  <c r="C25" i="3"/>
  <c r="C21" i="3"/>
  <c r="H21" i="3" s="1"/>
  <c r="C15" i="3"/>
  <c r="H38" i="3" l="1"/>
  <c r="H30" i="3"/>
  <c r="H16" i="3"/>
  <c r="H22" i="3"/>
  <c r="H23" i="3"/>
  <c r="H24" i="3"/>
  <c r="H20" i="3"/>
  <c r="H28" i="3"/>
  <c r="H18" i="3"/>
  <c r="H26" i="3"/>
  <c r="H29" i="3"/>
  <c r="H25" i="3"/>
  <c r="H32" i="3"/>
  <c r="H34" i="3"/>
  <c r="H33" i="3"/>
  <c r="H40" i="3"/>
  <c r="H35" i="3"/>
  <c r="H36" i="3"/>
  <c r="D15" i="3"/>
  <c r="F15" i="3"/>
  <c r="H15" i="3" s="1"/>
  <c r="E4" i="29" a="1"/>
  <c r="E4" i="29" l="1"/>
  <c r="D5" i="2"/>
  <c r="C5" i="2"/>
  <c r="B5" i="2"/>
  <c r="D38" i="2" l="1"/>
  <c r="D16" i="2"/>
  <c r="D17" i="2"/>
  <c r="D20" i="2"/>
  <c r="D21" i="2"/>
  <c r="D39" i="2"/>
  <c r="D28" i="2"/>
  <c r="D30" i="2"/>
  <c r="D19" i="2"/>
  <c r="D22" i="2"/>
  <c r="D23" i="2"/>
  <c r="D26" i="2"/>
  <c r="D27" i="2"/>
  <c r="D32" i="2"/>
  <c r="D35" i="2"/>
  <c r="D36" i="2"/>
  <c r="D18" i="2"/>
  <c r="D24" i="2"/>
  <c r="D25" i="2"/>
  <c r="D29" i="2"/>
  <c r="D31" i="2"/>
  <c r="D34" i="2"/>
  <c r="D37" i="2"/>
  <c r="D33" i="2"/>
  <c r="C39" i="2"/>
  <c r="C38" i="2"/>
  <c r="C37" i="2"/>
  <c r="C36" i="2"/>
  <c r="C35" i="2"/>
  <c r="C34" i="2"/>
  <c r="C33" i="2"/>
  <c r="C31" i="2"/>
  <c r="C32" i="2"/>
  <c r="C30" i="2"/>
  <c r="C25" i="2"/>
  <c r="C22" i="2"/>
  <c r="C18" i="2"/>
  <c r="C20" i="2"/>
  <c r="C26" i="2"/>
  <c r="C29" i="2"/>
  <c r="C19" i="2"/>
  <c r="C23" i="2"/>
  <c r="C24" i="2"/>
  <c r="C28" i="2"/>
  <c r="C27" i="2"/>
  <c r="C17" i="2"/>
  <c r="C21" i="2"/>
  <c r="C16" i="2"/>
  <c r="G31" i="2"/>
  <c r="G37" i="2"/>
  <c r="G17" i="2"/>
  <c r="G22" i="2"/>
  <c r="G30" i="2"/>
  <c r="G32" i="2"/>
  <c r="G34" i="2"/>
  <c r="G35" i="2"/>
  <c r="G18" i="2"/>
  <c r="G20" i="2"/>
  <c r="G24" i="2"/>
  <c r="G28" i="2"/>
  <c r="G29" i="2"/>
  <c r="G33" i="2"/>
  <c r="G21" i="2"/>
  <c r="G26" i="2"/>
  <c r="G36" i="2"/>
  <c r="G38" i="2"/>
  <c r="G39" i="2"/>
  <c r="G19" i="2"/>
  <c r="G23" i="2"/>
  <c r="G25" i="2"/>
  <c r="G16" i="2"/>
  <c r="G27" i="2"/>
  <c r="F39" i="2"/>
  <c r="F38" i="2"/>
  <c r="F37" i="2"/>
  <c r="F36" i="2"/>
  <c r="F35" i="2"/>
  <c r="F34" i="2"/>
  <c r="F33" i="2"/>
  <c r="F32" i="2"/>
  <c r="F31" i="2"/>
  <c r="F30" i="2"/>
  <c r="F19" i="2"/>
  <c r="F28" i="2"/>
  <c r="F27" i="2"/>
  <c r="F25" i="2"/>
  <c r="F24" i="2"/>
  <c r="F18" i="2"/>
  <c r="F29" i="2"/>
  <c r="F23" i="2"/>
  <c r="F20" i="2"/>
  <c r="F26" i="2"/>
  <c r="F16" i="2"/>
  <c r="F17" i="2"/>
  <c r="F22" i="2"/>
  <c r="F21" i="2"/>
  <c r="J24" i="2"/>
  <c r="J31" i="2"/>
  <c r="J20" i="2"/>
  <c r="J21" i="2"/>
  <c r="J25" i="2"/>
  <c r="J30" i="2"/>
  <c r="J34" i="2"/>
  <c r="J35" i="2"/>
  <c r="J37" i="2"/>
  <c r="J23" i="2"/>
  <c r="J26" i="2"/>
  <c r="J28" i="2"/>
  <c r="J29" i="2"/>
  <c r="J32" i="2"/>
  <c r="J33" i="2"/>
  <c r="J36" i="2"/>
  <c r="J39" i="2"/>
  <c r="J16" i="2"/>
  <c r="J17" i="2"/>
  <c r="J27" i="2"/>
  <c r="J38" i="2"/>
  <c r="J19" i="2"/>
  <c r="J22" i="2"/>
  <c r="J18" i="2"/>
  <c r="I39" i="2"/>
  <c r="I38" i="2"/>
  <c r="I37" i="2"/>
  <c r="I36" i="2"/>
  <c r="I35" i="2"/>
  <c r="I34" i="2"/>
  <c r="I33" i="2"/>
  <c r="I32" i="2"/>
  <c r="I31" i="2"/>
  <c r="I30" i="2"/>
  <c r="I27" i="2"/>
  <c r="I20" i="2"/>
  <c r="I19" i="2"/>
  <c r="I26" i="2"/>
  <c r="I23" i="2"/>
  <c r="I17" i="2"/>
  <c r="I25" i="2"/>
  <c r="I29" i="2"/>
  <c r="I28" i="2"/>
  <c r="I18" i="2"/>
  <c r="I16" i="2"/>
  <c r="I22" i="2"/>
  <c r="I21" i="2"/>
  <c r="I24" i="2"/>
  <c r="G15" i="2"/>
  <c r="F15" i="2"/>
  <c r="D15" i="2"/>
  <c r="C15" i="2"/>
  <c r="J15" i="2"/>
  <c r="I15" i="2"/>
  <c r="K34" i="2" l="1"/>
  <c r="K35" i="2"/>
  <c r="K36" i="2"/>
  <c r="K37" i="2"/>
  <c r="K39" i="2"/>
  <c r="K32" i="2"/>
  <c r="K38" i="2"/>
  <c r="K31" i="2"/>
  <c r="K33" i="2"/>
  <c r="K29" i="2"/>
  <c r="K28" i="2"/>
  <c r="K30" i="2"/>
  <c r="K25" i="2"/>
  <c r="K26" i="2"/>
  <c r="K15" i="2"/>
  <c r="K19" i="2"/>
  <c r="K16" i="2"/>
  <c r="K22" i="2"/>
  <c r="K23" i="2"/>
  <c r="K18" i="2"/>
  <c r="K27" i="2"/>
  <c r="K21" i="2"/>
  <c r="K20" i="2"/>
  <c r="K24" i="2"/>
  <c r="K17" i="2"/>
  <c r="E3" i="29" a="1"/>
  <c r="E3" i="29" l="1"/>
  <c r="CJ56" i="24" l="1"/>
  <c r="CG45" i="24"/>
  <c r="CJ15" i="24"/>
  <c r="CJ27" i="24"/>
  <c r="CJ55" i="24"/>
  <c r="CG27" i="24"/>
  <c r="CJ33" i="24"/>
  <c r="CG40" i="24"/>
  <c r="CG20" i="24"/>
  <c r="CG44" i="24"/>
  <c r="CJ71" i="24"/>
  <c r="CJ61" i="24"/>
  <c r="CG41" i="24"/>
  <c r="CG23" i="24"/>
  <c r="CG30" i="24"/>
  <c r="CJ24" i="24"/>
  <c r="CJ57" i="24"/>
  <c r="CK57" i="24" s="1"/>
  <c r="CG37" i="24"/>
  <c r="CG34" i="24"/>
  <c r="CJ70" i="24"/>
  <c r="CJ73" i="24"/>
  <c r="CJ78" i="24"/>
  <c r="CJ53" i="24"/>
  <c r="CJ39" i="24"/>
  <c r="CG42" i="24"/>
  <c r="CJ44" i="24"/>
  <c r="CJ35" i="24"/>
  <c r="CK35" i="24" s="1"/>
  <c r="CJ45" i="24"/>
  <c r="CK45" i="24" s="1"/>
  <c r="CG78" i="24"/>
  <c r="CJ16" i="24"/>
  <c r="CK16" i="24" s="1"/>
  <c r="CG52" i="24"/>
  <c r="CJ48" i="24"/>
  <c r="CK48" i="24" s="1"/>
  <c r="CG77" i="24"/>
  <c r="CJ65" i="24"/>
  <c r="CG17" i="24"/>
  <c r="CJ14" i="24"/>
  <c r="CG75" i="24"/>
  <c r="CG29" i="24"/>
  <c r="CJ51" i="24"/>
  <c r="CK51" i="24" s="1"/>
  <c r="CG46" i="24"/>
  <c r="CG25" i="24"/>
  <c r="CJ30" i="24"/>
  <c r="CG35" i="24"/>
  <c r="CG49" i="24"/>
  <c r="CJ62" i="24"/>
  <c r="CJ32" i="24"/>
  <c r="CK32" i="24" s="1"/>
  <c r="CJ23" i="24"/>
  <c r="CK23" i="24" s="1"/>
  <c r="CG65" i="24"/>
  <c r="CJ38" i="24"/>
  <c r="CK38" i="24" s="1"/>
  <c r="CJ36" i="24"/>
  <c r="CG76" i="24"/>
  <c r="CJ79" i="24"/>
  <c r="CJ59" i="24"/>
  <c r="CG70" i="24"/>
  <c r="CJ67" i="24"/>
  <c r="CJ69" i="24"/>
  <c r="CG47" i="24"/>
  <c r="CG21" i="24"/>
  <c r="CJ63" i="24"/>
  <c r="CK63" i="24" s="1"/>
  <c r="CG56" i="24"/>
  <c r="CJ47" i="24"/>
  <c r="CK47" i="24" s="1"/>
  <c r="CJ40" i="24"/>
  <c r="CK40" i="24" s="1"/>
  <c r="CG31" i="24"/>
  <c r="CJ68" i="24"/>
  <c r="CK68" i="24" s="1"/>
  <c r="CJ77" i="24"/>
  <c r="CG73" i="24"/>
  <c r="CG63" i="24"/>
  <c r="CJ50" i="24"/>
  <c r="CK50" i="24" s="1"/>
  <c r="CJ42" i="24"/>
  <c r="CG33" i="24"/>
  <c r="CG54" i="24"/>
  <c r="CJ58" i="24"/>
  <c r="CJ31" i="24"/>
  <c r="CG71" i="24"/>
  <c r="CJ22" i="24"/>
  <c r="CJ52" i="24"/>
  <c r="CG61" i="24"/>
  <c r="CG32" i="24"/>
  <c r="CJ66" i="24"/>
  <c r="CK66" i="24" s="1"/>
  <c r="CJ75" i="24"/>
  <c r="CK75" i="24" s="1"/>
  <c r="CG79" i="24"/>
  <c r="CH79" i="24" s="1"/>
  <c r="CG48" i="24"/>
  <c r="CG72" i="24"/>
  <c r="CJ43" i="24"/>
  <c r="CJ72" i="24"/>
  <c r="CG62" i="24"/>
  <c r="CG64" i="24"/>
  <c r="CG39" i="24"/>
  <c r="CG43" i="24"/>
  <c r="CJ37" i="24"/>
  <c r="CJ54" i="24"/>
  <c r="CK54" i="24" s="1"/>
  <c r="CG58" i="24"/>
  <c r="CG28" i="24"/>
  <c r="CG51" i="24"/>
  <c r="CG22" i="24"/>
  <c r="CJ80" i="24"/>
  <c r="CK80" i="24" s="1"/>
  <c r="CJ28" i="24"/>
  <c r="CJ21" i="24"/>
  <c r="CJ25" i="24"/>
  <c r="CG14" i="24"/>
  <c r="CG38" i="24"/>
  <c r="CG36" i="24"/>
  <c r="CG53" i="24"/>
  <c r="CJ34" i="24"/>
  <c r="CJ26" i="24"/>
  <c r="CG68" i="24"/>
  <c r="CJ76" i="24"/>
  <c r="CG50" i="24"/>
  <c r="CJ17" i="24"/>
  <c r="CJ46" i="24"/>
  <c r="CK46" i="24" s="1"/>
  <c r="CJ18" i="24"/>
  <c r="CK18" i="24" s="1"/>
  <c r="CG57" i="24"/>
  <c r="CH57" i="24" s="1"/>
  <c r="CG19" i="24"/>
  <c r="CH19" i="24" s="1"/>
  <c r="CG18" i="24"/>
  <c r="CG67" i="24"/>
  <c r="CJ49" i="24"/>
  <c r="CG60" i="24"/>
  <c r="CG15" i="24"/>
  <c r="CJ74" i="24"/>
  <c r="CJ20" i="24"/>
  <c r="CJ64" i="24"/>
  <c r="CG24" i="24"/>
  <c r="CG66" i="24"/>
  <c r="CJ41" i="24"/>
  <c r="CK41" i="24" s="1"/>
  <c r="CG74" i="24"/>
  <c r="CJ29" i="24"/>
  <c r="CK29" i="24" s="1"/>
  <c r="CG59" i="24"/>
  <c r="CG55" i="24"/>
  <c r="CJ60" i="24"/>
  <c r="CJ19" i="24"/>
  <c r="CG69" i="24"/>
  <c r="CG26" i="24"/>
  <c r="CG80" i="24"/>
  <c r="CG16" i="24"/>
  <c r="CH84" i="24" l="1"/>
  <c r="CH85" i="24"/>
  <c r="CK84" i="24"/>
  <c r="CK85" i="24"/>
  <c r="CK33" i="24"/>
  <c r="CK42" i="24"/>
  <c r="CH61" i="24"/>
  <c r="CH50" i="24"/>
  <c r="CM50" i="24" s="1"/>
  <c r="DJ49" i="24" s="1"/>
  <c r="CK61" i="24"/>
  <c r="CH30" i="24"/>
  <c r="CH32" i="24"/>
  <c r="CM32" i="24" s="1"/>
  <c r="DJ31" i="24" s="1"/>
  <c r="CK17" i="24"/>
  <c r="CK62" i="24"/>
  <c r="CH49" i="24"/>
  <c r="CK26" i="24"/>
  <c r="CK31" i="24"/>
  <c r="CH23" i="24"/>
  <c r="CH41" i="24"/>
  <c r="CM41" i="24" s="1"/>
  <c r="DJ40" i="24" s="1"/>
  <c r="CK52" i="24"/>
  <c r="CK34" i="24"/>
  <c r="CK58" i="24"/>
  <c r="CK37" i="24"/>
  <c r="CK76" i="24"/>
  <c r="CK22" i="24"/>
  <c r="CK71" i="24"/>
  <c r="CK30" i="24"/>
  <c r="CK83" i="24"/>
  <c r="CH83" i="24"/>
  <c r="CM83" i="24" s="1"/>
  <c r="DJ82" i="24" s="1"/>
  <c r="CH65" i="24"/>
  <c r="CK24" i="24"/>
  <c r="CH35" i="24"/>
  <c r="CH18" i="24"/>
  <c r="CH48" i="24"/>
  <c r="CK36" i="24"/>
  <c r="CH37" i="24"/>
  <c r="CK44" i="24"/>
  <c r="CK20" i="24"/>
  <c r="CK39" i="24"/>
  <c r="CK78" i="24"/>
  <c r="CK64" i="24"/>
  <c r="CK69" i="24"/>
  <c r="CK74" i="24"/>
  <c r="CK67" i="24"/>
  <c r="CK53" i="24"/>
  <c r="CK55" i="24"/>
  <c r="CH68" i="24"/>
  <c r="CM68" i="24" s="1"/>
  <c r="DJ67" i="24" s="1"/>
  <c r="CH25" i="24"/>
  <c r="CH26" i="24"/>
  <c r="CM26" i="24" s="1"/>
  <c r="DJ25" i="24" s="1"/>
  <c r="CH55" i="24"/>
  <c r="CM55" i="24" s="1"/>
  <c r="DJ54" i="24" s="1"/>
  <c r="CH59" i="24"/>
  <c r="CH22" i="24"/>
  <c r="CH31" i="24"/>
  <c r="CH52" i="24"/>
  <c r="CH51" i="24"/>
  <c r="CH74" i="24"/>
  <c r="CH28" i="24"/>
  <c r="CH78" i="24"/>
  <c r="CH58" i="24"/>
  <c r="CH56" i="24"/>
  <c r="CH66" i="24"/>
  <c r="CM66" i="24" s="1"/>
  <c r="DJ65" i="24" s="1"/>
  <c r="CH24" i="24"/>
  <c r="CH21" i="24"/>
  <c r="CH43" i="24"/>
  <c r="CH47" i="24"/>
  <c r="CM47" i="24" s="1"/>
  <c r="DJ46" i="24" s="1"/>
  <c r="CH42" i="24"/>
  <c r="CH39" i="24"/>
  <c r="CH64" i="24"/>
  <c r="CH62" i="24"/>
  <c r="CH70" i="24"/>
  <c r="CH44" i="24"/>
  <c r="CH46" i="24"/>
  <c r="CM46" i="24" s="1"/>
  <c r="DJ45" i="24" s="1"/>
  <c r="CH53" i="24"/>
  <c r="CH54" i="24"/>
  <c r="CH20" i="24"/>
  <c r="CH40" i="24"/>
  <c r="CH16" i="24"/>
  <c r="CM16" i="24" s="1"/>
  <c r="DJ15" i="24" s="1"/>
  <c r="CH36" i="24"/>
  <c r="CH33" i="24"/>
  <c r="CH29" i="24"/>
  <c r="CM29" i="24" s="1"/>
  <c r="DJ28" i="24" s="1"/>
  <c r="CH80" i="24"/>
  <c r="CM80" i="24" s="1"/>
  <c r="DJ79" i="24" s="1"/>
  <c r="CH38" i="24"/>
  <c r="CH75" i="24"/>
  <c r="CM75" i="24" s="1"/>
  <c r="DJ74" i="24" s="1"/>
  <c r="CH71" i="24"/>
  <c r="CH69" i="24"/>
  <c r="CK27" i="24"/>
  <c r="CH60" i="24"/>
  <c r="CK72" i="24"/>
  <c r="CK59" i="24"/>
  <c r="CK73" i="24"/>
  <c r="CK49" i="24"/>
  <c r="CK43" i="24"/>
  <c r="CK79" i="24"/>
  <c r="CM79" i="24" s="1"/>
  <c r="DJ78" i="24" s="1"/>
  <c r="CK70" i="24"/>
  <c r="CH67" i="24"/>
  <c r="CH72" i="24"/>
  <c r="CH76" i="24"/>
  <c r="CH34" i="24"/>
  <c r="CH27" i="24"/>
  <c r="CH82" i="24"/>
  <c r="CH81" i="24"/>
  <c r="CK82" i="24"/>
  <c r="CK81" i="24"/>
  <c r="CK25" i="24"/>
  <c r="CH63" i="24"/>
  <c r="CH17" i="24"/>
  <c r="CK19" i="24"/>
  <c r="CM19" i="24" s="1"/>
  <c r="DJ18" i="24" s="1"/>
  <c r="CK21" i="24"/>
  <c r="CH73" i="24"/>
  <c r="CK65" i="24"/>
  <c r="CH45" i="24"/>
  <c r="CK60" i="24"/>
  <c r="CK28" i="24"/>
  <c r="CK77" i="24"/>
  <c r="CH77" i="24"/>
  <c r="CK56" i="24"/>
  <c r="CK15" i="24"/>
  <c r="CM57" i="24"/>
  <c r="DJ56" i="24" s="1"/>
  <c r="CH15" i="24"/>
  <c r="CM84" i="24" l="1"/>
  <c r="DJ83" i="24" s="1"/>
  <c r="DN83" i="24" s="1"/>
  <c r="DR83" i="24" s="1"/>
  <c r="CM52" i="24"/>
  <c r="DJ51" i="24" s="1"/>
  <c r="CM62" i="24"/>
  <c r="DJ61" i="24" s="1"/>
  <c r="CM34" i="24"/>
  <c r="DJ33" i="24" s="1"/>
  <c r="CM76" i="24"/>
  <c r="DJ75" i="24" s="1"/>
  <c r="DN75" i="24" s="1"/>
  <c r="DR75" i="24" s="1"/>
  <c r="CM30" i="24"/>
  <c r="DJ29" i="24" s="1"/>
  <c r="DN29" i="24" s="1"/>
  <c r="DR29" i="24" s="1"/>
  <c r="CM17" i="24"/>
  <c r="DJ16" i="24" s="1"/>
  <c r="CM61" i="24"/>
  <c r="DJ60" i="24" s="1"/>
  <c r="CM53" i="24"/>
  <c r="DJ52" i="24" s="1"/>
  <c r="CM74" i="24"/>
  <c r="DJ73" i="24" s="1"/>
  <c r="CM69" i="24"/>
  <c r="DJ68" i="24" s="1"/>
  <c r="DN68" i="24" s="1"/>
  <c r="DR68" i="24" s="1"/>
  <c r="CM71" i="24"/>
  <c r="DJ70" i="24" s="1"/>
  <c r="CM36" i="24"/>
  <c r="DJ35" i="24" s="1"/>
  <c r="CM20" i="24"/>
  <c r="DJ19" i="24" s="1"/>
  <c r="DN19" i="24" s="1"/>
  <c r="DR19" i="24" s="1"/>
  <c r="CM44" i="24"/>
  <c r="DJ43" i="24" s="1"/>
  <c r="CM73" i="24"/>
  <c r="DJ72" i="24" s="1"/>
  <c r="CM67" i="24"/>
  <c r="DJ66" i="24" s="1"/>
  <c r="DN66" i="24" s="1"/>
  <c r="DR66" i="24" s="1"/>
  <c r="CM21" i="24"/>
  <c r="DJ20" i="24" s="1"/>
  <c r="CM24" i="24"/>
  <c r="DJ23" i="24" s="1"/>
  <c r="CM43" i="24"/>
  <c r="DJ42" i="24" s="1"/>
  <c r="CM85" i="24"/>
  <c r="DJ84" i="24" s="1"/>
  <c r="DN84" i="24" s="1"/>
  <c r="DR84" i="24" s="1"/>
  <c r="CM59" i="24"/>
  <c r="DJ58" i="24" s="1"/>
  <c r="CM64" i="24"/>
  <c r="DJ63" i="24" s="1"/>
  <c r="CM70" i="24"/>
  <c r="DJ69" i="24" s="1"/>
  <c r="CM25" i="24"/>
  <c r="DJ24" i="24" s="1"/>
  <c r="CM82" i="24"/>
  <c r="DJ81" i="24" s="1"/>
  <c r="DN82" i="24" s="1"/>
  <c r="DR82" i="24" s="1"/>
  <c r="CM51" i="24"/>
  <c r="DJ50" i="24" s="1"/>
  <c r="CM42" i="24"/>
  <c r="DJ41" i="24" s="1"/>
  <c r="CM23" i="24"/>
  <c r="DJ22" i="24" s="1"/>
  <c r="CM60" i="24"/>
  <c r="DJ59" i="24" s="1"/>
  <c r="CM33" i="24"/>
  <c r="DJ32" i="24" s="1"/>
  <c r="DN32" i="24" s="1"/>
  <c r="DR32" i="24" s="1"/>
  <c r="CM40" i="24"/>
  <c r="DJ39" i="24" s="1"/>
  <c r="DN40" i="24" s="1"/>
  <c r="DR40" i="24" s="1"/>
  <c r="CM72" i="24"/>
  <c r="DJ71" i="24" s="1"/>
  <c r="CM54" i="24"/>
  <c r="DJ53" i="24" s="1"/>
  <c r="DN54" i="24" s="1"/>
  <c r="DR54" i="24" s="1"/>
  <c r="CM18" i="24"/>
  <c r="DJ17" i="24" s="1"/>
  <c r="DN18" i="24" s="1"/>
  <c r="DR18" i="24" s="1"/>
  <c r="CM65" i="24"/>
  <c r="DJ64" i="24" s="1"/>
  <c r="CM31" i="24"/>
  <c r="DJ30" i="24" s="1"/>
  <c r="CM35" i="24"/>
  <c r="DJ34" i="24" s="1"/>
  <c r="DN34" i="24" s="1"/>
  <c r="DR34" i="24" s="1"/>
  <c r="CM38" i="24"/>
  <c r="DJ37" i="24" s="1"/>
  <c r="CM48" i="24"/>
  <c r="DJ47" i="24" s="1"/>
  <c r="DN47" i="24" s="1"/>
  <c r="DR47" i="24" s="1"/>
  <c r="CM37" i="24"/>
  <c r="DJ36" i="24" s="1"/>
  <c r="CM81" i="24"/>
  <c r="DJ80" i="24" s="1"/>
  <c r="CM27" i="24"/>
  <c r="DJ26" i="24" s="1"/>
  <c r="DN26" i="24" s="1"/>
  <c r="DR26" i="24" s="1"/>
  <c r="CM45" i="24"/>
  <c r="DJ44" i="24" s="1"/>
  <c r="CM77" i="24"/>
  <c r="DJ76" i="24" s="1"/>
  <c r="CM78" i="24"/>
  <c r="DJ77" i="24" s="1"/>
  <c r="DN77" i="24" s="1"/>
  <c r="DR77" i="24" s="1"/>
  <c r="CM58" i="24"/>
  <c r="DJ57" i="24" s="1"/>
  <c r="DN57" i="24" s="1"/>
  <c r="DR57" i="24" s="1"/>
  <c r="CM63" i="24"/>
  <c r="DJ62" i="24" s="1"/>
  <c r="DN62" i="24" s="1"/>
  <c r="DR62" i="24" s="1"/>
  <c r="DN16" i="24"/>
  <c r="DR16" i="24" s="1"/>
  <c r="CM56" i="24"/>
  <c r="DJ55" i="24" s="1"/>
  <c r="DN55" i="24" s="1"/>
  <c r="DR55" i="24" s="1"/>
  <c r="DN46" i="24"/>
  <c r="DR46" i="24" s="1"/>
  <c r="CM15" i="24"/>
  <c r="DJ14" i="24" s="1"/>
  <c r="DN14" i="24" s="1"/>
  <c r="DR14" i="24" s="1"/>
  <c r="CM22" i="24"/>
  <c r="DJ21" i="24" s="1"/>
  <c r="CM28" i="24"/>
  <c r="DJ27" i="24" s="1"/>
  <c r="CM49" i="24"/>
  <c r="DJ48" i="24" s="1"/>
  <c r="CM39" i="24"/>
  <c r="DJ38" i="24" s="1"/>
  <c r="DN79" i="24"/>
  <c r="DR79" i="24" s="1"/>
  <c r="DN76" i="24" l="1"/>
  <c r="DR76" i="24" s="1"/>
  <c r="DN52" i="24"/>
  <c r="DR52" i="24" s="1"/>
  <c r="DN51" i="24"/>
  <c r="DR51" i="24" s="1"/>
  <c r="DN44" i="24"/>
  <c r="DR44" i="24" s="1"/>
  <c r="DN30" i="24"/>
  <c r="DR30" i="24" s="1"/>
  <c r="DN61" i="24"/>
  <c r="DR61" i="24" s="1"/>
  <c r="DN67" i="24"/>
  <c r="DR67" i="24" s="1"/>
  <c r="DN24" i="24"/>
  <c r="DR24" i="24" s="1"/>
  <c r="DN21" i="24"/>
  <c r="DR21" i="24" s="1"/>
  <c r="DN23" i="24"/>
  <c r="DR23" i="24" s="1"/>
  <c r="DN42" i="24"/>
  <c r="DR42" i="24" s="1"/>
  <c r="DN73" i="24"/>
  <c r="DR73" i="24" s="1"/>
  <c r="DN74" i="24"/>
  <c r="DR74" i="24" s="1"/>
  <c r="DN43" i="24"/>
  <c r="DR43" i="24" s="1"/>
  <c r="DN20" i="24"/>
  <c r="DR20" i="24" s="1"/>
  <c r="DN36" i="24"/>
  <c r="DR36" i="24" s="1"/>
  <c r="DN59" i="24"/>
  <c r="DR59" i="24" s="1"/>
  <c r="DN71" i="24"/>
  <c r="DR71" i="24" s="1"/>
  <c r="DN70" i="24"/>
  <c r="DR70" i="24" s="1"/>
  <c r="DN64" i="24"/>
  <c r="DR64" i="24" s="1"/>
  <c r="DN69" i="24"/>
  <c r="DR69" i="24" s="1"/>
  <c r="DN25" i="24"/>
  <c r="DR25" i="24" s="1"/>
  <c r="DN65" i="24"/>
  <c r="DR65" i="24" s="1"/>
  <c r="DN53" i="24"/>
  <c r="DR53" i="24" s="1"/>
  <c r="DN50" i="24"/>
  <c r="DR50" i="24" s="1"/>
  <c r="DN17" i="24"/>
  <c r="DR17" i="24" s="1"/>
  <c r="DN60" i="24"/>
  <c r="DR60" i="24" s="1"/>
  <c r="DN38" i="24"/>
  <c r="DR38" i="24" s="1"/>
  <c r="DN80" i="24"/>
  <c r="DR80" i="24" s="1"/>
  <c r="DN81" i="24"/>
  <c r="DR81" i="24" s="1"/>
  <c r="DN41" i="24"/>
  <c r="DR41" i="24" s="1"/>
  <c r="DN37" i="24"/>
  <c r="DR37" i="24" s="1"/>
  <c r="DN48" i="24"/>
  <c r="DR48" i="24" s="1"/>
  <c r="DN72" i="24"/>
  <c r="DR72" i="24" s="1"/>
  <c r="DN35" i="24"/>
  <c r="DR35" i="24" s="1"/>
  <c r="DN31" i="24"/>
  <c r="DR31" i="24" s="1"/>
  <c r="DN33" i="24"/>
  <c r="DR33" i="24" s="1"/>
  <c r="DN39" i="24"/>
  <c r="DR39" i="24" s="1"/>
  <c r="DN45" i="24"/>
  <c r="DR45" i="24" s="1"/>
  <c r="DN27" i="24"/>
  <c r="DR27" i="24" s="1"/>
  <c r="DN58" i="24"/>
  <c r="DR58" i="24" s="1"/>
  <c r="DN15" i="24"/>
  <c r="DR15" i="24" s="1"/>
  <c r="DN28" i="24"/>
  <c r="DR28" i="24" s="1"/>
  <c r="DN22" i="24"/>
  <c r="DR22" i="24" s="1"/>
  <c r="DN56" i="24"/>
  <c r="DR56" i="24" s="1"/>
  <c r="DN78" i="24"/>
  <c r="DR78" i="24" s="1"/>
  <c r="DN63" i="24"/>
  <c r="DR63" i="24" s="1"/>
  <c r="DN49" i="24"/>
  <c r="DR49" i="24" s="1"/>
  <c r="DN10" i="24"/>
  <c r="DV82" i="24" l="1"/>
  <c r="DV83" i="24"/>
  <c r="DV84" i="24"/>
  <c r="EC84" i="24" s="1"/>
  <c r="DV18" i="24"/>
  <c r="EC18" i="24" s="1"/>
  <c r="DV81" i="24"/>
  <c r="DV22" i="24"/>
  <c r="EC22" i="24" s="1"/>
  <c r="DV30" i="24"/>
  <c r="EC30" i="24" s="1"/>
  <c r="DV73" i="24"/>
  <c r="EC73" i="24" s="1"/>
  <c r="DV29" i="24"/>
  <c r="EC29" i="24" s="1"/>
  <c r="DV17" i="24"/>
  <c r="EC17" i="24" s="1"/>
  <c r="DV16" i="24"/>
  <c r="EC16" i="24" s="1"/>
  <c r="DV19" i="24"/>
  <c r="EC19" i="24" s="1"/>
  <c r="DV27" i="24"/>
  <c r="EC27" i="24" s="1"/>
  <c r="DV32" i="24"/>
  <c r="EC32" i="24" s="1"/>
  <c r="DV66" i="24"/>
  <c r="EC66" i="24" s="1"/>
  <c r="DV28" i="24"/>
  <c r="EC28" i="24" s="1"/>
  <c r="DV15" i="24"/>
  <c r="EC15" i="24" s="1"/>
  <c r="DV21" i="24"/>
  <c r="EC21" i="24" s="1"/>
  <c r="DV42" i="24"/>
  <c r="EC42" i="24" s="1"/>
  <c r="DV59" i="24"/>
  <c r="EC59" i="24" s="1"/>
  <c r="DV68" i="24"/>
  <c r="EC68" i="24" s="1"/>
  <c r="DV36" i="24"/>
  <c r="EC36" i="24" s="1"/>
  <c r="DV71" i="24"/>
  <c r="EC71" i="24" s="1"/>
  <c r="DV79" i="24"/>
  <c r="EC79" i="24" s="1"/>
  <c r="DV62" i="24"/>
  <c r="EC62" i="24" s="1"/>
  <c r="DV37" i="24"/>
  <c r="EC37" i="24" s="1"/>
  <c r="DV43" i="24"/>
  <c r="EC43" i="24" s="1"/>
  <c r="DV58" i="24"/>
  <c r="EC58" i="24" s="1"/>
  <c r="DV48" i="24"/>
  <c r="EC48" i="24" s="1"/>
  <c r="DV74" i="24"/>
  <c r="EC74" i="24" s="1"/>
  <c r="DV53" i="24"/>
  <c r="EC53" i="24" s="1"/>
  <c r="DV45" i="24"/>
  <c r="EC45" i="24" s="1"/>
  <c r="DV34" i="24"/>
  <c r="EC34" i="24" s="1"/>
  <c r="DV55" i="24"/>
  <c r="EC55" i="24" s="1"/>
  <c r="DV33" i="24"/>
  <c r="EC33" i="24" s="1"/>
  <c r="DV57" i="24"/>
  <c r="EC57" i="24" s="1"/>
  <c r="DV47" i="24"/>
  <c r="EC47" i="24" s="1"/>
  <c r="DV41" i="24"/>
  <c r="EC41" i="24" s="1"/>
  <c r="DV56" i="24"/>
  <c r="EC56" i="24" s="1"/>
  <c r="DV38" i="24"/>
  <c r="EC38" i="24" s="1"/>
  <c r="DV39" i="24"/>
  <c r="EC39" i="24" s="1"/>
  <c r="DV46" i="24"/>
  <c r="EC46" i="24" s="1"/>
  <c r="DV23" i="24"/>
  <c r="EC23" i="24" s="1"/>
  <c r="DV26" i="24"/>
  <c r="EC26" i="24" s="1"/>
  <c r="DV40" i="24"/>
  <c r="EC40" i="24" s="1"/>
  <c r="DV31" i="24"/>
  <c r="EC31" i="24" s="1"/>
  <c r="DV44" i="24"/>
  <c r="EC44" i="24" s="1"/>
  <c r="DV24" i="24"/>
  <c r="EC24" i="24" s="1"/>
  <c r="DV20" i="24"/>
  <c r="EC20" i="24" s="1"/>
  <c r="DV35" i="24"/>
  <c r="EC35" i="24" s="1"/>
  <c r="DV67" i="24"/>
  <c r="EC67" i="24" s="1"/>
  <c r="EC83" i="24"/>
  <c r="DV51" i="24"/>
  <c r="EC51" i="24" s="1"/>
  <c r="DV50" i="24"/>
  <c r="EC50" i="24" s="1"/>
  <c r="DV25" i="24"/>
  <c r="EC25" i="24" s="1"/>
  <c r="DV49" i="24"/>
  <c r="EC49" i="24" s="1"/>
  <c r="DV65" i="24"/>
  <c r="EC65" i="24" s="1"/>
  <c r="DV63" i="24"/>
  <c r="EC63" i="24" s="1"/>
  <c r="DV60" i="24"/>
  <c r="EC60" i="24" s="1"/>
  <c r="DV54" i="24"/>
  <c r="EC54" i="24" s="1"/>
  <c r="DV75" i="24"/>
  <c r="EC75" i="24" s="1"/>
  <c r="DV64" i="24"/>
  <c r="EC64" i="24" s="1"/>
  <c r="DV80" i="24"/>
  <c r="EC80" i="24" s="1"/>
  <c r="DV77" i="24"/>
  <c r="EC77" i="24" s="1"/>
  <c r="DV78" i="24"/>
  <c r="EC78" i="24" s="1"/>
  <c r="DV52" i="24"/>
  <c r="EC52" i="24" s="1"/>
  <c r="DV70" i="24"/>
  <c r="EC70" i="24" s="1"/>
  <c r="DV72" i="24"/>
  <c r="EC72" i="24" s="1"/>
  <c r="DV61" i="24"/>
  <c r="EC61" i="24" s="1"/>
  <c r="DV76" i="24"/>
  <c r="EC76" i="24" s="1"/>
  <c r="DV69" i="24"/>
  <c r="EC69" i="24" s="1"/>
  <c r="EC81" i="24" l="1"/>
  <c r="EC82" i="2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<sst xmlns="http://schemas.openxmlformats.org/spreadsheetml/2006/main" count="944" uniqueCount="190">
  <si>
    <t>Long Risk</t>
  </si>
  <si>
    <t>Short Risk</t>
  </si>
  <si>
    <t>CDS Roll:</t>
  </si>
  <si>
    <t>Delta</t>
  </si>
  <si>
    <t>Val on 9/22</t>
  </si>
  <si>
    <t>ACAFP CDS Sub EUR 5Y</t>
  </si>
  <si>
    <t>$ACAFP 6.7% 34 AT1</t>
  </si>
  <si>
    <t>SubFin S43</t>
  </si>
  <si>
    <t>Not'l=</t>
  </si>
  <si>
    <t>Old ACAFP SUB CDS Series</t>
  </si>
  <si>
    <t>Carry=</t>
  </si>
  <si>
    <t>New ACAFP SUB CDS Series</t>
  </si>
  <si>
    <t>Financing Rate=</t>
  </si>
  <si>
    <t>Non-economic sprd =</t>
  </si>
  <si>
    <t>Initial Duration=</t>
  </si>
  <si>
    <t>EUR/USD=</t>
  </si>
  <si>
    <t>Net P/L</t>
  </si>
  <si>
    <t>Price</t>
  </si>
  <si>
    <t>Roll Adj Sprd</t>
  </si>
  <si>
    <t>Sprd P/L</t>
  </si>
  <si>
    <t>Carry P/L</t>
  </si>
  <si>
    <t>Price P/L</t>
  </si>
  <si>
    <t>Date</t>
  </si>
  <si>
    <t>-</t>
  </si>
  <si>
    <t>Sprd</t>
  </si>
  <si>
    <t>LDOIM CDS EUR SR 5Y D14 Corp</t>
  </si>
  <si>
    <t>HOFP CDS EUR SR 5Y D14 Corp</t>
  </si>
  <si>
    <t>ENIIM CDS EUR SR 5Y D14 Corp</t>
  </si>
  <si>
    <t>Live BBG PX=</t>
  </si>
  <si>
    <t>Leonardo</t>
  </si>
  <si>
    <t>Thales</t>
  </si>
  <si>
    <t>Eni</t>
  </si>
  <si>
    <t>Name=</t>
  </si>
  <si>
    <t>BBG Ticker=</t>
  </si>
  <si>
    <t>LCL SA CDS EUR SUB 5Y D14 Corp</t>
  </si>
  <si>
    <t>ACAFP 6.7 PERP REGS Corp</t>
  </si>
  <si>
    <t>Aviva</t>
  </si>
  <si>
    <t>Zurich Insurance</t>
  </si>
  <si>
    <t>AVLN CDS EUR SR 5Y D14 Corp</t>
  </si>
  <si>
    <t>ZURNVXINS CDS EUR SR 5Y D14 Corp</t>
  </si>
  <si>
    <t>BACR 4 ⅜ PERP Corp</t>
  </si>
  <si>
    <t>BACR 7 ⅝ PERP Corp</t>
  </si>
  <si>
    <t>US06738EBT10 Corp</t>
  </si>
  <si>
    <t>US06738EDC66 Corp</t>
  </si>
  <si>
    <t>KSA 4.875% 35</t>
  </si>
  <si>
    <t>T 4.25% 08/15/35</t>
  </si>
  <si>
    <t>PIFKSA 5.375% 54</t>
  </si>
  <si>
    <t>T 4.75% 05/15/55</t>
  </si>
  <si>
    <t>YL816138@IBVL Corp</t>
  </si>
  <si>
    <t>91282CNC@BGN Govt</t>
  </si>
  <si>
    <t>ZF486828@IBVL Corp</t>
  </si>
  <si>
    <t>912810UK@BGN Govt</t>
  </si>
  <si>
    <t>Rabobank</t>
  </si>
  <si>
    <t>Mediobanca</t>
  </si>
  <si>
    <t>RABOBK CDS EUR SUB 5Y D14 Corp</t>
  </si>
  <si>
    <t>BACRED CDS EUR SR 5Y D14 Corp</t>
  </si>
  <si>
    <t>IHYG</t>
  </si>
  <si>
    <t>OBL 2.4% 28</t>
  </si>
  <si>
    <t>IEAC</t>
  </si>
  <si>
    <t>OBL 2.2% 30</t>
  </si>
  <si>
    <t>IHYG LN EQUITY</t>
  </si>
  <si>
    <t>IEAC LN EQUITY</t>
  </si>
  <si>
    <t>ZK885444@BGN Corp</t>
  </si>
  <si>
    <t>YN961570@BGN Corp</t>
  </si>
  <si>
    <t>HYG</t>
  </si>
  <si>
    <t>HYG US EQUITY</t>
  </si>
  <si>
    <t>CT5</t>
  </si>
  <si>
    <t>LQD</t>
  </si>
  <si>
    <t>CT10</t>
  </si>
  <si>
    <t>CT30</t>
  </si>
  <si>
    <t>LQD US EQUITY</t>
  </si>
  <si>
    <t>912810UM@BGN Govt</t>
  </si>
  <si>
    <t>91282CNT@BGN Govt</t>
  </si>
  <si>
    <t>91282CNX@BGN Govt</t>
  </si>
  <si>
    <t>VCIT</t>
  </si>
  <si>
    <t>VCIT US EQUITY</t>
  </si>
  <si>
    <t>CT7</t>
  </si>
  <si>
    <t>91282CNZ@BGN Govt</t>
  </si>
  <si>
    <t>91282CPA@BGN Govt</t>
  </si>
  <si>
    <t>Div:</t>
  </si>
  <si>
    <t>Units Held:</t>
  </si>
  <si>
    <t>Net Div Effect:</t>
  </si>
  <si>
    <t>BAC 5Y CDS</t>
  </si>
  <si>
    <t>BOFA CDS USD SR 5Y D14 Corp</t>
  </si>
  <si>
    <t>BAC 5.464% 5/36</t>
  </si>
  <si>
    <t>BAC 5.464 05/09/36 Corp</t>
  </si>
  <si>
    <t>close_date</t>
  </si>
  <si>
    <t>ticker</t>
  </si>
  <si>
    <t>red</t>
  </si>
  <si>
    <t>tier</t>
  </si>
  <si>
    <t>docclause</t>
  </si>
  <si>
    <t>ccy</t>
  </si>
  <si>
    <t>tenor</t>
  </si>
  <si>
    <t>spread</t>
  </si>
  <si>
    <t>BACORP</t>
  </si>
  <si>
    <t>0G655D</t>
  </si>
  <si>
    <t>SNRFOR</t>
  </si>
  <si>
    <t>XR14</t>
  </si>
  <si>
    <t>USD</t>
  </si>
  <si>
    <t>5y</t>
  </si>
  <si>
    <t xml:space="preserve">Time = </t>
  </si>
  <si>
    <t>Time =</t>
  </si>
  <si>
    <t>s</t>
  </si>
  <si>
    <t>CDX IG 5Y</t>
  </si>
  <si>
    <t>SPX</t>
  </si>
  <si>
    <t>CDX IG CDSI GEN 5Y CORP</t>
  </si>
  <si>
    <t>SPX US 12/19/25 P6750 Index</t>
  </si>
  <si>
    <t>Div Effect</t>
  </si>
  <si>
    <t>Units Held</t>
  </si>
  <si>
    <t>IHYG Div</t>
  </si>
  <si>
    <t>IEAC Div</t>
  </si>
  <si>
    <t>Raw P/L</t>
  </si>
  <si>
    <t>IHYG vs IEAC</t>
  </si>
  <si>
    <t>HYG vs LQD</t>
  </si>
  <si>
    <t>Diff IHYG vs IEAC</t>
  </si>
  <si>
    <t>Diff HYG vs LQD</t>
  </si>
  <si>
    <t>Vol</t>
  </si>
  <si>
    <t>Beta</t>
  </si>
  <si>
    <t>Beta IHYG vs IEAC</t>
  </si>
  <si>
    <t>Beta HYG vs LQD</t>
  </si>
  <si>
    <t>Cum IHYG vs IEAC</t>
  </si>
  <si>
    <t>Cum HYG vs LQD</t>
  </si>
  <si>
    <t>CDX HY 5Y</t>
  </si>
  <si>
    <t>CDX HY CDSI S44 5Y CORP</t>
  </si>
  <si>
    <t>CDX IG CDSI S44 5Y CORP</t>
  </si>
  <si>
    <t>ITRX XOVER 5Y</t>
  </si>
  <si>
    <t>ITRX MAIN 5Y</t>
  </si>
  <si>
    <t>ITRX XOVER CDSI S43 5Y CORP</t>
  </si>
  <si>
    <t>ITRX EUR CDSI S43 5Y CORP</t>
  </si>
  <si>
    <t>HY vs IG</t>
  </si>
  <si>
    <t>Main vs Xover</t>
  </si>
  <si>
    <t>Diff HY vs IG</t>
  </si>
  <si>
    <t>Diff Main vs Xover</t>
  </si>
  <si>
    <t>Beta HY vs IG</t>
  </si>
  <si>
    <t>Beta Main vs Xover</t>
  </si>
  <si>
    <t>Cum HY vs IG</t>
  </si>
  <si>
    <t>Cum Main vs Xover</t>
  </si>
  <si>
    <t>91282CNN@BGN Govt</t>
  </si>
  <si>
    <t>91282CMM@BGN Govt</t>
  </si>
  <si>
    <t>912810UG@BGN Govt</t>
  </si>
  <si>
    <t>Cum HYG($25M) vs LQD($25.7M)</t>
  </si>
  <si>
    <t>Cum HY($25M) vs IG($125M)</t>
  </si>
  <si>
    <t>Cum IHYG(EUR 21M) vs IEAC(EUR 36.1M)</t>
  </si>
  <si>
    <t>Cum Xover(EUR 21M) vs Main(EUR 94.5M)</t>
  </si>
  <si>
    <t>BNP Closed for $91k</t>
  </si>
  <si>
    <t>Xover S44</t>
  </si>
  <si>
    <t>OBL 2.4% 10/28</t>
  </si>
  <si>
    <t>ITRX XOVER CDSI S44 5Y CORP</t>
  </si>
  <si>
    <t xml:space="preserve">ZK885444@BGN Corp </t>
  </si>
  <si>
    <t>Live PX=</t>
  </si>
  <si>
    <t>HSBC EUR 4.75% 7/29</t>
  </si>
  <si>
    <t>HSBC $ 4.6% 12/30</t>
  </si>
  <si>
    <t>AO132623@BGN Corp</t>
  </si>
  <si>
    <t>BN024427@IBVL Corp</t>
  </si>
  <si>
    <t>$ DB 3.035% 31-32</t>
  </si>
  <si>
    <t>BP772773@IBVL Corp</t>
  </si>
  <si>
    <t>€ DB 1.75% 29-30</t>
  </si>
  <si>
    <t>BM347009@BGN Corp</t>
  </si>
  <si>
    <t>12-13 time slot was empty</t>
  </si>
  <si>
    <t>*Entry Prices not mentioned and BBG intraday G-Sprd doesn't match the 111bps they mentioned in the report so taking EOD px on 21-Oct instead</t>
  </si>
  <si>
    <t>#</t>
  </si>
  <si>
    <t>trade</t>
  </si>
  <si>
    <t>date initiated</t>
  </si>
  <si>
    <t>live pnl</t>
  </si>
  <si>
    <t>ACAFP Basis</t>
  </si>
  <si>
    <t>EU Insurance CDS RV</t>
  </si>
  <si>
    <t>Barclays</t>
  </si>
  <si>
    <t>KSA RV</t>
  </si>
  <si>
    <t>EU Banks CDS RV</t>
  </si>
  <si>
    <t>EU ETF Compression</t>
  </si>
  <si>
    <t>US ETF Compression</t>
  </si>
  <si>
    <t>US IG Cash Curve</t>
  </si>
  <si>
    <t>Not_Live_BOFA Basis</t>
  </si>
  <si>
    <t>CDX IG vs SPX Puts</t>
  </si>
  <si>
    <t>IHYG vs Xover</t>
  </si>
  <si>
    <t>XCCY AT1 HSBC</t>
  </si>
  <si>
    <t>XCCY NPS DB</t>
  </si>
  <si>
    <t>EU Defence vs Oil</t>
  </si>
  <si>
    <t>Col</t>
  </si>
  <si>
    <t>I</t>
  </si>
  <si>
    <t>K</t>
  </si>
  <si>
    <t>H</t>
  </si>
  <si>
    <t>N</t>
  </si>
  <si>
    <t>T</t>
  </si>
  <si>
    <t>G</t>
  </si>
  <si>
    <t>$SOCGEN 8.5% 34</t>
  </si>
  <si>
    <t>ZD824024@IBVL Corp</t>
  </si>
  <si>
    <t>ACAFP vs SOCGEN</t>
  </si>
  <si>
    <t>SPX US 1/16/26 P6850 Index</t>
  </si>
  <si>
    <t>New_CDX IG vs SPX 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</si>
</sst>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m/d/yy\ h:mm\ AM/PM;@"/>
    <numFmt numFmtId="168" formatCode="[$-409]d\-mmm\-yy;@"/>
    <numFmt numFmtId="169" formatCode="[$-409]dd\-mmm\-yy;@"/>
    <numFmt numFmtId="170" formatCode="[$-409]d\-mmm;@"/>
    <numFmt numFmtId="171" formatCode="mm/dd/yyyy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95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5" fontId="1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10" borderId="0" xfId="0" applyFill="1"/>
    <xf numFmtId="0" fontId="6" fillId="10" borderId="0" xfId="0" applyFont="1" applyFill="1" applyAlignment="1">
      <alignment horizontal="right" vertical="center" wrapText="1"/>
    </xf>
    <xf numFmtId="14" fontId="7" fillId="10" borderId="0" xfId="0" applyNumberFormat="1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2" fontId="0" fillId="0" borderId="4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68" fontId="1" fillId="0" borderId="8" xfId="0" applyNumberFormat="1" applyFont="1" applyBorder="1" applyAlignment="1">
      <alignment horizontal="center" vertical="center"/>
    </xf>
    <xf numFmtId="168" fontId="1" fillId="0" borderId="9" xfId="0" applyNumberFormat="1" applyFont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69" fontId="0" fillId="0" borderId="8" xfId="0" applyNumberFormat="1" applyBorder="1" applyAlignment="1">
      <alignment horizontal="center"/>
    </xf>
    <xf numFmtId="169" fontId="1" fillId="0" borderId="9" xfId="0" applyNumberFormat="1" applyFon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18" fontId="1" fillId="0" borderId="0" xfId="0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64" fontId="1" fillId="6" borderId="0" xfId="1" applyNumberFormat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2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2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14" fontId="2" fillId="9" borderId="10" xfId="0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1" fontId="0" fillId="0" borderId="0" xfId="0" applyNumberFormat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2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Data...3787840276</v>
        <stp/>
        <stp>BDP|18410541755614855691</stp>
        <tr r="B9" s="25"/>
      </tp>
      <tp t="s">
        <v>#N/A Requesting Data...4203889237</v>
        <stp/>
        <stp>BDH|14935268074772348826</stp>
        <tr r="AF3" s="14"/>
      </tp>
      <tp t="s">
        <v>#N/A Requesting Data...4011813011</v>
        <stp/>
        <stp>BDP|11883986536691201393</stp>
        <tr r="C10" s="24"/>
        <tr r="C10" s="10"/>
      </tp>
      <tp t="s">
        <v>#N/A Requesting Data...3850707411</v>
        <stp/>
        <stp>BDH|16843069983234274367</stp>
        <tr r="AA3" s="24"/>
        <tr r="V3" s="10"/>
      </tp>
      <tp t="s">
        <v>#N/A Requesting Data...4048766595</v>
        <stp/>
        <stp>BDP|18062887627254797806</stp>
        <tr r="C10" s="12"/>
        <tr r="E10" s="12"/>
      </tp>
      <tp t="s">
        <v>#N/A Requesting Data...4283668208</v>
        <stp/>
        <stp>BDP|16545953933052450030</stp>
        <tr r="B10" s="5"/>
      </tp>
      <tp t="s">
        <v>#N/A Requesting Data...4287287258</v>
        <stp/>
        <stp>BDP|18204419960952934455</stp>
        <tr r="CG10" s="24"/>
      </tp>
      <tp t="s">
        <v>#N/A Requesting Data...4075056043</v>
        <stp/>
        <stp>BDP|14650062796027575721</stp>
        <tr r="G10" s="12"/>
        <tr r="E10" s="14"/>
      </tp>
      <tp t="s">
        <v>#N/A Requesting Data...4101404596</v>
        <stp/>
        <stp>BDP|11067053283831622529</stp>
        <tr r="B10" s="28"/>
      </tp>
      <tp t="s">
        <v>#N/A Requesting Data...4263364998</v>
        <stp/>
        <stp>BDH|11243448991603920239</stp>
        <tr r="M3" s="32"/>
      </tp>
      <tp t="s">
        <v>#N/A Requesting Data...3723895269</v>
        <stp/>
        <stp>BDH|15312623506177852676</stp>
        <tr r="L3" s="28"/>
      </tp>
      <tp t="s">
        <v>#N/A Requesting Data...3920200662</v>
        <stp/>
        <stp>BDH|14869131777499414979</stp>
        <tr r="O2" s="25"/>
      </tp>
      <tp t="s">
        <v>#N/A Requesting Data...4055778486</v>
        <stp/>
        <stp>BDP|12076286461161277423</stp>
        <tr r="C10" s="5"/>
      </tp>
      <tp t="s">
        <v>#N/A Requesting Data...3620063195</v>
        <stp/>
        <stp>BDP|14602333172280113394</stp>
        <tr r="C10" s="19"/>
      </tp>
      <tp t="s">
        <v>#N/A Requesting Data...3694287281</v>
        <stp/>
        <stp>BDP|17373558257440214425</stp>
        <tr r="B9" s="26"/>
        <tr r="B9" s="28"/>
      </tp>
      <tp t="s">
        <v>#N/A Requesting Data...4228554025</v>
        <stp/>
        <stp>BDH|15135414629444979492</stp>
        <tr r="L3" s="3"/>
      </tp>
      <tp t="s">
        <v>#N/A Requesting Data...4054156342</v>
        <stp/>
        <stp>BDH|11474375954954911055</stp>
        <tr r="O3" s="2"/>
      </tp>
      <tp t="s">
        <v>#N/A N/A</v>
        <stp/>
        <stp>BDH|13599178372763802568</stp>
        <tr r="O2" s="17"/>
      </tp>
      <tp t="s">
        <v>#N/A Requesting Data...3686592227</v>
        <stp/>
        <stp>BDP|18219294914923540841</stp>
        <tr r="C10" s="9"/>
      </tp>
      <tp t="s">
        <v>#N/A Requesting Data...3772229234</v>
        <stp/>
        <stp>BDH|11627291771431067517</stp>
        <tr r="M3" s="2"/>
      </tp>
      <tp t="s">
        <v>#N/A Requesting Data...4242710595</v>
        <stp/>
        <stp>BDP|13030111079165378191</stp>
        <tr r="F10" s="14"/>
      </tp>
      <tp t="s">
        <v>#N/A Requesting Data...3923601410</v>
        <stp/>
        <stp>BDP|17674809694487604003</stp>
        <tr r="B10" s="24"/>
        <tr r="B10" s="10"/>
      </tp>
      <tp t="s">
        <v>#N/A Requesting Data...4290450552</v>
        <stp/>
        <stp>BDH|13964635671847154499</stp>
        <tr r="X3" s="12"/>
        <tr r="AB3" s="12"/>
      </tp>
      <tp t="s">
        <v>#N/A Requesting Data...3707215883</v>
        <stp/>
        <stp>BDP|11799606091880340846</stp>
        <tr r="B10" s="26"/>
      </tp>
      <tp t="s">
        <v>#N/A Requesting Data...4263731309</v>
        <stp/>
        <stp>BDH|18162560590571847378</stp>
        <tr r="X3" s="14"/>
      </tp>
      <tp t="s">
        <v>#N/A Requesting Data...4204858189</v>
        <stp/>
        <stp>BDP|11473368239062878490</stp>
        <tr r="D10" s="14"/>
        <tr r="F10" s="12"/>
      </tp>
      <tp t="s">
        <v>#N/A Requesting Data...4052788975</v>
        <stp/>
        <stp>BDP|16973413046402654363</stp>
        <tr r="CH10" s="24"/>
      </tp>
      <tp t="s">
        <v>#N/A Requesting Data...4136145772</v>
        <stp/>
        <stp>BDP|14572736216992007722</stp>
        <tr r="B10" s="2"/>
      </tp>
      <tp t="s">
        <v>#N/A Requesting Data...3683856625</v>
        <stp/>
        <stp>BDH|15267460911865140226</stp>
        <tr r="U3" s="24"/>
        <tr r="P3" s="10"/>
        <tr r="M2" s="25"/>
      </tp>
      <tp t="s">
        <v>#N/A Requesting Data...3673308806</v>
        <stp/>
        <stp>BDP|13060443244535072213</stp>
        <tr r="B10" s="31"/>
        <tr r="B10" s="32"/>
      </tp>
      <tp t="s">
        <v>#N/A Requesting Data...4239297106</v>
        <stp/>
        <stp>BDP|11311655600176944581</stp>
        <tr r="D9" s="25"/>
      </tp>
      <tp t="s">
        <v>#N/A Requesting Data...3877653249</v>
        <stp/>
        <stp>BDH|11484576345481562505</stp>
        <tr r="L3" s="5"/>
      </tp>
      <tp t="s">
        <v>#N/A N/A</v>
        <stp/>
        <stp>BDH|10480400938467273445</stp>
        <tr r="L3" s="19"/>
      </tp>
      <tp t="s">
        <v>#N/A N/A</v>
        <stp/>
        <stp>BDH|10772036999108269558</stp>
        <tr r="M2" s="17"/>
      </tp>
      <tp t="s">
        <v>#N/A Requesting Data...4210064489</v>
        <stp/>
        <stp>BDP|17166731865344641740</stp>
        <tr r="C10" s="32"/>
      </tp>
      <tp t="s">
        <v>#N/A Requesting Data...3934278612</v>
        <stp/>
        <stp>BDH|12647009602432219551</stp>
        <tr r="V3" s="12"/>
        <tr r="BE3" s="24"/>
      </tp>
      <tp t="s">
        <v>#N/A Requesting Data...4250344517</v>
        <stp/>
        <stp>BDH|16467316579085746262</stp>
        <tr r="CA2" s="24"/>
      </tp>
    </main>
    <main first="bofaddin.rtdserver">
      <tp t="s">
        <v>#N/A Requesting Data...3682208925</v>
        <stp/>
        <stp>BDP|9103099545023424</stp>
        <tr r="C10" s="26"/>
      </tp>
      <tp t="s">
        <v>#N/A Requesting Data...4137873288</v>
        <stp/>
        <stp>BDH|2149836513547965024</stp>
        <tr r="J3" s="26"/>
      </tp>
      <tp t="s">
        <v>#N/A Requesting Data...4177910554</v>
        <stp/>
        <stp>BDH|9186517077447967092</stp>
        <tr r="L3" s="9"/>
      </tp>
      <tp t="s">
        <v>#N/A Requesting Data...4064119966</v>
        <stp/>
        <stp>BDH|9994458954740059513</stp>
        <tr r="L3" s="26"/>
      </tp>
      <tp t="s">
        <v>#N/A N/A</v>
        <stp/>
        <stp>BDH|6855884526511580062</stp>
        <tr r="L3" s="33"/>
      </tp>
      <tp t="s">
        <v>#N/A Requesting Data...3810867334</v>
        <stp/>
        <stp>BDH|5317864766721891432</stp>
        <tr r="BG3" s="24"/>
        <tr r="BK3" s="24"/>
      </tp>
      <tp t="s">
        <v>#N/A Requesting Data...4173289488</v>
        <stp/>
        <stp>BDH|8290031046486688454</stp>
        <tr r="M3" s="31"/>
      </tp>
      <tp t="s">
        <v>#N/A Requesting Data...4083107870</v>
        <stp/>
        <stp>BDP|4941013259557987979</stp>
        <tr r="BT10" s="24"/>
      </tp>
      <tp t="s">
        <v>#N/A Requesting Data...4105463943</v>
        <stp/>
        <stp>BDH|5510051574459006483</stp>
        <tr r="Q2" s="25"/>
      </tp>
      <tp t="s">
        <v>#N/A Requesting Data...3904064462</v>
        <stp/>
        <stp>BDH|7599666085603637537</stp>
        <tr r="J3" s="28"/>
      </tp>
      <tp t="s">
        <v>#N/A Requesting Data...3869858818</v>
        <stp/>
        <stp>BDP|9132220866750336583</stp>
        <tr r="BS10" s="24"/>
      </tp>
      <tp t="s">
        <v>#N/A Requesting Data...3678054424</v>
        <stp/>
        <stp>BDP|9706553668206945454</stp>
        <tr r="D10" s="8"/>
      </tp>
      <tp t="s">
        <v>#N/A Requesting Data...3661256390</v>
        <stp/>
        <stp>BDP|7397654889472929338</stp>
        <tr r="C10" s="31"/>
      </tp>
      <tp t="s">
        <v>#N/A Requesting Data...4128320702</v>
        <stp/>
        <stp>BDH|8152848245364562958</stp>
        <tr r="CQ2" s="24"/>
      </tp>
      <tp t="s">
        <v>#N/A Requesting Data...3780796684</v>
        <stp/>
        <stp>BDH|5539333081823417452</stp>
        <tr r="T3" s="10"/>
        <tr r="Y3" s="24"/>
      </tp>
      <tp t="s">
        <v>#N/A Requesting Data...3853536164</v>
        <stp/>
        <stp>BDH|1329569449212382861</stp>
        <tr r="J3" s="5"/>
      </tp>
      <tp t="s">
        <v>#N/A Requesting Data...4160674578</v>
        <stp/>
        <stp>BDH|1638971538329390838</stp>
        <tr r="K3" s="31"/>
        <tr r="K3" s="32"/>
      </tp>
      <tp t="s">
        <v>#N/A Requesting Data...4244905733</v>
        <stp/>
        <stp>BDP|4329662592027264695</stp>
        <tr r="AG10" s="24"/>
        <tr r="B10" s="12"/>
      </tp>
      <tp t="s">
        <v>#N/A Requesting Data...4166877269</v>
        <stp/>
        <stp>BDP|4304578592480280251</stp>
        <tr r="AJ10" s="24"/>
        <tr r="AH10" s="24"/>
      </tp>
      <tp t="s">
        <v>#N/A Requesting Data...4102114836</v>
        <stp/>
        <stp>BDH|5136548023480949962</stp>
        <tr r="BO3" s="24"/>
      </tp>
      <tp t="s">
        <v>#N/A Requesting Data...3862393948</v>
        <stp/>
        <stp>BDH|2606501181454536025</stp>
        <tr r="BI3" s="24"/>
        <tr r="V3" s="14"/>
        <tr r="Z3" s="12"/>
      </tp>
      <tp t="s">
        <v>#N/A Requesting Data...3998532604</v>
        <stp/>
        <stp>BDP|8565390576251624948</stp>
        <tr r="C10" s="33"/>
      </tp>
      <tp t="s">
        <v>#N/A Requesting Data...3894005935</v>
        <stp/>
        <stp>BDP|3445302272426769594</stp>
        <tr r="B10" s="19"/>
        <tr r="B10" s="33"/>
      </tp>
      <tp t="s">
        <v>#N/A Requesting Data...3971657682</v>
        <stp/>
        <stp>BDH|5761591176155605677</stp>
        <tr r="AF3" s="12"/>
        <tr r="AB3" s="14"/>
      </tp>
      <tp t="s">
        <v>#N/A Requesting Data...3990871736</v>
        <stp/>
        <stp>BDH|4754210311230384391</stp>
        <tr r="AD3" s="12"/>
        <tr r="Z3" s="14"/>
      </tp>
      <tp t="s">
        <v>#N/A Requesting Data...4112734638</v>
        <stp/>
        <stp>BDP|6614610459362681385</stp>
        <tr r="E10" s="10"/>
        <tr r="E10" s="24"/>
      </tp>
      <tp t="s">
        <v>#N/A N/A</v>
        <stp/>
        <stp>BDH|3828100081029247519</stp>
        <tr r="J3" s="19"/>
        <tr r="J3" s="33"/>
      </tp>
      <tp t="s">
        <v>#N/A Requesting Data...4236066099</v>
        <stp/>
        <stp>BDH|2223092252715027510</stp>
        <tr r="P3" s="8"/>
      </tp>
      <tp t="s">
        <v>#N/A Requesting Data...4271037268</v>
        <stp/>
        <stp>BDP|3122389811593012513</stp>
        <tr r="C10" s="14"/>
      </tp>
      <tp t="s">
        <v>#N/A Requesting Data...4268569232</v>
        <stp/>
        <stp>BDH|2149093781559007481</stp>
        <tr r="V3" s="8"/>
      </tp>
      <tp t="s">
        <v>#N/A Requesting Data...3965296988</v>
        <stp/>
        <stp>BDP|3398280159944498722</stp>
        <tr r="C9" s="25"/>
      </tp>
      <tp t="s">
        <v>#N/A Requesting Data...4252087358</v>
        <stp/>
        <stp>BDP|1931107217112743305</stp>
        <tr r="D10" s="2"/>
      </tp>
      <tp t="s">
        <v>#N/A Requesting Data...4235988947</v>
        <stp/>
        <stp>BDP|8919074471278682748</stp>
        <tr r="C10" s="3"/>
      </tp>
      <tp t="s">
        <v>#N/A Requesting Data...4247653183</v>
        <stp/>
        <stp>BDP|6499873574608943180</stp>
        <tr r="B10" s="8"/>
      </tp>
      <tp t="s">
        <v>#N/A Requesting Data...3807300044</v>
        <stp/>
        <stp>BDP|9073119891745028595</stp>
        <tr r="E10" s="8"/>
      </tp>
      <tp t="s">
        <v>#N/A Requesting Data...3918283115</v>
        <stp/>
        <stp>BDP|7280882837258491593</stp>
        <tr r="D10" s="10"/>
        <tr r="D10" s="24"/>
      </tp>
      <tp t="s">
        <v>#N/A Requesting Data...3869654587</v>
        <stp/>
        <stp>BDP|7292532636709731973</stp>
        <tr r="AL10" s="24"/>
      </tp>
      <tp t="s">
        <v>#N/A N/A</v>
        <stp/>
        <stp>BDH|1452748418675839374</stp>
        <tr r="Q2" s="17"/>
      </tp>
      <tp t="s">
        <v>#N/A Requesting Data...3928810758</v>
        <stp/>
        <stp>BDH|4463772806153247286</stp>
        <tr r="Q3" s="2"/>
      </tp>
      <tp t="s">
        <v>#N/A Requesting Data...4294093958</v>
        <stp/>
        <stp>BDH|4510789450054244024</stp>
        <tr r="J3" s="9"/>
      </tp>
      <tp t="s">
        <v>#N/A Requesting Data...3778366624</v>
        <stp/>
        <stp>BDP|4720520890802409863</stp>
        <tr r="B10" s="3"/>
      </tp>
      <tp t="s">
        <v>#N/A Requesting Data...3991286948</v>
        <stp/>
        <stp>BDH|3739880719930641876</stp>
        <tr r="R3" s="8"/>
      </tp>
      <tp t="s">
        <v>#N/A Requesting Data...3872026368</v>
        <stp/>
        <stp>BDH|6711683923657654615</stp>
        <tr r="BM3" s="24"/>
      </tp>
      <tp t="s">
        <v>#N/A Requesting Data...3829391802</v>
        <stp/>
        <stp>BDH|2146480761487665479</stp>
        <tr r="CC2" s="24"/>
      </tp>
      <tp t="s">
        <v>#N/A Requesting Data...4005968050</v>
        <stp/>
        <stp>BDP|2192385730727379645</stp>
        <tr r="C10" s="8"/>
      </tp>
      <tp t="s">
        <v>#N/A Requesting Data...4285405140</v>
        <stp/>
        <stp>BDH|3477527779532621052</stp>
        <tr r="AD3" s="14"/>
      </tp>
      <tp t="s">
        <v>#N/A Requesting Data...3891576851</v>
        <stp/>
        <stp>BDP|2176230454944066217</stp>
        <tr r="AK10" s="24"/>
      </tp>
      <tp t="s">
        <v>#N/A Requesting Data...4136234653</v>
        <stp/>
        <stp>BDP|519161733290183679</stp>
        <tr r="B10" s="9"/>
      </tp>
      <tp t="s">
        <v>#N/A Requesting Data...3878672616</v>
        <stp/>
        <stp>BDH|220464810598007945</stp>
        <tr r="R3" s="10"/>
        <tr r="W3" s="24"/>
      </tp>
      <tp t="s">
        <v>#N/A Requesting Data...4125777110</v>
        <stp/>
        <stp>BDH|706323504421359590</stp>
        <tr r="T3" s="8"/>
      </tp>
      <tp t="s">
        <v>#N/A Requesting Data...4255389422</v>
        <stp/>
        <stp>BDP|332801733094788947</stp>
        <tr r="B10" s="14"/>
        <tr r="D10" s="12"/>
        <tr r="AI10" s="24"/>
      </tp>
      <tp t="s">
        <v>#N/A Requesting Data...3707431585</v>
        <stp/>
        <stp>BDH|929235834849982901</stp>
        <tr r="J3" s="3"/>
      </tp>
      <tp t="s">
        <v>#N/A Requesting Data...3991443448</v>
        <stp/>
        <stp>BDP|416056535068485843</stp>
        <tr r="C10" s="2"/>
      </tp>
      <tp t="s">
        <v>#N/A Requesting Data...4189340640</v>
        <stp/>
        <stp>BDH|394318915605183544</stp>
        <tr r="CO2" s="24"/>
      </tp>
      <tp t="s">
        <v>#N/A Requesting Data...4279904294</v>
        <stp/>
        <stp>BDP|967432059673127000</stp>
        <tr r="G10" s="14"/>
      </tp>
      <tp t="s">
        <v>#N/A Requesting Data...3903618464</v>
        <stp/>
        <stp>BDP|924843317352616161</stp>
        <tr r="C10" s="2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'ACAFP Basis'!$I$12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'ACAFP Basis'!$A$13:$A$334</c:f>
              <c:numCache>
                <c:formatCode>d\-mmm\-yy</c:formatCode>
                <c:ptCount val="322"/>
                <c:pt idx="1">
                  <c:v>45903</c:v>
                </c:pt>
                <c:pt idx="2">
                  <c:v>45904</c:v>
                </c:pt>
                <c:pt idx="3">
                  <c:v>45905</c:v>
                </c:pt>
                <c:pt idx="4">
                  <c:v>45908</c:v>
                </c:pt>
                <c:pt idx="5">
                  <c:v>45909</c:v>
                </c:pt>
                <c:pt idx="6">
                  <c:v>45910</c:v>
                </c:pt>
                <c:pt idx="7">
                  <c:v>45911</c:v>
                </c:pt>
                <c:pt idx="8">
                  <c:v>45912</c:v>
                </c:pt>
                <c:pt idx="9">
                  <c:v>45915</c:v>
                </c:pt>
                <c:pt idx="10">
                  <c:v>45916</c:v>
                </c:pt>
                <c:pt idx="11">
                  <c:v>45917</c:v>
                </c:pt>
                <c:pt idx="12">
                  <c:v>45918</c:v>
                </c:pt>
                <c:pt idx="13">
                  <c:v>45919</c:v>
                </c:pt>
                <c:pt idx="15">
                  <c:v>45922</c:v>
                </c:pt>
                <c:pt idx="16">
                  <c:v>45923</c:v>
                </c:pt>
                <c:pt idx="17">
                  <c:v>45924</c:v>
                </c:pt>
                <c:pt idx="18">
                  <c:v>45925</c:v>
                </c:pt>
                <c:pt idx="19">
                  <c:v>45926</c:v>
                </c:pt>
                <c:pt idx="20">
                  <c:v>45929</c:v>
                </c:pt>
                <c:pt idx="21">
                  <c:v>45930</c:v>
                </c:pt>
                <c:pt idx="22">
                  <c:v>45931</c:v>
                </c:pt>
                <c:pt idx="23">
                  <c:v>45932</c:v>
                </c:pt>
                <c:pt idx="24">
                  <c:v>45933</c:v>
                </c:pt>
                <c:pt idx="25">
                  <c:v>45936</c:v>
                </c:pt>
                <c:pt idx="26">
                  <c:v>45937</c:v>
                </c:pt>
                <c:pt idx="27">
                  <c:v>45938</c:v>
                </c:pt>
                <c:pt idx="28">
                  <c:v>45939</c:v>
                </c:pt>
                <c:pt idx="29">
                  <c:v>45940</c:v>
                </c:pt>
                <c:pt idx="30">
                  <c:v>45943</c:v>
                </c:pt>
                <c:pt idx="31">
                  <c:v>45944</c:v>
                </c:pt>
                <c:pt idx="32">
                  <c:v>45945</c:v>
                </c:pt>
                <c:pt idx="33">
                  <c:v>45946</c:v>
                </c:pt>
                <c:pt idx="34">
                  <c:v>45947</c:v>
                </c:pt>
                <c:pt idx="35">
                  <c:v>45950</c:v>
                </c:pt>
                <c:pt idx="36">
                  <c:v>45951</c:v>
                </c:pt>
                <c:pt idx="37">
                  <c:v>45952</c:v>
                </c:pt>
                <c:pt idx="38">
                  <c:v>45953</c:v>
                </c:pt>
                <c:pt idx="39">
                  <c:v>45954</c:v>
                </c:pt>
                <c:pt idx="40">
                  <c:v>45957</c:v>
                </c:pt>
                <c:pt idx="41">
                  <c:v>45958</c:v>
                </c:pt>
                <c:pt idx="42">
                  <c:v>45959</c:v>
                </c:pt>
                <c:pt idx="43">
                  <c:v>45960</c:v>
                </c:pt>
                <c:pt idx="44">
                  <c:v>45961</c:v>
                </c:pt>
                <c:pt idx="45">
                  <c:v>45964</c:v>
                </c:pt>
                <c:pt idx="46">
                  <c:v>45965</c:v>
                </c:pt>
                <c:pt idx="47">
                  <c:v>45966</c:v>
                </c:pt>
                <c:pt idx="48">
                  <c:v>45967</c:v>
                </c:pt>
                <c:pt idx="49">
                  <c:v>45968</c:v>
                </c:pt>
                <c:pt idx="50">
                  <c:v>45969</c:v>
                </c:pt>
                <c:pt idx="51">
                  <c:v>45970</c:v>
                </c:pt>
              </c:numCache>
            </c:numRef>
          </c:cat>
          <c:val>
            <c:numRef>
              <c:f>'ACAFP Basis'!$I$13:$I$334</c:f>
              <c:numCache>
                <c:formatCode>_("$"* #,##0.00_);_("$"* \(#,##0.00\);_("$"* "-"??_);_(@_)</c:formatCode>
                <c:ptCount val="322"/>
                <c:pt idx="1">
                  <c:v>0</c:v>
                </c:pt>
                <c:pt idx="2" formatCode="_(&quot;$&quot;* #,##0_);_(&quot;$&quot;* \(#,##0\);_(&quot;$&quot;* &quot;-&quot;??_);_(@_)">
                  <c:v>29722.51995833364</c:v>
                </c:pt>
                <c:pt idx="3" formatCode="_(&quot;$&quot;* #,##0_);_(&quot;$&quot;* \(#,##0\);_(&quot;$&quot;* &quot;-&quot;??_);_(@_)">
                  <c:v>18086.583916666765</c:v>
                </c:pt>
                <c:pt idx="4" formatCode="_(&quot;$&quot;* #,##0_);_(&quot;$&quot;* \(#,##0\);_(&quot;$&quot;* &quot;-&quot;??_);_(@_)">
                  <c:v>48157.170791666424</c:v>
                </c:pt>
                <c:pt idx="5" formatCode="_(&quot;$&quot;* #,##0_);_(&quot;$&quot;* \(#,##0\);_(&quot;$&quot;* &quot;-&quot;??_);_(@_)">
                  <c:v>52668.419749999608</c:v>
                </c:pt>
                <c:pt idx="6" formatCode="_(&quot;$&quot;* #,##0_);_(&quot;$&quot;* \(#,##0\);_(&quot;$&quot;* &quot;-&quot;??_);_(@_)">
                  <c:v>65894.388208333519</c:v>
                </c:pt>
                <c:pt idx="7" formatCode="_(&quot;$&quot;* #,##0_);_(&quot;$&quot;* \(#,##0\);_(&quot;$&quot;* &quot;-&quot;??_);_(@_)">
                  <c:v>87248.865666666738</c:v>
                </c:pt>
                <c:pt idx="8" formatCode="_(&quot;$&quot;* #,##0_);_(&quot;$&quot;* \(#,##0\);_(&quot;$&quot;* &quot;-&quot;??_);_(@_)">
                  <c:v>73342.472624999675</c:v>
                </c:pt>
                <c:pt idx="9" formatCode="_(&quot;$&quot;* #,##0_);_(&quot;$&quot;* \(#,##0\);_(&quot;$&quot;* &quot;-&quot;??_);_(@_)">
                  <c:v>90882.740499999694</c:v>
                </c:pt>
                <c:pt idx="10" formatCode="_(&quot;$&quot;* #,##0_);_(&quot;$&quot;* \(#,##0\);_(&quot;$&quot;* &quot;-&quot;??_);_(@_)">
                  <c:v>60464.435958333299</c:v>
                </c:pt>
                <c:pt idx="11" formatCode="_(&quot;$&quot;* #,##0_);_(&quot;$&quot;* \(#,##0\);_(&quot;$&quot;* &quot;-&quot;??_);_(@_)">
                  <c:v>61934.595416666576</c:v>
                </c:pt>
                <c:pt idx="12" formatCode="_(&quot;$&quot;* #,##0_);_(&quot;$&quot;* \(#,##0\);_(&quot;$&quot;* &quot;-&quot;??_);_(@_)">
                  <c:v>40095.590374999476</c:v>
                </c:pt>
                <c:pt idx="13" formatCode="_(&quot;$&quot;* #,##0_);_(&quot;$&quot;* \(#,##0\);_(&quot;$&quot;* &quot;-&quot;??_);_(@_)">
                  <c:v>37206.814333332717</c:v>
                </c:pt>
                <c:pt idx="15" formatCode="_(&quot;$&quot;* #,##0_);_(&quot;$&quot;* \(#,##0\);_(&quot;$&quot;* &quot;-&quot;??_);_(@_)">
                  <c:v>33231.82620833283</c:v>
                </c:pt>
                <c:pt idx="16" formatCode="_(&quot;$&quot;* #,##0_);_(&quot;$&quot;* \(#,##0\);_(&quot;$&quot;* &quot;-&quot;??_);_(@_)">
                  <c:v>39989.662666666482</c:v>
                </c:pt>
                <c:pt idx="17" formatCode="_(&quot;$&quot;* #,##0_);_(&quot;$&quot;* \(#,##0\);_(&quot;$&quot;* &quot;-&quot;??_);_(@_)">
                  <c:v>32199.98162499952</c:v>
                </c:pt>
                <c:pt idx="18" formatCode="_(&quot;$&quot;* #,##0_);_(&quot;$&quot;* \(#,##0\);_(&quot;$&quot;* &quot;-&quot;??_);_(@_)">
                  <c:v>31194.55458333284</c:v>
                </c:pt>
                <c:pt idx="19" formatCode="_(&quot;$&quot;* #,##0_);_(&quot;$&quot;* \(#,##0\);_(&quot;$&quot;* &quot;-&quot;??_);_(@_)">
                  <c:v>30900.391541666799</c:v>
                </c:pt>
                <c:pt idx="20" formatCode="_(&quot;$&quot;* #,##0_);_(&quot;$&quot;* \(#,##0\);_(&quot;$&quot;* &quot;-&quot;??_);_(@_)">
                  <c:v>9490.8884166666903</c:v>
                </c:pt>
                <c:pt idx="21" formatCode="_(&quot;$&quot;* #,##0_);_(&quot;$&quot;* \(#,##0\);_(&quot;$&quot;* &quot;-&quot;??_);_(@_)">
                  <c:v>26532.660374999854</c:v>
                </c:pt>
                <c:pt idx="22" formatCode="_(&quot;$&quot;* #,##0_);_(&quot;$&quot;* \(#,##0\);_(&quot;$&quot;* &quot;-&quot;??_);_(@_)">
                  <c:v>45721.974833333072</c:v>
                </c:pt>
                <c:pt idx="23" formatCode="_(&quot;$&quot;* #,##0_);_(&quot;$&quot;* \(#,##0\);_(&quot;$&quot;* &quot;-&quot;??_);_(@_)">
                  <c:v>49500.175291667139</c:v>
                </c:pt>
                <c:pt idx="24" formatCode="_(&quot;$&quot;* #,##0_);_(&quot;$&quot;* \(#,##0\);_(&quot;$&quot;* &quot;-&quot;??_);_(@_)">
                  <c:v>60255.550749999988</c:v>
                </c:pt>
                <c:pt idx="25" formatCode="_(&quot;$&quot;* #,##0_);_(&quot;$&quot;* \(#,##0\);_(&quot;$&quot;* &quot;-&quot;??_);_(@_)">
                  <c:v>31785.259624999911</c:v>
                </c:pt>
                <c:pt idx="26" formatCode="_(&quot;$&quot;* #,##0_);_(&quot;$&quot;* \(#,##0\);_(&quot;$&quot;* &quot;-&quot;??_);_(@_)">
                  <c:v>35174.781583332726</c:v>
                </c:pt>
                <c:pt idx="27" formatCode="_(&quot;$&quot;* #,##0_);_(&quot;$&quot;* \(#,##0\);_(&quot;$&quot;* &quot;-&quot;??_);_(@_)">
                  <c:v>54870.620541666744</c:v>
                </c:pt>
                <c:pt idx="28" formatCode="_(&quot;$&quot;* #,##0_);_(&quot;$&quot;* \(#,##0\);_(&quot;$&quot;* &quot;-&quot;??_);_(@_)">
                  <c:v>64562.996999999639</c:v>
                </c:pt>
                <c:pt idx="29" formatCode="_(&quot;$&quot;* #,##0_);_(&quot;$&quot;* \(#,##0\);_(&quot;$&quot;* &quot;-&quot;??_);_(@_)">
                  <c:v>62371.666958332899</c:v>
                </c:pt>
                <c:pt idx="30" formatCode="_(&quot;$&quot;* #,##0_);_(&quot;$&quot;* \(#,##0\);_(&quot;$&quot;* &quot;-&quot;??_);_(@_)">
                  <c:v>19374.640833332982</c:v>
                </c:pt>
                <c:pt idx="31" formatCode="_(&quot;$&quot;* #,##0_);_(&quot;$&quot;* \(#,##0\);_(&quot;$&quot;* &quot;-&quot;??_);_(@_)">
                  <c:v>58397.865791666605</c:v>
                </c:pt>
                <c:pt idx="32" formatCode="_(&quot;$&quot;* #,##0_);_(&quot;$&quot;* \(#,##0\);_(&quot;$&quot;* &quot;-&quot;??_);_(@_)">
                  <c:v>83542.931750000134</c:v>
                </c:pt>
                <c:pt idx="33" formatCode="_(&quot;$&quot;* #,##0_);_(&quot;$&quot;* \(#,##0\);_(&quot;$&quot;* &quot;-&quot;??_);_(@_)">
                  <c:v>86508.451708333698</c:v>
                </c:pt>
                <c:pt idx="34" formatCode="_(&quot;$&quot;* #,##0_);_(&quot;$&quot;* \(#,##0\);_(&quot;$&quot;* &quot;-&quot;??_);_(@_)">
                  <c:v>28772.376666666743</c:v>
                </c:pt>
                <c:pt idx="35" formatCode="_(&quot;$&quot;* #,##0_);_(&quot;$&quot;* \(#,##0\);_(&quot;$&quot;* &quot;-&quot;??_);_(@_)">
                  <c:v>2608.9460416663496</c:v>
                </c:pt>
                <c:pt idx="36" formatCode="_(&quot;$&quot;* #,##0_);_(&quot;$&quot;* \(#,##0\);_(&quot;$&quot;* &quot;-&quot;??_);_(@_)">
                  <c:v>35046.267999999895</c:v>
                </c:pt>
                <c:pt idx="37" formatCode="_(&quot;$&quot;* #,##0_);_(&quot;$&quot;* \(#,##0\);_(&quot;$&quot;* &quot;-&quot;??_);_(@_)">
                  <c:v>36460.879458333082</c:v>
                </c:pt>
                <c:pt idx="38" formatCode="_(&quot;$&quot;* #,##0_);_(&quot;$&quot;* \(#,##0\);_(&quot;$&quot;* &quot;-&quot;??_);_(@_)">
                  <c:v>37400.562416666726</c:v>
                </c:pt>
                <c:pt idx="39" formatCode="_(&quot;$&quot;* #,##0_);_(&quot;$&quot;* \(#,##0\);_(&quot;$&quot;* &quot;-&quot;??_);_(@_)">
                  <c:v>35053.802374999825</c:v>
                </c:pt>
                <c:pt idx="40" formatCode="_(&quot;$&quot;* #,##0_);_(&quot;$&quot;* \(#,##0\);_(&quot;$&quot;* &quot;-&quot;??_);_(@_)">
                  <c:v>32506.307250000056</c:v>
                </c:pt>
                <c:pt idx="41" formatCode="_(&quot;$&quot;* #,##0_);_(&quot;$&quot;* \(#,##0\);_(&quot;$&quot;* &quot;-&quot;??_);_(@_)">
                  <c:v>38525.590208333146</c:v>
                </c:pt>
                <c:pt idx="42" formatCode="_(&quot;$&quot;* #,##0_);_(&quot;$&quot;* \(#,##0\);_(&quot;$&quot;* &quot;-&quot;??_);_(@_)">
                  <c:v>51144.733666666129</c:v>
                </c:pt>
                <c:pt idx="43" formatCode="_(&quot;$&quot;* #,##0_);_(&quot;$&quot;* \(#,##0\);_(&quot;$&quot;* &quot;-&quot;??_);_(@_)">
                  <c:v>56012.292624999922</c:v>
                </c:pt>
                <c:pt idx="44" formatCode="_(&quot;$&quot;* #,##0_);_(&quot;$&quot;* \(#,##0\);_(&quot;$&quot;* &quot;-&quot;??_);_(@_)">
                  <c:v>64106.93628333346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5A-419B-8FD1-C4338C43E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81952"/>
        <c:axId val="26282432"/>
      </c:lineChart>
      <c:dateAx>
        <c:axId val="26281952"/>
        <c:scaling>
          <c:orientation val="minMax"/>
        </c:scaling>
        <c:delete val="0"/>
        <c:axPos val="b"/>
        <c:numFmt formatCode="[$-409]d\-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2432"/>
        <c:crosses val="autoZero"/>
        <c:auto val="0"/>
        <c:lblOffset val="100"/>
        <c:baseTimeUnit val="days"/>
      </c:dateAx>
      <c:valAx>
        <c:axId val="2628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'EU Defence vs Oil'!$K$12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'EU Defence vs Oil'!$A$13:$A$55</c:f>
              <c:numCache>
                <c:formatCode>[$-409]d\-mmm\-yy;@</c:formatCode>
                <c:ptCount val="43"/>
                <c:pt idx="1">
                  <c:v>45924</c:v>
                </c:pt>
                <c:pt idx="2">
                  <c:v>45925</c:v>
                </c:pt>
                <c:pt idx="3">
                  <c:v>45926</c:v>
                </c:pt>
                <c:pt idx="4">
                  <c:v>45929</c:v>
                </c:pt>
                <c:pt idx="5">
                  <c:v>45930</c:v>
                </c:pt>
                <c:pt idx="6">
                  <c:v>45931</c:v>
                </c:pt>
                <c:pt idx="7">
                  <c:v>45932</c:v>
                </c:pt>
                <c:pt idx="8">
                  <c:v>45933</c:v>
                </c:pt>
                <c:pt idx="9">
                  <c:v>45936</c:v>
                </c:pt>
                <c:pt idx="10">
                  <c:v>45937</c:v>
                </c:pt>
                <c:pt idx="11">
                  <c:v>45938</c:v>
                </c:pt>
                <c:pt idx="12">
                  <c:v>45939</c:v>
                </c:pt>
                <c:pt idx="13">
                  <c:v>45940</c:v>
                </c:pt>
                <c:pt idx="14">
                  <c:v>45943</c:v>
                </c:pt>
                <c:pt idx="15">
                  <c:v>45944</c:v>
                </c:pt>
                <c:pt idx="16">
                  <c:v>45945</c:v>
                </c:pt>
                <c:pt idx="17">
                  <c:v>45946</c:v>
                </c:pt>
                <c:pt idx="18">
                  <c:v>45947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 formatCode="d\-mmm\-yy">
                  <c:v>45957</c:v>
                </c:pt>
                <c:pt idx="25" formatCode="d\-mmm\-yy">
                  <c:v>45958</c:v>
                </c:pt>
                <c:pt idx="26" formatCode="d\-mmm\-yy">
                  <c:v>45959</c:v>
                </c:pt>
                <c:pt idx="27" formatCode="d\-mmm\-yy">
                  <c:v>45960</c:v>
                </c:pt>
                <c:pt idx="28" formatCode="d\-mmm\-yy">
                  <c:v>45961</c:v>
                </c:pt>
                <c:pt idx="29" formatCode="d\-mmm\-yy">
                  <c:v>45964</c:v>
                </c:pt>
                <c:pt idx="30" formatCode="d\-mmm\-yy">
                  <c:v>45965</c:v>
                </c:pt>
                <c:pt idx="31" formatCode="d\-mmm\-yy">
                  <c:v>45966</c:v>
                </c:pt>
                <c:pt idx="32" formatCode="d\-mmm\-yy">
                  <c:v>45967</c:v>
                </c:pt>
                <c:pt idx="33" formatCode="d\-mmm\-yy">
                  <c:v>45968</c:v>
                </c:pt>
                <c:pt idx="34" formatCode="d\-mmm\-yy">
                  <c:v>45969</c:v>
                </c:pt>
                <c:pt idx="35" formatCode="d\-mmm\-yy">
                  <c:v>45970</c:v>
                </c:pt>
              </c:numCache>
            </c:numRef>
          </c:cat>
          <c:val>
            <c:numRef>
              <c:f>'EU Defence vs Oil'!$K$13:$K$55</c:f>
              <c:numCache>
                <c:formatCode>_("$"* #,##0.00_);_("$"* \(#,##0.00\);_("$"* "-"??_);_(@_)</c:formatCode>
                <c:ptCount val="43"/>
                <c:pt idx="1">
                  <c:v>0</c:v>
                </c:pt>
                <c:pt idx="2" formatCode="_(&quot;$&quot;* #,##0_);_(&quot;$&quot;* \(#,##0\);_(&quot;$&quot;* &quot;-&quot;??_);_(@_)">
                  <c:v>-37582.527555555585</c:v>
                </c:pt>
                <c:pt idx="3" formatCode="_(&quot;$&quot;* #,##0_);_(&quot;$&quot;* \(#,##0\);_(&quot;$&quot;* &quot;-&quot;??_);_(@_)">
                  <c:v>-38151.863111111059</c:v>
                </c:pt>
                <c:pt idx="4" formatCode="_(&quot;$&quot;* #,##0_);_(&quot;$&quot;* \(#,##0\);_(&quot;$&quot;* &quot;-&quot;??_);_(@_)">
                  <c:v>-39602.409777777837</c:v>
                </c:pt>
                <c:pt idx="5" formatCode="_(&quot;$&quot;* #,##0_);_(&quot;$&quot;* \(#,##0\);_(&quot;$&quot;* &quot;-&quot;??_);_(@_)">
                  <c:v>-41268.625333333359</c:v>
                </c:pt>
                <c:pt idx="6" formatCode="_(&quot;$&quot;* #,##0_);_(&quot;$&quot;* \(#,##0\);_(&quot;$&quot;* &quot;-&quot;??_);_(@_)">
                  <c:v>-36586.68088888887</c:v>
                </c:pt>
                <c:pt idx="7" formatCode="_(&quot;$&quot;* #,##0_);_(&quot;$&quot;* \(#,##0\);_(&quot;$&quot;* &quot;-&quot;??_);_(@_)">
                  <c:v>-18248.304444444457</c:v>
                </c:pt>
                <c:pt idx="8" formatCode="_(&quot;$&quot;* #,##0_);_(&quot;$&quot;* \(#,##0\);_(&quot;$&quot;* &quot;-&quot;??_);_(@_)">
                  <c:v>-35451.052000000003</c:v>
                </c:pt>
                <c:pt idx="9" formatCode="_(&quot;$&quot;* #,##0_);_(&quot;$&quot;* \(#,##0\);_(&quot;$&quot;* &quot;-&quot;??_);_(@_)">
                  <c:v>-22633.790666666646</c:v>
                </c:pt>
                <c:pt idx="10" formatCode="_(&quot;$&quot;* #,##0_);_(&quot;$&quot;* \(#,##0\);_(&quot;$&quot;* &quot;-&quot;??_);_(@_)">
                  <c:v>-18710.022222222215</c:v>
                </c:pt>
                <c:pt idx="11" formatCode="_(&quot;$&quot;* #,##0_);_(&quot;$&quot;* \(#,##0\);_(&quot;$&quot;* &quot;-&quot;??_);_(@_)">
                  <c:v>-21759.25777777769</c:v>
                </c:pt>
                <c:pt idx="12" formatCode="_(&quot;$&quot;* #,##0_);_(&quot;$&quot;* \(#,##0\);_(&quot;$&quot;* &quot;-&quot;??_);_(@_)">
                  <c:v>-7730.2733333333636</c:v>
                </c:pt>
                <c:pt idx="13" formatCode="_(&quot;$&quot;* #,##0_);_(&quot;$&quot;* \(#,##0\);_(&quot;$&quot;* &quot;-&quot;??_);_(@_)">
                  <c:v>-18806.46488888887</c:v>
                </c:pt>
                <c:pt idx="14" formatCode="_(&quot;$&quot;* #,##0_);_(&quot;$&quot;* \(#,##0\);_(&quot;$&quot;* &quot;-&quot;??_);_(@_)">
                  <c:v>-27308.091555555577</c:v>
                </c:pt>
                <c:pt idx="15" formatCode="_(&quot;$&quot;* #,##0_);_(&quot;$&quot;* \(#,##0\);_(&quot;$&quot;* &quot;-&quot;??_);_(@_)">
                  <c:v>-20238.319111111043</c:v>
                </c:pt>
                <c:pt idx="16" formatCode="_(&quot;$&quot;* #,##0_);_(&quot;$&quot;* \(#,##0\);_(&quot;$&quot;* &quot;-&quot;??_);_(@_)">
                  <c:v>-5843.8106666666536</c:v>
                </c:pt>
                <c:pt idx="17" formatCode="_(&quot;$&quot;* #,##0_);_(&quot;$&quot;* \(#,##0\);_(&quot;$&quot;* &quot;-&quot;??_);_(@_)">
                  <c:v>-6799.7982222222599</c:v>
                </c:pt>
                <c:pt idx="18" formatCode="_(&quot;$&quot;* #,##0_);_(&quot;$&quot;* \(#,##0\);_(&quot;$&quot;* &quot;-&quot;??_);_(@_)">
                  <c:v>-2927.9777777777599</c:v>
                </c:pt>
                <c:pt idx="19" formatCode="_(&quot;$&quot;* #,##0_);_(&quot;$&quot;* \(#,##0\);_(&quot;$&quot;* &quot;-&quot;??_);_(@_)">
                  <c:v>13597.871555555543</c:v>
                </c:pt>
                <c:pt idx="20" formatCode="_(&quot;$&quot;* #,##0_);_(&quot;$&quot;* \(#,##0\);_(&quot;$&quot;* &quot;-&quot;??_);_(@_)">
                  <c:v>11628.260000000068</c:v>
                </c:pt>
                <c:pt idx="21" formatCode="_(&quot;$&quot;* #,##0_);_(&quot;$&quot;* \(#,##0\);_(&quot;$&quot;* &quot;-&quot;??_);_(@_)">
                  <c:v>18000.05644444441</c:v>
                </c:pt>
                <c:pt idx="22" formatCode="_(&quot;$&quot;* #,##0_);_(&quot;$&quot;* \(#,##0\);_(&quot;$&quot;* &quot;-&quot;??_);_(@_)">
                  <c:v>14202.068888888865</c:v>
                </c:pt>
                <c:pt idx="23" formatCode="_(&quot;$&quot;* #,##0_);_(&quot;$&quot;* \(#,##0\);_(&quot;$&quot;* &quot;-&quot;??_);_(@_)">
                  <c:v>14730.2093333333</c:v>
                </c:pt>
                <c:pt idx="24" formatCode="_(&quot;$&quot;* #,##0_);_(&quot;$&quot;* \(#,##0\);_(&quot;$&quot;* &quot;-&quot;??_);_(@_)">
                  <c:v>25706.682666666635</c:v>
                </c:pt>
                <c:pt idx="25" formatCode="_(&quot;$&quot;* #,##0_);_(&quot;$&quot;* \(#,##0\);_(&quot;$&quot;* &quot;-&quot;??_);_(@_)">
                  <c:v>24404.295111111136</c:v>
                </c:pt>
                <c:pt idx="26" formatCode="_(&quot;$&quot;* #,##0_);_(&quot;$&quot;* \(#,##0\);_(&quot;$&quot;* &quot;-&quot;??_);_(@_)">
                  <c:v>51375.079555555596</c:v>
                </c:pt>
                <c:pt idx="27" formatCode="_(&quot;$&quot;* #,##0_);_(&quot;$&quot;* \(#,##0\);_(&quot;$&quot;* &quot;-&quot;??_);_(@_)">
                  <c:v>44516.619999999966</c:v>
                </c:pt>
                <c:pt idx="28" formatCode="_(&quot;$&quot;* #,##0_);_(&quot;$&quot;* \(#,##0\);_(&quot;$&quot;* &quot;-&quot;??_);_(@_)">
                  <c:v>39733.350324444495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A9-4848-81F7-FCEC4281C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253984"/>
        <c:axId val="229253504"/>
      </c:lineChart>
      <c:dateAx>
        <c:axId val="229253984"/>
        <c:scaling>
          <c:orientation val="minMax"/>
        </c:scaling>
        <c:delete val="0"/>
        <c:axPos val="b"/>
        <c:numFmt formatCode="[$-409]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53504"/>
        <c:crosses val="autoZero"/>
        <c:auto val="1"/>
        <c:lblOffset val="100"/>
        <c:baseTimeUnit val="days"/>
      </c:dateAx>
      <c:valAx>
        <c:axId val="22925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5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'EU Insurance CDS RV'!$H$12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'EU Insurance CDS RV'!$A$13:$A$53</c:f>
              <c:numCache>
                <c:formatCode>d\-mmm\-yy</c:formatCode>
                <c:ptCount val="41"/>
                <c:pt idx="1">
                  <c:v>45925</c:v>
                </c:pt>
                <c:pt idx="2">
                  <c:v>45926</c:v>
                </c:pt>
                <c:pt idx="3">
                  <c:v>45929</c:v>
                </c:pt>
                <c:pt idx="4">
                  <c:v>45930</c:v>
                </c:pt>
                <c:pt idx="5">
                  <c:v>45931</c:v>
                </c:pt>
                <c:pt idx="6">
                  <c:v>45932</c:v>
                </c:pt>
                <c:pt idx="7">
                  <c:v>45933</c:v>
                </c:pt>
                <c:pt idx="8">
                  <c:v>45936</c:v>
                </c:pt>
                <c:pt idx="9">
                  <c:v>45937</c:v>
                </c:pt>
                <c:pt idx="10">
                  <c:v>45938</c:v>
                </c:pt>
                <c:pt idx="11">
                  <c:v>45939</c:v>
                </c:pt>
                <c:pt idx="12">
                  <c:v>45940</c:v>
                </c:pt>
                <c:pt idx="13">
                  <c:v>45943</c:v>
                </c:pt>
                <c:pt idx="14">
                  <c:v>45944</c:v>
                </c:pt>
                <c:pt idx="15">
                  <c:v>45945</c:v>
                </c:pt>
                <c:pt idx="16">
                  <c:v>45946</c:v>
                </c:pt>
                <c:pt idx="17" formatCode="[$-409]d\-mmm\-yy;@">
                  <c:v>45947</c:v>
                </c:pt>
                <c:pt idx="18" formatCode="[$-409]d\-mmm\-yy;@">
                  <c:v>45950</c:v>
                </c:pt>
                <c:pt idx="19" formatCode="[$-409]d\-mmm\-yy;@">
                  <c:v>45951</c:v>
                </c:pt>
                <c:pt idx="20" formatCode="[$-409]d\-mmm\-yy;@">
                  <c:v>45952</c:v>
                </c:pt>
                <c:pt idx="21" formatCode="[$-409]d\-mmm\-yy;@">
                  <c:v>45953</c:v>
                </c:pt>
                <c:pt idx="22" formatCode="[$-409]d\-mmm\-yy;@">
                  <c:v>45954</c:v>
                </c:pt>
                <c:pt idx="23">
                  <c:v>45957</c:v>
                </c:pt>
                <c:pt idx="24">
                  <c:v>45958</c:v>
                </c:pt>
                <c:pt idx="25">
                  <c:v>45959</c:v>
                </c:pt>
                <c:pt idx="26">
                  <c:v>45960</c:v>
                </c:pt>
                <c:pt idx="27">
                  <c:v>45961</c:v>
                </c:pt>
                <c:pt idx="28">
                  <c:v>45964</c:v>
                </c:pt>
                <c:pt idx="29">
                  <c:v>45965</c:v>
                </c:pt>
                <c:pt idx="30">
                  <c:v>45966</c:v>
                </c:pt>
                <c:pt idx="31">
                  <c:v>45967</c:v>
                </c:pt>
                <c:pt idx="32">
                  <c:v>45968</c:v>
                </c:pt>
                <c:pt idx="33">
                  <c:v>45969</c:v>
                </c:pt>
                <c:pt idx="34">
                  <c:v>45970</c:v>
                </c:pt>
              </c:numCache>
            </c:numRef>
          </c:cat>
          <c:val>
            <c:numRef>
              <c:f>'EU Insurance CDS RV'!$H$13:$H$53</c:f>
              <c:numCache>
                <c:formatCode>_("$"* #,##0_);_("$"* \(#,##0\);_("$"* "-"??_);_(@_)</c:formatCode>
                <c:ptCount val="41"/>
                <c:pt idx="1">
                  <c:v>0</c:v>
                </c:pt>
                <c:pt idx="2">
                  <c:v>-6165.1582222222023</c:v>
                </c:pt>
                <c:pt idx="3">
                  <c:v>-3827.7808888889067</c:v>
                </c:pt>
                <c:pt idx="4">
                  <c:v>1521.9848888889455</c:v>
                </c:pt>
                <c:pt idx="5">
                  <c:v>3248.1346666666204</c:v>
                </c:pt>
                <c:pt idx="6">
                  <c:v>1703.8324444444233</c:v>
                </c:pt>
                <c:pt idx="7">
                  <c:v>4203.9702222221968</c:v>
                </c:pt>
                <c:pt idx="8">
                  <c:v>3757.0515555555176</c:v>
                </c:pt>
                <c:pt idx="9">
                  <c:v>2646.5653333333194</c:v>
                </c:pt>
                <c:pt idx="10">
                  <c:v>1324.447111111047</c:v>
                </c:pt>
                <c:pt idx="11">
                  <c:v>-4186.8551111111228</c:v>
                </c:pt>
                <c:pt idx="12">
                  <c:v>4334.8866666667363</c:v>
                </c:pt>
                <c:pt idx="13">
                  <c:v>13551.30000000001</c:v>
                </c:pt>
                <c:pt idx="14">
                  <c:v>6398.55377777781</c:v>
                </c:pt>
                <c:pt idx="15">
                  <c:v>855.32355555550021</c:v>
                </c:pt>
                <c:pt idx="16">
                  <c:v>289.92933333334804</c:v>
                </c:pt>
                <c:pt idx="17">
                  <c:v>4495.8031111111195</c:v>
                </c:pt>
                <c:pt idx="18">
                  <c:v>11291.164444444483</c:v>
                </c:pt>
                <c:pt idx="19">
                  <c:v>2969.4102222222828</c:v>
                </c:pt>
                <c:pt idx="20">
                  <c:v>2019.9600000000173</c:v>
                </c:pt>
                <c:pt idx="21">
                  <c:v>2784.2297777778076</c:v>
                </c:pt>
                <c:pt idx="22">
                  <c:v>2745.5635555555491</c:v>
                </c:pt>
                <c:pt idx="23">
                  <c:v>-2237.0671111111078</c:v>
                </c:pt>
                <c:pt idx="24">
                  <c:v>-2606.0413333333963</c:v>
                </c:pt>
                <c:pt idx="25">
                  <c:v>2770.7844444443981</c:v>
                </c:pt>
                <c:pt idx="26">
                  <c:v>1605.1982222221886</c:v>
                </c:pt>
                <c:pt idx="27">
                  <c:v>-1832.6259999999857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B8-421E-BA17-1DF8F56EF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5893568"/>
        <c:axId val="1075896928"/>
      </c:lineChart>
      <c:dateAx>
        <c:axId val="1075893568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896928"/>
        <c:crosses val="autoZero"/>
        <c:auto val="0"/>
        <c:lblOffset val="100"/>
        <c:baseTimeUnit val="days"/>
      </c:dateAx>
      <c:valAx>
        <c:axId val="107589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89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Barclays!$H$12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Barclays!$A$13:$A$48</c:f>
              <c:numCache>
                <c:formatCode>d\-mmm\-yy</c:formatCode>
                <c:ptCount val="36"/>
                <c:pt idx="1">
                  <c:v>45930</c:v>
                </c:pt>
                <c:pt idx="2">
                  <c:v>45931</c:v>
                </c:pt>
                <c:pt idx="3">
                  <c:v>45932</c:v>
                </c:pt>
                <c:pt idx="4">
                  <c:v>45933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45943</c:v>
                </c:pt>
                <c:pt idx="11">
                  <c:v>45944</c:v>
                </c:pt>
                <c:pt idx="12">
                  <c:v>45945</c:v>
                </c:pt>
                <c:pt idx="13">
                  <c:v>45946</c:v>
                </c:pt>
                <c:pt idx="14" formatCode="[$-409]d\-mmm\-yy;@">
                  <c:v>45947</c:v>
                </c:pt>
                <c:pt idx="15" formatCode="[$-409]d\-mmm\-yy;@">
                  <c:v>45950</c:v>
                </c:pt>
                <c:pt idx="16" formatCode="[$-409]d\-mmm\-yy;@">
                  <c:v>45951</c:v>
                </c:pt>
                <c:pt idx="17" formatCode="[$-409]d\-mmm\-yy;@">
                  <c:v>45952</c:v>
                </c:pt>
                <c:pt idx="18" formatCode="[$-409]d\-mmm\-yy;@">
                  <c:v>45953</c:v>
                </c:pt>
                <c:pt idx="19" formatCode="[$-409]d\-mmm\-yy;@">
                  <c:v>45954</c:v>
                </c:pt>
                <c:pt idx="20">
                  <c:v>45957</c:v>
                </c:pt>
                <c:pt idx="21">
                  <c:v>45958</c:v>
                </c:pt>
                <c:pt idx="22">
                  <c:v>45959</c:v>
                </c:pt>
                <c:pt idx="23">
                  <c:v>45960</c:v>
                </c:pt>
                <c:pt idx="24">
                  <c:v>45961</c:v>
                </c:pt>
                <c:pt idx="25">
                  <c:v>45964</c:v>
                </c:pt>
                <c:pt idx="26">
                  <c:v>45965</c:v>
                </c:pt>
                <c:pt idx="27">
                  <c:v>45966</c:v>
                </c:pt>
                <c:pt idx="28">
                  <c:v>45967</c:v>
                </c:pt>
                <c:pt idx="29">
                  <c:v>45968</c:v>
                </c:pt>
                <c:pt idx="30">
                  <c:v>45969</c:v>
                </c:pt>
                <c:pt idx="31">
                  <c:v>45970</c:v>
                </c:pt>
              </c:numCache>
            </c:numRef>
          </c:cat>
          <c:val>
            <c:numRef>
              <c:f>Barclays!$H$13:$H$48</c:f>
              <c:numCache>
                <c:formatCode>_("$"* #,##0.00_);_("$"* \(#,##0.00\);_("$"* "-"??_);_(@_)</c:formatCode>
                <c:ptCount val="36"/>
                <c:pt idx="1">
                  <c:v>0</c:v>
                </c:pt>
                <c:pt idx="2" formatCode="_(&quot;$&quot;* #,##0_);_(&quot;$&quot;* \(#,##0\);_(&quot;$&quot;* &quot;-&quot;??_);_(@_)">
                  <c:v>-40714.599305555654</c:v>
                </c:pt>
                <c:pt idx="3" formatCode="_(&quot;$&quot;* #,##0_);_(&quot;$&quot;* \(#,##0\);_(&quot;$&quot;* &quot;-&quot;??_);_(@_)">
                  <c:v>-44589.198611111329</c:v>
                </c:pt>
                <c:pt idx="4" formatCode="_(&quot;$&quot;* #,##0_);_(&quot;$&quot;* \(#,##0\);_(&quot;$&quot;* &quot;-&quot;??_);_(@_)">
                  <c:v>-61343.797916665128</c:v>
                </c:pt>
                <c:pt idx="5" formatCode="_(&quot;$&quot;* #,##0_);_(&quot;$&quot;* \(#,##0\);_(&quot;$&quot;* &quot;-&quot;??_);_(@_)">
                  <c:v>-38127.59583333406</c:v>
                </c:pt>
                <c:pt idx="6" formatCode="_(&quot;$&quot;* #,##0_);_(&quot;$&quot;* \(#,##0\);_(&quot;$&quot;* &quot;-&quot;??_);_(@_)">
                  <c:v>-39482.195138888783</c:v>
                </c:pt>
                <c:pt idx="7" formatCode="_(&quot;$&quot;* #,##0_);_(&quot;$&quot;* \(#,##0\);_(&quot;$&quot;* &quot;-&quot;??_);_(@_)">
                  <c:v>-44336.794444443171</c:v>
                </c:pt>
                <c:pt idx="8" formatCode="_(&quot;$&quot;* #,##0_);_(&quot;$&quot;* \(#,##0\);_(&quot;$&quot;* &quot;-&quot;??_);_(@_)">
                  <c:v>-43051.393749998366</c:v>
                </c:pt>
                <c:pt idx="9" formatCode="_(&quot;$&quot;* #,##0_);_(&quot;$&quot;* \(#,##0\);_(&quot;$&quot;* &quot;-&quot;??_);_(@_)">
                  <c:v>-43745.993055553918</c:v>
                </c:pt>
                <c:pt idx="10" formatCode="_(&quot;$&quot;* #,##0_);_(&quot;$&quot;* \(#,##0\);_(&quot;$&quot;* &quot;-&quot;??_);_(@_)">
                  <c:v>-45829.79097222058</c:v>
                </c:pt>
                <c:pt idx="11" formatCode="_(&quot;$&quot;* #,##0_);_(&quot;$&quot;* \(#,##0\);_(&quot;$&quot;* &quot;-&quot;??_);_(@_)">
                  <c:v>-13664.390277778683</c:v>
                </c:pt>
                <c:pt idx="12" formatCode="_(&quot;$&quot;* #,##0_);_(&quot;$&quot;* \(#,##0\);_(&quot;$&quot;* &quot;-&quot;??_);_(@_)">
                  <c:v>-23858.989583334125</c:v>
                </c:pt>
                <c:pt idx="13" formatCode="_(&quot;$&quot;* #,##0_);_(&quot;$&quot;* \(#,##0\);_(&quot;$&quot;* &quot;-&quot;??_);_(@_)">
                  <c:v>59186.411111111694</c:v>
                </c:pt>
                <c:pt idx="14" formatCode="_(&quot;$&quot;* #,##0_);_(&quot;$&quot;* \(#,##0\);_(&quot;$&quot;* &quot;-&quot;??_);_(@_)">
                  <c:v>59091.811805555597</c:v>
                </c:pt>
                <c:pt idx="15" formatCode="_(&quot;$&quot;* #,##0_);_(&quot;$&quot;* \(#,##0\);_(&quot;$&quot;* &quot;-&quot;??_);_(@_)">
                  <c:v>75688.013888888032</c:v>
                </c:pt>
                <c:pt idx="16" formatCode="_(&quot;$&quot;* #,##0_);_(&quot;$&quot;* \(#,##0\);_(&quot;$&quot;* &quot;-&quot;??_);_(@_)">
                  <c:v>68433.414583333259</c:v>
                </c:pt>
                <c:pt idx="17" formatCode="_(&quot;$&quot;* #,##0_);_(&quot;$&quot;* \(#,##0\);_(&quot;$&quot;* &quot;-&quot;??_);_(@_)">
                  <c:v>89778.81527777751</c:v>
                </c:pt>
                <c:pt idx="18" formatCode="_(&quot;$&quot;* #,##0_);_(&quot;$&quot;* \(#,##0\);_(&quot;$&quot;* &quot;-&quot;??_);_(@_)">
                  <c:v>45864.215972221631</c:v>
                </c:pt>
                <c:pt idx="19" formatCode="_(&quot;$&quot;* #,##0_);_(&quot;$&quot;* \(#,##0\);_(&quot;$&quot;* &quot;-&quot;??_);_(@_)">
                  <c:v>45329.616666665708</c:v>
                </c:pt>
                <c:pt idx="20" formatCode="_(&quot;$&quot;* #,##0_);_(&quot;$&quot;* \(#,##0\);_(&quot;$&quot;* &quot;-&quot;??_);_(@_)">
                  <c:v>23905.818750000188</c:v>
                </c:pt>
                <c:pt idx="21" formatCode="_(&quot;$&quot;* #,##0_);_(&quot;$&quot;* \(#,##0\);_(&quot;$&quot;* &quot;-&quot;??_);_(@_)">
                  <c:v>49451.219444444308</c:v>
                </c:pt>
                <c:pt idx="22" formatCode="_(&quot;$&quot;* #,##0_);_(&quot;$&quot;* \(#,##0\);_(&quot;$&quot;* &quot;-&quot;??_);_(@_)">
                  <c:v>81856.620138889615</c:v>
                </c:pt>
                <c:pt idx="23" formatCode="_(&quot;$&quot;* #,##0_);_(&quot;$&quot;* \(#,##0\);_(&quot;$&quot;* &quot;-&quot;??_);_(@_)">
                  <c:v>80042.020833334711</c:v>
                </c:pt>
                <c:pt idx="24" formatCode="_(&quot;$&quot;* #,##0_);_(&quot;$&quot;* \(#,##0\);_(&quot;$&quot;* &quot;-&quot;??_);_(@_)">
                  <c:v>88447.421527777682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2C-49E9-A684-900CB0670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1053072"/>
        <c:axId val="241053552"/>
      </c:lineChart>
      <c:dateAx>
        <c:axId val="241053072"/>
        <c:scaling>
          <c:orientation val="minMax"/>
        </c:scaling>
        <c:delete val="0"/>
        <c:axPos val="b"/>
        <c:numFmt formatCode="[$-409]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053552"/>
        <c:crosses val="autoZero"/>
        <c:auto val="0"/>
        <c:lblOffset val="100"/>
        <c:baseTimeUnit val="days"/>
      </c:dateAx>
      <c:valAx>
        <c:axId val="24105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05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'KSA RV'!$N$12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'KSA RV'!$A$13:$A$48</c:f>
              <c:numCache>
                <c:formatCode>d\-mmm\-yy</c:formatCode>
                <c:ptCount val="36"/>
                <c:pt idx="1">
                  <c:v>45931</c:v>
                </c:pt>
                <c:pt idx="2">
                  <c:v>45932</c:v>
                </c:pt>
                <c:pt idx="3">
                  <c:v>45933</c:v>
                </c:pt>
                <c:pt idx="4">
                  <c:v>45936</c:v>
                </c:pt>
                <c:pt idx="5">
                  <c:v>45937</c:v>
                </c:pt>
                <c:pt idx="6">
                  <c:v>45938</c:v>
                </c:pt>
                <c:pt idx="7">
                  <c:v>45939</c:v>
                </c:pt>
                <c:pt idx="8">
                  <c:v>45940</c:v>
                </c:pt>
                <c:pt idx="9">
                  <c:v>45943</c:v>
                </c:pt>
                <c:pt idx="10">
                  <c:v>45944</c:v>
                </c:pt>
                <c:pt idx="11">
                  <c:v>45945</c:v>
                </c:pt>
                <c:pt idx="12">
                  <c:v>45946</c:v>
                </c:pt>
                <c:pt idx="13" formatCode="[$-409]d\-mmm\-yy;@">
                  <c:v>45947</c:v>
                </c:pt>
                <c:pt idx="14" formatCode="[$-409]d\-mmm\-yy;@">
                  <c:v>45950</c:v>
                </c:pt>
                <c:pt idx="15" formatCode="[$-409]d\-mmm\-yy;@">
                  <c:v>45951</c:v>
                </c:pt>
                <c:pt idx="16" formatCode="[$-409]d\-mmm\-yy;@">
                  <c:v>45952</c:v>
                </c:pt>
                <c:pt idx="17" formatCode="[$-409]d\-mmm\-yy;@">
                  <c:v>45953</c:v>
                </c:pt>
                <c:pt idx="18" formatCode="[$-409]d\-mmm\-yy;@">
                  <c:v>45954</c:v>
                </c:pt>
                <c:pt idx="19">
                  <c:v>45957</c:v>
                </c:pt>
                <c:pt idx="20">
                  <c:v>45958</c:v>
                </c:pt>
                <c:pt idx="21">
                  <c:v>45959</c:v>
                </c:pt>
                <c:pt idx="22">
                  <c:v>45960</c:v>
                </c:pt>
                <c:pt idx="23">
                  <c:v>45961</c:v>
                </c:pt>
                <c:pt idx="24">
                  <c:v>45964</c:v>
                </c:pt>
                <c:pt idx="25">
                  <c:v>45965</c:v>
                </c:pt>
                <c:pt idx="26">
                  <c:v>45966</c:v>
                </c:pt>
                <c:pt idx="27">
                  <c:v>45967</c:v>
                </c:pt>
                <c:pt idx="28">
                  <c:v>45968</c:v>
                </c:pt>
                <c:pt idx="29">
                  <c:v>45969</c:v>
                </c:pt>
                <c:pt idx="30">
                  <c:v>45970</c:v>
                </c:pt>
              </c:numCache>
            </c:numRef>
          </c:cat>
          <c:val>
            <c:numRef>
              <c:f>'KSA RV'!$N$13:$N$48</c:f>
              <c:numCache>
                <c:formatCode>_("$"* #,##0_);_("$"* \(#,##0\);_("$"* "-"??_);_(@_)</c:formatCode>
                <c:ptCount val="36"/>
                <c:pt idx="1">
                  <c:v>0</c:v>
                </c:pt>
                <c:pt idx="2">
                  <c:v>-33999.438363333589</c:v>
                </c:pt>
                <c:pt idx="3">
                  <c:v>-21872.876726667379</c:v>
                </c:pt>
                <c:pt idx="4">
                  <c:v>-18600.691816667229</c:v>
                </c:pt>
                <c:pt idx="5">
                  <c:v>-17319.130180001801</c:v>
                </c:pt>
                <c:pt idx="6">
                  <c:v>-2621.318543333357</c:v>
                </c:pt>
                <c:pt idx="7">
                  <c:v>-1704.7569066679584</c:v>
                </c:pt>
                <c:pt idx="8">
                  <c:v>-21558.195270002099</c:v>
                </c:pt>
                <c:pt idx="9">
                  <c:v>-32622.260360002092</c:v>
                </c:pt>
                <c:pt idx="10">
                  <c:v>-13894.448723334845</c:v>
                </c:pt>
                <c:pt idx="11">
                  <c:v>-23517.887086668132</c:v>
                </c:pt>
                <c:pt idx="12">
                  <c:v>-32467.575450000637</c:v>
                </c:pt>
                <c:pt idx="13">
                  <c:v>-16834.763813335761</c:v>
                </c:pt>
                <c:pt idx="14">
                  <c:v>-556.32890333517753</c:v>
                </c:pt>
                <c:pt idx="15">
                  <c:v>15552.732733332554</c:v>
                </c:pt>
                <c:pt idx="16">
                  <c:v>17298.044369998373</c:v>
                </c:pt>
                <c:pt idx="17">
                  <c:v>10450.856006665303</c:v>
                </c:pt>
                <c:pt idx="18">
                  <c:v>17324.917643332756</c:v>
                </c:pt>
                <c:pt idx="19">
                  <c:v>29227.102553332756</c:v>
                </c:pt>
                <c:pt idx="20">
                  <c:v>15477.41418999967</c:v>
                </c:pt>
                <c:pt idx="21">
                  <c:v>38606.475826664973</c:v>
                </c:pt>
                <c:pt idx="22">
                  <c:v>21604.287463332927</c:v>
                </c:pt>
                <c:pt idx="23">
                  <c:v>-7160.4009000010992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FE-42EA-9FFD-480AE6FCA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717824"/>
        <c:axId val="2129720704"/>
      </c:lineChart>
      <c:dateAx>
        <c:axId val="2129717824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20704"/>
        <c:crosses val="autoZero"/>
        <c:auto val="0"/>
        <c:lblOffset val="100"/>
        <c:baseTimeUnit val="days"/>
      </c:dateAx>
      <c:valAx>
        <c:axId val="21297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1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'EU Banks CDS RV'!$H$12</c:f>
              <c:strCache>
                <c:ptCount val="1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'EU Banks CDS RV'!$A$13:$A$45</c:f>
              <c:numCache>
                <c:formatCode>d\-mmm\-yy</c:formatCode>
                <c:ptCount val="33"/>
                <c:pt idx="1">
                  <c:v>45933</c:v>
                </c:pt>
                <c:pt idx="2">
                  <c:v>45936</c:v>
                </c:pt>
                <c:pt idx="3">
                  <c:v>45937</c:v>
                </c:pt>
                <c:pt idx="4">
                  <c:v>45938</c:v>
                </c:pt>
                <c:pt idx="5">
                  <c:v>45939</c:v>
                </c:pt>
                <c:pt idx="6">
                  <c:v>45940</c:v>
                </c:pt>
                <c:pt idx="7">
                  <c:v>45943</c:v>
                </c:pt>
                <c:pt idx="8">
                  <c:v>45944</c:v>
                </c:pt>
                <c:pt idx="9">
                  <c:v>45945</c:v>
                </c:pt>
                <c:pt idx="10">
                  <c:v>45946</c:v>
                </c:pt>
                <c:pt idx="11" formatCode="[$-409]d\-mmm\-yy;@">
                  <c:v>45947</c:v>
                </c:pt>
                <c:pt idx="12" formatCode="[$-409]d\-mmm\-yy;@">
                  <c:v>45950</c:v>
                </c:pt>
                <c:pt idx="13" formatCode="[$-409]d\-mmm\-yy;@">
                  <c:v>45951</c:v>
                </c:pt>
                <c:pt idx="14" formatCode="[$-409]d\-mmm\-yy;@">
                  <c:v>45952</c:v>
                </c:pt>
                <c:pt idx="15" formatCode="[$-409]d\-mmm\-yy;@">
                  <c:v>45953</c:v>
                </c:pt>
                <c:pt idx="16" formatCode="[$-409]d\-mmm\-yy;@">
                  <c:v>45954</c:v>
                </c:pt>
                <c:pt idx="17">
                  <c:v>45957</c:v>
                </c:pt>
                <c:pt idx="18">
                  <c:v>45958</c:v>
                </c:pt>
                <c:pt idx="19">
                  <c:v>45959</c:v>
                </c:pt>
                <c:pt idx="20">
                  <c:v>45960</c:v>
                </c:pt>
                <c:pt idx="21">
                  <c:v>45961</c:v>
                </c:pt>
                <c:pt idx="22">
                  <c:v>45964</c:v>
                </c:pt>
                <c:pt idx="23">
                  <c:v>45965</c:v>
                </c:pt>
                <c:pt idx="24">
                  <c:v>45966</c:v>
                </c:pt>
                <c:pt idx="25">
                  <c:v>45967</c:v>
                </c:pt>
                <c:pt idx="26">
                  <c:v>45968</c:v>
                </c:pt>
                <c:pt idx="27">
                  <c:v>45969</c:v>
                </c:pt>
                <c:pt idx="28">
                  <c:v>45970</c:v>
                </c:pt>
              </c:numCache>
            </c:numRef>
          </c:cat>
          <c:val>
            <c:numRef>
              <c:f>'EU Banks CDS RV'!$H$13:$H$45</c:f>
              <c:numCache>
                <c:formatCode>_("$"* #,##0_);_("$"* \(#,##0\);_("$"* "-"??_);_(@_)</c:formatCode>
                <c:ptCount val="33"/>
                <c:pt idx="1">
                  <c:v>0</c:v>
                </c:pt>
                <c:pt idx="2">
                  <c:v>-253.92333333342685</c:v>
                </c:pt>
                <c:pt idx="3">
                  <c:v>2657.1628888888317</c:v>
                </c:pt>
                <c:pt idx="4">
                  <c:v>-1868.1268888890072</c:v>
                </c:pt>
                <c:pt idx="5">
                  <c:v>3661.185333333262</c:v>
                </c:pt>
                <c:pt idx="6">
                  <c:v>7998.6185555555294</c:v>
                </c:pt>
                <c:pt idx="7">
                  <c:v>24215.314222222223</c:v>
                </c:pt>
                <c:pt idx="8">
                  <c:v>25250.656444444416</c:v>
                </c:pt>
                <c:pt idx="9">
                  <c:v>-14784.979333333336</c:v>
                </c:pt>
                <c:pt idx="10">
                  <c:v>-22796.194111111166</c:v>
                </c:pt>
                <c:pt idx="11">
                  <c:v>6101.7621111110566</c:v>
                </c:pt>
                <c:pt idx="12">
                  <c:v>-7791.1412222223225</c:v>
                </c:pt>
                <c:pt idx="13">
                  <c:v>-29599.508999999987</c:v>
                </c:pt>
                <c:pt idx="14">
                  <c:v>-29033.102777777818</c:v>
                </c:pt>
                <c:pt idx="15">
                  <c:v>-28505.774555555559</c:v>
                </c:pt>
                <c:pt idx="16">
                  <c:v>-41597.129333333345</c:v>
                </c:pt>
                <c:pt idx="17">
                  <c:v>-47146.879666666733</c:v>
                </c:pt>
                <c:pt idx="18">
                  <c:v>-55998.271444444414</c:v>
                </c:pt>
                <c:pt idx="19">
                  <c:v>-11554.249222222228</c:v>
                </c:pt>
                <c:pt idx="20">
                  <c:v>-6669.7239999999838</c:v>
                </c:pt>
                <c:pt idx="21">
                  <c:v>-11312.504767777715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46-47F6-B154-F09BCF24A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1107456"/>
        <c:axId val="2091107936"/>
      </c:lineChart>
      <c:dateAx>
        <c:axId val="2091107456"/>
        <c:scaling>
          <c:orientation val="minMax"/>
        </c:scaling>
        <c:delete val="0"/>
        <c:axPos val="b"/>
        <c:numFmt formatCode="[$-409]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107936"/>
        <c:crosses val="autoZero"/>
        <c:auto val="0"/>
        <c:lblOffset val="100"/>
        <c:baseTimeUnit val="days"/>
      </c:dateAx>
      <c:valAx>
        <c:axId val="209110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10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'EU ETF Compression'!$N$12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'EU ETF Compression'!$A$13:$A$42</c:f>
              <c:numCache>
                <c:formatCode>d\-mmm\-yy</c:formatCode>
                <c:ptCount val="30"/>
                <c:pt idx="1">
                  <c:v>45937</c:v>
                </c:pt>
                <c:pt idx="2">
                  <c:v>45938</c:v>
                </c:pt>
                <c:pt idx="3">
                  <c:v>45939</c:v>
                </c:pt>
                <c:pt idx="4">
                  <c:v>45940</c:v>
                </c:pt>
                <c:pt idx="5">
                  <c:v>45943</c:v>
                </c:pt>
                <c:pt idx="6">
                  <c:v>45944</c:v>
                </c:pt>
                <c:pt idx="7">
                  <c:v>45945</c:v>
                </c:pt>
                <c:pt idx="8">
                  <c:v>45946</c:v>
                </c:pt>
                <c:pt idx="9" formatCode="[$-409]d\-mmm\-yy;@">
                  <c:v>45947</c:v>
                </c:pt>
                <c:pt idx="10" formatCode="[$-409]d\-mmm\-yy;@">
                  <c:v>45950</c:v>
                </c:pt>
                <c:pt idx="11" formatCode="[$-409]d\-mmm\-yy;@">
                  <c:v>45951</c:v>
                </c:pt>
                <c:pt idx="12" formatCode="[$-409]d\-mmm\-yy;@">
                  <c:v>45952</c:v>
                </c:pt>
                <c:pt idx="13" formatCode="[$-409]d\-mmm\-yy;@">
                  <c:v>45953</c:v>
                </c:pt>
                <c:pt idx="14" formatCode="[$-409]d\-mmm\-yy;@">
                  <c:v>45954</c:v>
                </c:pt>
                <c:pt idx="15">
                  <c:v>45957</c:v>
                </c:pt>
                <c:pt idx="16">
                  <c:v>45958</c:v>
                </c:pt>
                <c:pt idx="17">
                  <c:v>45959</c:v>
                </c:pt>
                <c:pt idx="18">
                  <c:v>45960</c:v>
                </c:pt>
                <c:pt idx="19">
                  <c:v>45961</c:v>
                </c:pt>
                <c:pt idx="20">
                  <c:v>45964</c:v>
                </c:pt>
                <c:pt idx="21">
                  <c:v>45965</c:v>
                </c:pt>
                <c:pt idx="22">
                  <c:v>45966</c:v>
                </c:pt>
                <c:pt idx="23">
                  <c:v>45967</c:v>
                </c:pt>
                <c:pt idx="24">
                  <c:v>45968</c:v>
                </c:pt>
                <c:pt idx="25">
                  <c:v>45969</c:v>
                </c:pt>
                <c:pt idx="26">
                  <c:v>45970</c:v>
                </c:pt>
              </c:numCache>
            </c:numRef>
          </c:cat>
          <c:val>
            <c:numRef>
              <c:f>'EU ETF Compression'!$N$13:$N$42</c:f>
              <c:numCache>
                <c:formatCode>_("$"* #,##0_);_("$"* \(#,##0\);_("$"* "-"??_);_(@_)</c:formatCode>
                <c:ptCount val="30"/>
                <c:pt idx="1">
                  <c:v>0</c:v>
                </c:pt>
                <c:pt idx="2">
                  <c:v>-84513.222513004264</c:v>
                </c:pt>
                <c:pt idx="3">
                  <c:v>-107288.81744881991</c:v>
                </c:pt>
                <c:pt idx="4">
                  <c:v>-103712.69433464142</c:v>
                </c:pt>
                <c:pt idx="5">
                  <c:v>-85685.002180177136</c:v>
                </c:pt>
                <c:pt idx="6">
                  <c:v>-84796.624262727753</c:v>
                </c:pt>
                <c:pt idx="7">
                  <c:v>-23155.512247244649</c:v>
                </c:pt>
                <c:pt idx="8">
                  <c:v>-69793.868856556044</c:v>
                </c:pt>
                <c:pt idx="9">
                  <c:v>-78912.603815332302</c:v>
                </c:pt>
                <c:pt idx="10">
                  <c:v>-51205.136366713792</c:v>
                </c:pt>
                <c:pt idx="11">
                  <c:v>-17139.213144488305</c:v>
                </c:pt>
                <c:pt idx="12">
                  <c:v>-56180.53131926489</c:v>
                </c:pt>
                <c:pt idx="13">
                  <c:v>-13443.390776273118</c:v>
                </c:pt>
                <c:pt idx="14">
                  <c:v>-33678.528160718713</c:v>
                </c:pt>
                <c:pt idx="15">
                  <c:v>19225.445729385356</c:v>
                </c:pt>
                <c:pt idx="16">
                  <c:v>5371.5705332876969</c:v>
                </c:pt>
                <c:pt idx="17">
                  <c:v>-20832.304662818497</c:v>
                </c:pt>
                <c:pt idx="18">
                  <c:v>-83858.484289994129</c:v>
                </c:pt>
                <c:pt idx="19">
                  <c:v>-723.69611612557492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AE-4D38-87D6-C8AF8DC78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5878688"/>
        <c:axId val="1075884448"/>
      </c:lineChart>
      <c:dateAx>
        <c:axId val="1075878688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884448"/>
        <c:crosses val="autoZero"/>
        <c:auto val="0"/>
        <c:lblOffset val="100"/>
        <c:baseTimeUnit val="days"/>
      </c:dateAx>
      <c:valAx>
        <c:axId val="107588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87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ETF Compression'!$T$12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 ETF Compression'!$A$13:$A$62</c:f>
              <c:numCache>
                <c:formatCode>[$-409]d\-mmm\-yy;@</c:formatCode>
                <c:ptCount val="50"/>
                <c:pt idx="1">
                  <c:v>45915</c:v>
                </c:pt>
                <c:pt idx="2">
                  <c:v>45916</c:v>
                </c:pt>
                <c:pt idx="3">
                  <c:v>45917</c:v>
                </c:pt>
                <c:pt idx="4">
                  <c:v>45918</c:v>
                </c:pt>
                <c:pt idx="5">
                  <c:v>45919</c:v>
                </c:pt>
                <c:pt idx="6">
                  <c:v>45922</c:v>
                </c:pt>
                <c:pt idx="7">
                  <c:v>45923</c:v>
                </c:pt>
                <c:pt idx="8">
                  <c:v>45924</c:v>
                </c:pt>
                <c:pt idx="9">
                  <c:v>45925</c:v>
                </c:pt>
                <c:pt idx="10">
                  <c:v>45926</c:v>
                </c:pt>
                <c:pt idx="11">
                  <c:v>45929</c:v>
                </c:pt>
                <c:pt idx="12">
                  <c:v>45930</c:v>
                </c:pt>
                <c:pt idx="13">
                  <c:v>45931</c:v>
                </c:pt>
                <c:pt idx="14">
                  <c:v>45932</c:v>
                </c:pt>
                <c:pt idx="15">
                  <c:v>45933</c:v>
                </c:pt>
                <c:pt idx="16">
                  <c:v>45936</c:v>
                </c:pt>
                <c:pt idx="17">
                  <c:v>45937</c:v>
                </c:pt>
                <c:pt idx="18">
                  <c:v>45938</c:v>
                </c:pt>
                <c:pt idx="19">
                  <c:v>45939</c:v>
                </c:pt>
                <c:pt idx="20">
                  <c:v>45940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45950</c:v>
                </c:pt>
                <c:pt idx="27">
                  <c:v>45951</c:v>
                </c:pt>
                <c:pt idx="28">
                  <c:v>45952</c:v>
                </c:pt>
                <c:pt idx="29">
                  <c:v>45953</c:v>
                </c:pt>
                <c:pt idx="30">
                  <c:v>45954</c:v>
                </c:pt>
                <c:pt idx="31" formatCode="d\-mmm\-yy">
                  <c:v>45957</c:v>
                </c:pt>
                <c:pt idx="32" formatCode="d\-mmm\-yy">
                  <c:v>45958</c:v>
                </c:pt>
                <c:pt idx="33" formatCode="d\-mmm\-yy">
                  <c:v>45959</c:v>
                </c:pt>
                <c:pt idx="34" formatCode="d\-mmm\-yy">
                  <c:v>45960</c:v>
                </c:pt>
                <c:pt idx="35" formatCode="d\-mmm\-yy">
                  <c:v>45961</c:v>
                </c:pt>
                <c:pt idx="36" formatCode="d\-mmm\-yy">
                  <c:v>45964</c:v>
                </c:pt>
                <c:pt idx="37" formatCode="d\-mmm\-yy">
                  <c:v>45965</c:v>
                </c:pt>
                <c:pt idx="38" formatCode="d\-mmm\-yy">
                  <c:v>45966</c:v>
                </c:pt>
                <c:pt idx="39" formatCode="d\-mmm\-yy">
                  <c:v>45967</c:v>
                </c:pt>
                <c:pt idx="40" formatCode="d\-mmm\-yy">
                  <c:v>45968</c:v>
                </c:pt>
                <c:pt idx="41" formatCode="d\-mmm\-yy">
                  <c:v>45969</c:v>
                </c:pt>
                <c:pt idx="42" formatCode="d\-mmm\-yy">
                  <c:v>45970</c:v>
                </c:pt>
              </c:numCache>
            </c:numRef>
          </c:cat>
          <c:val>
            <c:numRef>
              <c:f>'US ETF Compression'!$T$13:$T$62</c:f>
              <c:numCache>
                <c:formatCode>_("$"* #,##0_);_("$"* \(#,##0\);_("$"* "-"??_);_(@_)</c:formatCode>
                <c:ptCount val="50"/>
                <c:pt idx="1">
                  <c:v>0</c:v>
                </c:pt>
                <c:pt idx="2">
                  <c:v>25846.120866930833</c:v>
                </c:pt>
                <c:pt idx="3">
                  <c:v>19471.651548495844</c:v>
                </c:pt>
                <c:pt idx="4">
                  <c:v>34704.545484011898</c:v>
                </c:pt>
                <c:pt idx="5">
                  <c:v>49912.69939648595</c:v>
                </c:pt>
                <c:pt idx="6">
                  <c:v>106468.44341993982</c:v>
                </c:pt>
                <c:pt idx="7">
                  <c:v>100467.46311877367</c:v>
                </c:pt>
                <c:pt idx="8">
                  <c:v>138521.56084042153</c:v>
                </c:pt>
                <c:pt idx="9">
                  <c:v>94143.725981884971</c:v>
                </c:pt>
                <c:pt idx="10">
                  <c:v>96560.267820255438</c:v>
                </c:pt>
                <c:pt idx="11">
                  <c:v>138634.64245853462</c:v>
                </c:pt>
                <c:pt idx="12">
                  <c:v>129374.41436680552</c:v>
                </c:pt>
                <c:pt idx="13">
                  <c:v>90930.852687403749</c:v>
                </c:pt>
                <c:pt idx="14">
                  <c:v>61925.456023876992</c:v>
                </c:pt>
                <c:pt idx="15">
                  <c:v>24875.828033888942</c:v>
                </c:pt>
                <c:pt idx="16">
                  <c:v>47144.4539725629</c:v>
                </c:pt>
                <c:pt idx="17">
                  <c:v>14299.202275209918</c:v>
                </c:pt>
                <c:pt idx="18">
                  <c:v>12945.776177205455</c:v>
                </c:pt>
                <c:pt idx="19">
                  <c:v>-24949.094469489806</c:v>
                </c:pt>
                <c:pt idx="20">
                  <c:v>-115737.29632424098</c:v>
                </c:pt>
                <c:pt idx="21">
                  <c:v>1991.5057342589062</c:v>
                </c:pt>
                <c:pt idx="22">
                  <c:v>-69472.796009753918</c:v>
                </c:pt>
                <c:pt idx="23">
                  <c:v>13281.762777551918</c:v>
                </c:pt>
                <c:pt idx="24">
                  <c:v>-106151.36280510449</c:v>
                </c:pt>
                <c:pt idx="25">
                  <c:v>21862.597132507333</c:v>
                </c:pt>
                <c:pt idx="26">
                  <c:v>33887.38766056345</c:v>
                </c:pt>
                <c:pt idx="27">
                  <c:v>40787.435367773367</c:v>
                </c:pt>
                <c:pt idx="28">
                  <c:v>-18143.291734328275</c:v>
                </c:pt>
                <c:pt idx="29">
                  <c:v>5596.2472118571386</c:v>
                </c:pt>
                <c:pt idx="30">
                  <c:v>40154.160378583088</c:v>
                </c:pt>
                <c:pt idx="31">
                  <c:v>107932.80913954574</c:v>
                </c:pt>
                <c:pt idx="32">
                  <c:v>104229.40309668628</c:v>
                </c:pt>
                <c:pt idx="33">
                  <c:v>47953.936326813244</c:v>
                </c:pt>
                <c:pt idx="34">
                  <c:v>104686.13899330422</c:v>
                </c:pt>
                <c:pt idx="35">
                  <c:v>172855.44071902343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4FA3-9E78-B364891B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8736"/>
        <c:axId val="298328256"/>
      </c:lineChart>
      <c:dateAx>
        <c:axId val="298328736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256"/>
        <c:crosses val="autoZero"/>
        <c:auto val="0"/>
        <c:lblOffset val="100"/>
        <c:baseTimeUnit val="days"/>
      </c:dateAx>
      <c:valAx>
        <c:axId val="29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IG Cash Curve'!$T$12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'US IG Cash Curve'!$A$13:$A$50</c:f>
              <c:numCache>
                <c:formatCode>d\-mmm\-yy</c:formatCode>
                <c:ptCount val="38"/>
                <c:pt idx="1">
                  <c:v>45925</c:v>
                </c:pt>
                <c:pt idx="2">
                  <c:v>45926</c:v>
                </c:pt>
                <c:pt idx="3">
                  <c:v>45929</c:v>
                </c:pt>
                <c:pt idx="4">
                  <c:v>45930</c:v>
                </c:pt>
                <c:pt idx="5">
                  <c:v>45931</c:v>
                </c:pt>
                <c:pt idx="6">
                  <c:v>45932</c:v>
                </c:pt>
                <c:pt idx="7">
                  <c:v>45933</c:v>
                </c:pt>
                <c:pt idx="8">
                  <c:v>45936</c:v>
                </c:pt>
                <c:pt idx="9">
                  <c:v>45937</c:v>
                </c:pt>
                <c:pt idx="10">
                  <c:v>45938</c:v>
                </c:pt>
                <c:pt idx="11">
                  <c:v>45939</c:v>
                </c:pt>
                <c:pt idx="12">
                  <c:v>45940</c:v>
                </c:pt>
                <c:pt idx="13">
                  <c:v>45943</c:v>
                </c:pt>
                <c:pt idx="14">
                  <c:v>45944</c:v>
                </c:pt>
                <c:pt idx="15">
                  <c:v>45945</c:v>
                </c:pt>
                <c:pt idx="16">
                  <c:v>45946</c:v>
                </c:pt>
                <c:pt idx="17" formatCode="[$-409]d\-mmm\-yy;@">
                  <c:v>45947</c:v>
                </c:pt>
                <c:pt idx="18" formatCode="[$-409]d\-mmm\-yy;@">
                  <c:v>45950</c:v>
                </c:pt>
                <c:pt idx="19" formatCode="[$-409]d\-mmm\-yy;@">
                  <c:v>45951</c:v>
                </c:pt>
                <c:pt idx="20" formatCode="[$-409]d\-mmm\-yy;@">
                  <c:v>45952</c:v>
                </c:pt>
                <c:pt idx="21" formatCode="[$-409]d\-mmm\-yy;@">
                  <c:v>45953</c:v>
                </c:pt>
                <c:pt idx="22" formatCode="[$-409]d\-mmm\-yy;@">
                  <c:v>45954</c:v>
                </c:pt>
                <c:pt idx="23">
                  <c:v>45957</c:v>
                </c:pt>
                <c:pt idx="24">
                  <c:v>45958</c:v>
                </c:pt>
                <c:pt idx="25">
                  <c:v>45959</c:v>
                </c:pt>
                <c:pt idx="26">
                  <c:v>45960</c:v>
                </c:pt>
                <c:pt idx="27">
                  <c:v>45961</c:v>
                </c:pt>
                <c:pt idx="28">
                  <c:v>45964</c:v>
                </c:pt>
                <c:pt idx="29">
                  <c:v>45965</c:v>
                </c:pt>
                <c:pt idx="30">
                  <c:v>45966</c:v>
                </c:pt>
                <c:pt idx="31">
                  <c:v>45967</c:v>
                </c:pt>
                <c:pt idx="32">
                  <c:v>45968</c:v>
                </c:pt>
                <c:pt idx="33">
                  <c:v>45969</c:v>
                </c:pt>
                <c:pt idx="34">
                  <c:v>45970</c:v>
                </c:pt>
              </c:numCache>
            </c:numRef>
          </c:cat>
          <c:val>
            <c:numRef>
              <c:f>'US IG Cash Curve'!$T$13:$T$50</c:f>
              <c:numCache>
                <c:formatCode>_("$"* #,##0_);_("$"* \(#,##0\);_("$"* "-"??_);_(@_)</c:formatCode>
                <c:ptCount val="38"/>
                <c:pt idx="1">
                  <c:v>0</c:v>
                </c:pt>
                <c:pt idx="2">
                  <c:v>-40470.166236917648</c:v>
                </c:pt>
                <c:pt idx="3">
                  <c:v>-44479.4265886707</c:v>
                </c:pt>
                <c:pt idx="4">
                  <c:v>-58100.495115303405</c:v>
                </c:pt>
                <c:pt idx="5">
                  <c:v>-12819.87524747751</c:v>
                </c:pt>
                <c:pt idx="6">
                  <c:v>-13547.304722216068</c:v>
                </c:pt>
                <c:pt idx="7">
                  <c:v>-45694.886107892766</c:v>
                </c:pt>
                <c:pt idx="8">
                  <c:v>-48384.563207631712</c:v>
                </c:pt>
                <c:pt idx="9">
                  <c:v>-37412.106685696781</c:v>
                </c:pt>
                <c:pt idx="10">
                  <c:v>-38318.176119810916</c:v>
                </c:pt>
                <c:pt idx="11">
                  <c:v>-41157.915193007095</c:v>
                </c:pt>
                <c:pt idx="12">
                  <c:v>-36953.571236857053</c:v>
                </c:pt>
                <c:pt idx="13">
                  <c:v>-34548.916129348756</c:v>
                </c:pt>
                <c:pt idx="14">
                  <c:v>27160.769364552238</c:v>
                </c:pt>
                <c:pt idx="15">
                  <c:v>-14478.411727870844</c:v>
                </c:pt>
                <c:pt idx="16">
                  <c:v>9532.7635867743957</c:v>
                </c:pt>
                <c:pt idx="17">
                  <c:v>-29004.578885647687</c:v>
                </c:pt>
                <c:pt idx="18">
                  <c:v>-9746.8548387160117</c:v>
                </c:pt>
                <c:pt idx="19">
                  <c:v>-39141.200785428548</c:v>
                </c:pt>
                <c:pt idx="20">
                  <c:v>-26523.5588060015</c:v>
                </c:pt>
                <c:pt idx="21">
                  <c:v>-44952.125937808218</c:v>
                </c:pt>
                <c:pt idx="22">
                  <c:v>-68839.548203094368</c:v>
                </c:pt>
                <c:pt idx="23">
                  <c:v>-84688.749534910487</c:v>
                </c:pt>
                <c:pt idx="24">
                  <c:v>-77664.350388752151</c:v>
                </c:pt>
                <c:pt idx="25">
                  <c:v>-104068.11841539203</c:v>
                </c:pt>
                <c:pt idx="26">
                  <c:v>-128302.96977278279</c:v>
                </c:pt>
                <c:pt idx="27">
                  <c:v>-88334.521472552675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D-4727-BAAA-8AB5A50A8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3246016"/>
        <c:axId val="283244096"/>
      </c:lineChart>
      <c:dateAx>
        <c:axId val="283246016"/>
        <c:scaling>
          <c:orientation val="minMax"/>
        </c:scaling>
        <c:delete val="0"/>
        <c:axPos val="b"/>
        <c:numFmt formatCode="[$-409]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244096"/>
        <c:crosses val="autoZero"/>
        <c:auto val="0"/>
        <c:lblOffset val="100"/>
        <c:baseTimeUnit val="days"/>
      </c:dateAx>
      <c:valAx>
        <c:axId val="2832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24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'Not_Live_BOFA Basis'!$K$12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'Not_Live_BOFA Basis'!$A$13:$A$49</c:f>
              <c:numCache>
                <c:formatCode>[$-409]d\-mmm\-yy;@</c:formatCode>
                <c:ptCount val="37"/>
                <c:pt idx="1">
                  <c:v>45938</c:v>
                </c:pt>
                <c:pt idx="2">
                  <c:v>45939</c:v>
                </c:pt>
                <c:pt idx="3">
                  <c:v>45940</c:v>
                </c:pt>
                <c:pt idx="4">
                  <c:v>45943</c:v>
                </c:pt>
                <c:pt idx="5">
                  <c:v>45944</c:v>
                </c:pt>
                <c:pt idx="6">
                  <c:v>45945</c:v>
                </c:pt>
                <c:pt idx="7">
                  <c:v>45946</c:v>
                </c:pt>
                <c:pt idx="8">
                  <c:v>45947</c:v>
                </c:pt>
                <c:pt idx="9">
                  <c:v>45950</c:v>
                </c:pt>
                <c:pt idx="10">
                  <c:v>45951</c:v>
                </c:pt>
                <c:pt idx="11">
                  <c:v>45952</c:v>
                </c:pt>
                <c:pt idx="12">
                  <c:v>45953</c:v>
                </c:pt>
                <c:pt idx="13">
                  <c:v>45954</c:v>
                </c:pt>
                <c:pt idx="14" formatCode="d\-mmm\-yy">
                  <c:v>45957</c:v>
                </c:pt>
                <c:pt idx="15" formatCode="d\-mmm\-yy">
                  <c:v>45958</c:v>
                </c:pt>
                <c:pt idx="16" formatCode="d\-mmm\-yy">
                  <c:v>45959</c:v>
                </c:pt>
                <c:pt idx="17" formatCode="d\-mmm\-yy">
                  <c:v>45960</c:v>
                </c:pt>
                <c:pt idx="18" formatCode="d\-mmm\-yy">
                  <c:v>45961</c:v>
                </c:pt>
                <c:pt idx="19" formatCode="d\-mmm\-yy">
                  <c:v>45964</c:v>
                </c:pt>
                <c:pt idx="20" formatCode="d\-mmm\-yy">
                  <c:v>45965</c:v>
                </c:pt>
                <c:pt idx="21" formatCode="d\-mmm\-yy">
                  <c:v>45966</c:v>
                </c:pt>
                <c:pt idx="22" formatCode="d\-mmm\-yy">
                  <c:v>45967</c:v>
                </c:pt>
                <c:pt idx="23" formatCode="d\-mmm\-yy">
                  <c:v>45968</c:v>
                </c:pt>
                <c:pt idx="24" formatCode="d\-mmm\-yy">
                  <c:v>45969</c:v>
                </c:pt>
                <c:pt idx="25" formatCode="d\-mmm\-yy">
                  <c:v>45970</c:v>
                </c:pt>
              </c:numCache>
            </c:numRef>
          </c:cat>
          <c:val>
            <c:numRef>
              <c:f>'Not_Live_BOFA Basis'!$K$13:$K$49</c:f>
              <c:numCache>
                <c:formatCode>_("$"* #,##0.00_);_("$"* \(#,##0.00\);_("$"* "-"??_);_(@_)</c:formatCode>
                <c:ptCount val="37"/>
                <c:pt idx="1">
                  <c:v>0</c:v>
                </c:pt>
                <c:pt idx="2" formatCode="_(&quot;$&quot;* #,##0_);_(&quot;$&quot;* \(#,##0\);_(&quot;$&quot;* &quot;-&quot;??_);_(@_)">
                  <c:v>-9054.9197092012582</c:v>
                </c:pt>
                <c:pt idx="3" formatCode="_(&quot;$&quot;* #,##0_);_(&quot;$&quot;* \(#,##0\);_(&quot;$&quot;* &quot;-&quot;??_);_(@_)">
                  <c:v>1101.0980815974117</c:v>
                </c:pt>
                <c:pt idx="4" formatCode="_(&quot;$&quot;* #,##0_);_(&quot;$&quot;* \(#,##0\);_(&quot;$&quot;* &quot;-&quot;??_);_(@_)">
                  <c:v>-59.169796006747674</c:v>
                </c:pt>
                <c:pt idx="5" formatCode="_(&quot;$&quot;* #,##0_);_(&quot;$&quot;* \(#,##0\);_(&quot;$&quot;* &quot;-&quot;??_);_(@_)">
                  <c:v>-14685.969005207724</c:v>
                </c:pt>
                <c:pt idx="6" formatCode="_(&quot;$&quot;* #,##0_);_(&quot;$&quot;* \(#,##0\);_(&quot;$&quot;* &quot;-&quot;??_);_(@_)">
                  <c:v>-849.50596440913796</c:v>
                </c:pt>
                <c:pt idx="7" formatCode="_(&quot;$&quot;* #,##0_);_(&quot;$&quot;* \(#,##0\);_(&quot;$&quot;* &quot;-&quot;??_);_(@_)">
                  <c:v>-6019.2679236098156</c:v>
                </c:pt>
                <c:pt idx="8" formatCode="_(&quot;$&quot;* #,##0_);_(&quot;$&quot;* \(#,##0\);_(&quot;$&quot;* &quot;-&quot;??_);_(@_)">
                  <c:v>-6882.9868828126273</c:v>
                </c:pt>
                <c:pt idx="9" formatCode="_(&quot;$&quot;* #,##0_);_(&quot;$&quot;* \(#,##0\);_(&quot;$&quot;* &quot;-&quot;??_);_(@_)">
                  <c:v>-3511.4437604154009</c:v>
                </c:pt>
                <c:pt idx="10" formatCode="_(&quot;$&quot;* #,##0_);_(&quot;$&quot;* \(#,##0\);_(&quot;$&quot;* &quot;-&quot;??_);_(@_)">
                  <c:v>11768.965280381855</c:v>
                </c:pt>
                <c:pt idx="11" formatCode="_(&quot;$&quot;* #,##0_);_(&quot;$&quot;* \(#,##0\);_(&quot;$&quot;* &quot;-&quot;??_);_(@_)">
                  <c:v>2056.5293211804819</c:v>
                </c:pt>
                <c:pt idx="12" formatCode="_(&quot;$&quot;* #,##0_);_(&quot;$&quot;* \(#,##0\);_(&quot;$&quot;* &quot;-&quot;??_);_(@_)">
                  <c:v>802.73186198033</c:v>
                </c:pt>
                <c:pt idx="13" formatCode="_(&quot;$&quot;* #,##0_);_(&quot;$&quot;* \(#,##0\);_(&quot;$&quot;* &quot;-&quot;??_);_(@_)">
                  <c:v>15002.181402778595</c:v>
                </c:pt>
                <c:pt idx="14" formatCode="_(&quot;$&quot;* #,##0_);_(&quot;$&quot;* \(#,##0\);_(&quot;$&quot;* &quot;-&quot;??_);_(@_)">
                  <c:v>34524.063275174354</c:v>
                </c:pt>
                <c:pt idx="15" formatCode="_(&quot;$&quot;* #,##0_);_(&quot;$&quot;* \(#,##0\);_(&quot;$&quot;* &quot;-&quot;??_);_(@_)">
                  <c:v>16502.223565972756</c:v>
                </c:pt>
                <c:pt idx="16" formatCode="_(&quot;$&quot;* #,##0_);_(&quot;$&quot;* \(#,##0\);_(&quot;$&quot;* &quot;-&quot;??_);_(@_)">
                  <c:v>-5004.7771432288391</c:v>
                </c:pt>
                <c:pt idx="17" formatCode="_(&quot;$&quot;* #,##0_);_(&quot;$&quot;* \(#,##0\);_(&quot;$&quot;* &quot;-&quot;??_);_(@_)">
                  <c:v>-16497.324602430621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3-4C5D-8E60-71D05E4A5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93936"/>
        <c:axId val="155096336"/>
      </c:lineChart>
      <c:dateAx>
        <c:axId val="155093936"/>
        <c:scaling>
          <c:orientation val="minMax"/>
        </c:scaling>
        <c:delete val="0"/>
        <c:axPos val="b"/>
        <c:numFmt formatCode="[$-409]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6336"/>
        <c:crosses val="autoZero"/>
        <c:auto val="0"/>
        <c:lblOffset val="100"/>
        <c:baseTimeUnit val="days"/>
      </c:dateAx>
      <c:valAx>
        <c:axId val="15509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'CDX IG vs SPX Puts'!$G$12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'CDX IG vs SPX Puts'!$A$13:$A$57</c:f>
              <c:numCache>
                <c:formatCode>d\-mmm\-yy</c:formatCode>
                <c:ptCount val="31"/>
                <c:pt idx="1">
                  <c:v>45939</c:v>
                </c:pt>
                <c:pt idx="2">
                  <c:v>45940</c:v>
                </c:pt>
                <c:pt idx="3">
                  <c:v>45943</c:v>
                </c:pt>
                <c:pt idx="4">
                  <c:v>45944</c:v>
                </c:pt>
                <c:pt idx="5">
                  <c:v>45945</c:v>
                </c:pt>
                <c:pt idx="6" formatCode="[$-409]d\-mmm\-yy;@">
                  <c:v>45946</c:v>
                </c:pt>
                <c:pt idx="7" formatCode="[$-409]d\-mmm\-yy;@">
                  <c:v>45947</c:v>
                </c:pt>
                <c:pt idx="8" formatCode="[$-409]d\-mmm\-yy;@">
                  <c:v>45950</c:v>
                </c:pt>
                <c:pt idx="9" formatCode="[$-409]d\-mmm\-yy;@">
                  <c:v>45951</c:v>
                </c:pt>
                <c:pt idx="10" formatCode="[$-409]d\-mmm\-yy;@">
                  <c:v>45952</c:v>
                </c:pt>
                <c:pt idx="11" formatCode="[$-409]d\-mmm\-yy;@">
                  <c:v>45953</c:v>
                </c:pt>
                <c:pt idx="12" formatCode="[$-409]d\-mmm\-yy;@">
                  <c:v>45954</c:v>
                </c:pt>
                <c:pt idx="13">
                  <c:v>45957</c:v>
                </c:pt>
                <c:pt idx="14">
                  <c:v>45958</c:v>
                </c:pt>
                <c:pt idx="15">
                  <c:v>45959</c:v>
                </c:pt>
                <c:pt idx="16">
                  <c:v>45960</c:v>
                </c:pt>
                <c:pt idx="17">
                  <c:v>45961</c:v>
                </c:pt>
                <c:pt idx="18">
                  <c:v>45964</c:v>
                </c:pt>
                <c:pt idx="19">
                  <c:v>45965</c:v>
                </c:pt>
                <c:pt idx="20">
                  <c:v>45966</c:v>
                </c:pt>
                <c:pt idx="21">
                  <c:v>45967</c:v>
                </c:pt>
                <c:pt idx="22">
                  <c:v>45968</c:v>
                </c:pt>
                <c:pt idx="23">
                  <c:v>45969</c:v>
                </c:pt>
                <c:pt idx="24">
                  <c:v>45970</c:v>
                </c:pt>
              </c:numCache>
            </c:numRef>
          </c:cat>
          <c:val>
            <c:numRef>
              <c:f>'CDX IG vs SPX Puts'!$G$13:$G$57</c:f>
              <c:numCache>
                <c:formatCode>_("$"* #,##0_);_("$"* \(#,##0\);_("$"* "-"??_);_(@_)</c:formatCode>
                <c:ptCount val="31"/>
                <c:pt idx="1">
                  <c:v>0</c:v>
                </c:pt>
                <c:pt idx="2">
                  <c:v>-8455.7777777776355</c:v>
                </c:pt>
                <c:pt idx="3">
                  <c:v>-147580.11111111095</c:v>
                </c:pt>
                <c:pt idx="4">
                  <c:v>108120.11111111121</c:v>
                </c:pt>
                <c:pt idx="5">
                  <c:v>85048.333333333605</c:v>
                </c:pt>
                <c:pt idx="6">
                  <c:v>48470.555555555678</c:v>
                </c:pt>
                <c:pt idx="7">
                  <c:v>140256.77777777793</c:v>
                </c:pt>
                <c:pt idx="8">
                  <c:v>46906.444444444416</c:v>
                </c:pt>
                <c:pt idx="9">
                  <c:v>11492.666666666626</c:v>
                </c:pt>
                <c:pt idx="10">
                  <c:v>27498.888888888818</c:v>
                </c:pt>
                <c:pt idx="11">
                  <c:v>43118.111111111037</c:v>
                </c:pt>
                <c:pt idx="12">
                  <c:v>32223.333333333459</c:v>
                </c:pt>
                <c:pt idx="13">
                  <c:v>68616.999999999971</c:v>
                </c:pt>
                <c:pt idx="14">
                  <c:v>42731.222222222219</c:v>
                </c:pt>
                <c:pt idx="15">
                  <c:v>43830.444444444598</c:v>
                </c:pt>
                <c:pt idx="16">
                  <c:v>19471.666666666613</c:v>
                </c:pt>
                <c:pt idx="17">
                  <c:v>-72123.111111111022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A-4050-A53A-95C79A0B9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281440"/>
        <c:axId val="353285280"/>
      </c:lineChart>
      <c:dateAx>
        <c:axId val="353281440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85280"/>
        <c:crosses val="autoZero"/>
        <c:auto val="0"/>
        <c:lblOffset val="100"/>
        <c:baseTimeUnit val="days"/>
      </c:dateAx>
      <c:valAx>
        <c:axId val="35328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8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'New_CDX IG vs SPX Puts'!$G$12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'New_CDX IG vs SPX Puts'!$A$13:$A$46</c:f>
              <c:numCache>
                <c:formatCode>d\-mmm\-yy</c:formatCode>
                <c:ptCount val="20"/>
                <c:pt idx="1">
                  <c:v>45960</c:v>
                </c:pt>
                <c:pt idx="2">
                  <c:v>45961</c:v>
                </c:pt>
                <c:pt idx="3">
                  <c:v>45964</c:v>
                </c:pt>
                <c:pt idx="4">
                  <c:v>45965</c:v>
                </c:pt>
                <c:pt idx="5">
                  <c:v>45966</c:v>
                </c:pt>
                <c:pt idx="6">
                  <c:v>45967</c:v>
                </c:pt>
                <c:pt idx="7">
                  <c:v>45968</c:v>
                </c:pt>
                <c:pt idx="8">
                  <c:v>45969</c:v>
                </c:pt>
                <c:pt idx="9">
                  <c:v>45970</c:v>
                </c:pt>
              </c:numCache>
            </c:numRef>
          </c:cat>
          <c:val>
            <c:numRef>
              <c:f>'New_CDX IG vs SPX Puts'!$G$13:$G$46</c:f>
              <c:numCache>
                <c:formatCode>_("$"* #,##0_);_("$"* \(#,##0\);_("$"* "-"??_);_(@_)</c:formatCode>
                <c:ptCount val="20"/>
                <c:pt idx="1">
                  <c:v>0</c:v>
                </c:pt>
                <c:pt idx="2">
                  <c:v>952.22222222197888</c:v>
                </c:pt>
                <c:pt idx="3">
                  <c:v>-70584.111111111255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BB-4543-BD03-2460610D0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281440"/>
        <c:axId val="353285280"/>
      </c:lineChart>
      <c:dateAx>
        <c:axId val="353281440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85280"/>
        <c:crosses val="autoZero"/>
        <c:auto val="0"/>
        <c:lblOffset val="100"/>
        <c:baseTimeUnit val="days"/>
      </c:dateAx>
      <c:valAx>
        <c:axId val="35328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8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Compression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'ETF Compression'!$EA$12</c:f>
              <c:strCache>
                <c:ptCount val="1"/>
                <c:pt idx="0">
                  <c:v> Cum IHYG(EUR 21M) vs IEAC(EUR 36.1M)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Compression'!$DZ$13:$DZ$800</c:f>
              <c:numCache>
                <c:formatCode>[$-409]d\-mmm\-yy;@</c:formatCode>
                <c:ptCount val="788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Compression'!$EA$13:$EA$800</c:f>
              <c:numCache>
                <c:formatCode>_("$"* #,##0_);_("$"* \(#,##0\);_("$"* "-"??_);_(@_)</c:formatCode>
                <c:ptCount val="788"/>
                <c:pt idx="0">
                  <c:v>0</c:v>
                </c:pt>
                <c:pt idx="1">
                  <c:v>0</c:v>
                </c:pt>
                <c:pt idx="2">
                  <c:v>22913.148987517576</c:v>
                </c:pt>
                <c:pt idx="3">
                  <c:v>5101.6374210254289</c:v>
                </c:pt>
                <c:pt idx="4">
                  <c:v>35828.06906152796</c:v>
                </c:pt>
                <c:pt idx="5">
                  <c:v>31009.522258695215</c:v>
                </c:pt>
                <c:pt idx="6">
                  <c:v>27720.920971669606</c:v>
                </c:pt>
                <c:pt idx="7">
                  <c:v>50272.869959184667</c:v>
                </c:pt>
                <c:pt idx="8">
                  <c:v>51464.885924554663</c:v>
                </c:pt>
                <c:pt idx="9">
                  <c:v>69692.67058316234</c:v>
                </c:pt>
                <c:pt idx="10">
                  <c:v>64555.146108898101</c:v>
                </c:pt>
                <c:pt idx="11">
                  <c:v>76467.931668576319</c:v>
                </c:pt>
                <c:pt idx="12">
                  <c:v>84998.063850304461</c:v>
                </c:pt>
                <c:pt idx="13">
                  <c:v>84460.277261336334</c:v>
                </c:pt>
                <c:pt idx="14">
                  <c:v>3453.7012713287259</c:v>
                </c:pt>
                <c:pt idx="15">
                  <c:v>95140.646485982812</c:v>
                </c:pt>
                <c:pt idx="16">
                  <c:v>77480.458955591777</c:v>
                </c:pt>
                <c:pt idx="17">
                  <c:v>49443.07349256624</c:v>
                </c:pt>
                <c:pt idx="18">
                  <c:v>49939.961628334248</c:v>
                </c:pt>
                <c:pt idx="19">
                  <c:v>99752.415819143993</c:v>
                </c:pt>
                <c:pt idx="20">
                  <c:v>51344.344079142204</c:v>
                </c:pt>
                <c:pt idx="21">
                  <c:v>76779.150836735731</c:v>
                </c:pt>
                <c:pt idx="22">
                  <c:v>109919.8617476878</c:v>
                </c:pt>
                <c:pt idx="23">
                  <c:v>83595.577131474507</c:v>
                </c:pt>
                <c:pt idx="24">
                  <c:v>94946.406704604276</c:v>
                </c:pt>
                <c:pt idx="25">
                  <c:v>93546.915495972265</c:v>
                </c:pt>
                <c:pt idx="26">
                  <c:v>99980.394347954658</c:v>
                </c:pt>
                <c:pt idx="27">
                  <c:v>80855.393209800939</c:v>
                </c:pt>
                <c:pt idx="28">
                  <c:v>67780.257999560679</c:v>
                </c:pt>
                <c:pt idx="29">
                  <c:v>54021.178492027801</c:v>
                </c:pt>
                <c:pt idx="30">
                  <c:v>46703.883522391203</c:v>
                </c:pt>
                <c:pt idx="31">
                  <c:v>27991.896595322411</c:v>
                </c:pt>
                <c:pt idx="32">
                  <c:v>-2927.9095026459545</c:v>
                </c:pt>
                <c:pt idx="33">
                  <c:v>3697.1222348635201</c:v>
                </c:pt>
                <c:pt idx="34">
                  <c:v>26560.766091949015</c:v>
                </c:pt>
                <c:pt idx="35">
                  <c:v>19739.102883528714</c:v>
                </c:pt>
                <c:pt idx="36">
                  <c:v>9989.9779745124106</c:v>
                </c:pt>
                <c:pt idx="37">
                  <c:v>24692.156466651126</c:v>
                </c:pt>
                <c:pt idx="38">
                  <c:v>52391.487373562763</c:v>
                </c:pt>
                <c:pt idx="39">
                  <c:v>23758.378964745876</c:v>
                </c:pt>
                <c:pt idx="40">
                  <c:v>29798.026301028352</c:v>
                </c:pt>
                <c:pt idx="41">
                  <c:v>51406.212761777715</c:v>
                </c:pt>
                <c:pt idx="42">
                  <c:v>23181.22357811121</c:v>
                </c:pt>
                <c:pt idx="43">
                  <c:v>23631.723403137003</c:v>
                </c:pt>
                <c:pt idx="44">
                  <c:v>59493.721215038677</c:v>
                </c:pt>
                <c:pt idx="45">
                  <c:v>-5031.6519751067099</c:v>
                </c:pt>
                <c:pt idx="46">
                  <c:v>-7628.7100551351032</c:v>
                </c:pt>
                <c:pt idx="47">
                  <c:v>7913.0918155096006</c:v>
                </c:pt>
                <c:pt idx="48">
                  <c:v>-2885.1714895631012</c:v>
                </c:pt>
                <c:pt idx="49">
                  <c:v>-29762.304781295476</c:v>
                </c:pt>
                <c:pt idx="50">
                  <c:v>-40302.331003440398</c:v>
                </c:pt>
                <c:pt idx="51">
                  <c:v>-112676.15318750059</c:v>
                </c:pt>
                <c:pt idx="52">
                  <c:v>-132750.93459178077</c:v>
                </c:pt>
                <c:pt idx="53">
                  <c:v>-151761.12076664536</c:v>
                </c:pt>
                <c:pt idx="54">
                  <c:v>-147922.3071307374</c:v>
                </c:pt>
                <c:pt idx="55">
                  <c:v>-132584.80210037692</c:v>
                </c:pt>
                <c:pt idx="56">
                  <c:v>-131820.34061716573</c:v>
                </c:pt>
                <c:pt idx="57">
                  <c:v>-80980.361903297133</c:v>
                </c:pt>
                <c:pt idx="58">
                  <c:v>-119654.5427042401</c:v>
                </c:pt>
                <c:pt idx="59">
                  <c:v>-127057.88858630165</c:v>
                </c:pt>
                <c:pt idx="60">
                  <c:v>-126335.112499635</c:v>
                </c:pt>
                <c:pt idx="61">
                  <c:v>-125612.33641296832</c:v>
                </c:pt>
                <c:pt idx="62">
                  <c:v>-104502.36761871551</c:v>
                </c:pt>
                <c:pt idx="63">
                  <c:v>-75891.591532046208</c:v>
                </c:pt>
                <c:pt idx="64">
                  <c:v>-108643.00450832825</c:v>
                </c:pt>
                <c:pt idx="65">
                  <c:v>-73328.008011593367</c:v>
                </c:pt>
                <c:pt idx="66">
                  <c:v>-90846.487627631141</c:v>
                </c:pt>
                <c:pt idx="67">
                  <c:v>-47162.944934811181</c:v>
                </c:pt>
                <c:pt idx="68">
                  <c:v>-58645.213050824706</c:v>
                </c:pt>
                <c:pt idx="69">
                  <c:v>-80501.481166842772</c:v>
                </c:pt>
                <c:pt idx="70">
                  <c:v>-132618.89015723925</c:v>
                </c:pt>
                <c:pt idx="71">
                  <c:v>-63527.209313888598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7-4491-8D68-F5AA4D920875}"/>
            </c:ext>
          </c:extLst>
        </c:ser>
        <c:ser>
          <c:idx val="1"/>
          <c:order val="1"/>
          <c:tx>
            <c:strRef>
              <c:f>'ETF Compression'!$EB$12</c:f>
              <c:strCache>
                <c:ptCount val="1"/>
                <c:pt idx="0">
                  <c:v> Cum HYG($25M) vs LQD($25.7M)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Compression'!$DZ$13:$DZ$800</c:f>
              <c:numCache>
                <c:formatCode>[$-409]d\-mmm\-yy;@</c:formatCode>
                <c:ptCount val="788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Compression'!$EB$13:$EB$800</c:f>
              <c:numCache>
                <c:formatCode>_("$"* #,##0_);_("$"* \(#,##0\);_("$"* "-"??_);_(@_)</c:formatCode>
                <c:ptCount val="788"/>
                <c:pt idx="0">
                  <c:v>0</c:v>
                </c:pt>
                <c:pt idx="1">
                  <c:v>0</c:v>
                </c:pt>
                <c:pt idx="2">
                  <c:v>-12319.799528889584</c:v>
                </c:pt>
                <c:pt idx="3">
                  <c:v>5330.5666168021307</c:v>
                </c:pt>
                <c:pt idx="4">
                  <c:v>-125349.53762423726</c:v>
                </c:pt>
                <c:pt idx="5">
                  <c:v>-61762.562089711471</c:v>
                </c:pt>
                <c:pt idx="6">
                  <c:v>-69391.435378523238</c:v>
                </c:pt>
                <c:pt idx="7">
                  <c:v>-89366.737676977966</c:v>
                </c:pt>
                <c:pt idx="8">
                  <c:v>-102314.7637833706</c:v>
                </c:pt>
                <c:pt idx="9">
                  <c:v>-64317.934977315905</c:v>
                </c:pt>
                <c:pt idx="10">
                  <c:v>-95457.27859064244</c:v>
                </c:pt>
                <c:pt idx="11">
                  <c:v>-105621.76408314507</c:v>
                </c:pt>
                <c:pt idx="12">
                  <c:v>-98466.15527420021</c:v>
                </c:pt>
                <c:pt idx="13">
                  <c:v>-148556.09518536233</c:v>
                </c:pt>
                <c:pt idx="14">
                  <c:v>-157056.10034924228</c:v>
                </c:pt>
                <c:pt idx="15">
                  <c:v>-155575.31139300234</c:v>
                </c:pt>
                <c:pt idx="16">
                  <c:v>-146960.21590141801</c:v>
                </c:pt>
                <c:pt idx="17">
                  <c:v>-150667.17904745607</c:v>
                </c:pt>
                <c:pt idx="18">
                  <c:v>-146539.53736395919</c:v>
                </c:pt>
                <c:pt idx="19">
                  <c:v>-78111.155470986327</c:v>
                </c:pt>
                <c:pt idx="20">
                  <c:v>-82522.44331474998</c:v>
                </c:pt>
                <c:pt idx="21">
                  <c:v>-44776.943656743104</c:v>
                </c:pt>
                <c:pt idx="22">
                  <c:v>-27150.618402696709</c:v>
                </c:pt>
                <c:pt idx="23">
                  <c:v>2313.8393536052718</c:v>
                </c:pt>
                <c:pt idx="24">
                  <c:v>-15925.880178895757</c:v>
                </c:pt>
                <c:pt idx="25">
                  <c:v>-24080.798821938948</c:v>
                </c:pt>
                <c:pt idx="26">
                  <c:v>-72313.668589468041</c:v>
                </c:pt>
                <c:pt idx="27">
                  <c:v>-65038.952426897347</c:v>
                </c:pt>
                <c:pt idx="28">
                  <c:v>-107699.11282378605</c:v>
                </c:pt>
                <c:pt idx="29">
                  <c:v>-132607.84038745394</c:v>
                </c:pt>
                <c:pt idx="30">
                  <c:v>-115021.70330100521</c:v>
                </c:pt>
                <c:pt idx="31">
                  <c:v>-146295.91013176204</c:v>
                </c:pt>
                <c:pt idx="32">
                  <c:v>-152404.02144032135</c:v>
                </c:pt>
                <c:pt idx="33">
                  <c:v>-154483.84937106221</c:v>
                </c:pt>
                <c:pt idx="34">
                  <c:v>-179107.00921722405</c:v>
                </c:pt>
                <c:pt idx="35">
                  <c:v>-163264.50965514057</c:v>
                </c:pt>
                <c:pt idx="36">
                  <c:v>-146050.20867839461</c:v>
                </c:pt>
                <c:pt idx="37">
                  <c:v>-148017.11852455648</c:v>
                </c:pt>
                <c:pt idx="38">
                  <c:v>-132213.39897019864</c:v>
                </c:pt>
                <c:pt idx="39">
                  <c:v>-121315.15630386712</c:v>
                </c:pt>
                <c:pt idx="40">
                  <c:v>-77622.934359002102</c:v>
                </c:pt>
                <c:pt idx="41">
                  <c:v>-84573.395979275199</c:v>
                </c:pt>
                <c:pt idx="42">
                  <c:v>-54980.301413514171</c:v>
                </c:pt>
                <c:pt idx="43">
                  <c:v>-86707.335671462119</c:v>
                </c:pt>
                <c:pt idx="44">
                  <c:v>-85257.923185039515</c:v>
                </c:pt>
                <c:pt idx="45">
                  <c:v>-59365.764185005886</c:v>
                </c:pt>
                <c:pt idx="46">
                  <c:v>-67462.573225558721</c:v>
                </c:pt>
                <c:pt idx="47">
                  <c:v>-141568.25799907392</c:v>
                </c:pt>
                <c:pt idx="48">
                  <c:v>-165656.92280670436</c:v>
                </c:pt>
                <c:pt idx="49">
                  <c:v>-191333.34702523018</c:v>
                </c:pt>
                <c:pt idx="50">
                  <c:v>-171474.87630102879</c:v>
                </c:pt>
                <c:pt idx="51">
                  <c:v>-197528.63260298429</c:v>
                </c:pt>
                <c:pt idx="52">
                  <c:v>-198626.94777530048</c:v>
                </c:pt>
                <c:pt idx="53">
                  <c:v>-224398.10897542906</c:v>
                </c:pt>
                <c:pt idx="54">
                  <c:v>-295971.06931398361</c:v>
                </c:pt>
                <c:pt idx="55">
                  <c:v>-213141.42349315973</c:v>
                </c:pt>
                <c:pt idx="56">
                  <c:v>-265505.01496358984</c:v>
                </c:pt>
                <c:pt idx="57">
                  <c:v>-205582.55791178712</c:v>
                </c:pt>
                <c:pt idx="58">
                  <c:v>-293898.93072370737</c:v>
                </c:pt>
                <c:pt idx="59">
                  <c:v>-199066.43531591585</c:v>
                </c:pt>
                <c:pt idx="60">
                  <c:v>-198789.94986359688</c:v>
                </c:pt>
                <c:pt idx="61">
                  <c:v>-198513.46441127794</c:v>
                </c:pt>
                <c:pt idx="62">
                  <c:v>-195385.91740279947</c:v>
                </c:pt>
                <c:pt idx="63">
                  <c:v>-190001.75275202387</c:v>
                </c:pt>
                <c:pt idx="64">
                  <c:v>-233057.01642309691</c:v>
                </c:pt>
                <c:pt idx="65">
                  <c:v>-213149.96904214483</c:v>
                </c:pt>
                <c:pt idx="66">
                  <c:v>-190364.1255649224</c:v>
                </c:pt>
                <c:pt idx="67">
                  <c:v>-142558.80927970918</c:v>
                </c:pt>
                <c:pt idx="68">
                  <c:v>-147268.85944735745</c:v>
                </c:pt>
                <c:pt idx="69">
                  <c:v>-181274.36075941485</c:v>
                </c:pt>
                <c:pt idx="70">
                  <c:v>-136462.38834117877</c:v>
                </c:pt>
                <c:pt idx="71">
                  <c:v>-77523.522776381142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7-4491-8D68-F5AA4D920875}"/>
            </c:ext>
          </c:extLst>
        </c:ser>
        <c:ser>
          <c:idx val="2"/>
          <c:order val="2"/>
          <c:tx>
            <c:strRef>
              <c:f>'ETF Compression'!$EC$12</c:f>
              <c:strCache>
                <c:ptCount val="1"/>
                <c:pt idx="0">
                  <c:v> Cum Xover(EUR 21M) vs Main(EUR 94.5M)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Compression'!$DZ$13:$DZ$800</c:f>
              <c:numCache>
                <c:formatCode>[$-409]d\-mmm\-yy;@</c:formatCode>
                <c:ptCount val="788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Compression'!$EC$13:$EC$800</c:f>
              <c:numCache>
                <c:formatCode>_("$"* #,##0_);_("$"* \(#,##0\);_("$"* "-"??_);_(@_)</c:formatCode>
                <c:ptCount val="788"/>
                <c:pt idx="0">
                  <c:v>0</c:v>
                </c:pt>
                <c:pt idx="1">
                  <c:v>0</c:v>
                </c:pt>
                <c:pt idx="2">
                  <c:v>-4510.1933333334382</c:v>
                </c:pt>
                <c:pt idx="3">
                  <c:v>10364.293333333495</c:v>
                </c:pt>
                <c:pt idx="4">
                  <c:v>17176.670000000144</c:v>
                </c:pt>
                <c:pt idx="5">
                  <c:v>30761.920000000173</c:v>
                </c:pt>
                <c:pt idx="6">
                  <c:v>33462.496666666761</c:v>
                </c:pt>
                <c:pt idx="7">
                  <c:v>19071.803333333373</c:v>
                </c:pt>
                <c:pt idx="8">
                  <c:v>18841.410000000062</c:v>
                </c:pt>
                <c:pt idx="9">
                  <c:v>20487.996666666819</c:v>
                </c:pt>
                <c:pt idx="10">
                  <c:v>21348.296666666574</c:v>
                </c:pt>
                <c:pt idx="11">
                  <c:v>9750.8133333334263</c:v>
                </c:pt>
                <c:pt idx="12">
                  <c:v>2624.6500000002707</c:v>
                </c:pt>
                <c:pt idx="13">
                  <c:v>5621.1166666669596</c:v>
                </c:pt>
                <c:pt idx="14">
                  <c:v>6837.6233333337004</c:v>
                </c:pt>
                <c:pt idx="15">
                  <c:v>2551.0333333334856</c:v>
                </c:pt>
                <c:pt idx="16">
                  <c:v>-3541.9299999999639</c:v>
                </c:pt>
                <c:pt idx="17">
                  <c:v>-10229.613333333364</c:v>
                </c:pt>
                <c:pt idx="18">
                  <c:v>-6098.9366666666465</c:v>
                </c:pt>
                <c:pt idx="19">
                  <c:v>-8459.149999999936</c:v>
                </c:pt>
                <c:pt idx="20">
                  <c:v>-7584.149999999936</c:v>
                </c:pt>
                <c:pt idx="21">
                  <c:v>-3580.9433333332272</c:v>
                </c:pt>
                <c:pt idx="22">
                  <c:v>12426.703333333644</c:v>
                </c:pt>
                <c:pt idx="23">
                  <c:v>99627.709999999875</c:v>
                </c:pt>
                <c:pt idx="24">
                  <c:v>101895.05666666708</c:v>
                </c:pt>
                <c:pt idx="25">
                  <c:v>102063.19666666686</c:v>
                </c:pt>
                <c:pt idx="26">
                  <c:v>107566.64333333322</c:v>
                </c:pt>
                <c:pt idx="27">
                  <c:v>101276.49000000019</c:v>
                </c:pt>
                <c:pt idx="28">
                  <c:v>84959.676666666724</c:v>
                </c:pt>
                <c:pt idx="29">
                  <c:v>84067.153333333466</c:v>
                </c:pt>
                <c:pt idx="30">
                  <c:v>74618.553333333577</c:v>
                </c:pt>
                <c:pt idx="31">
                  <c:v>61789.42000000042</c:v>
                </c:pt>
                <c:pt idx="32">
                  <c:v>57622.156666666793</c:v>
                </c:pt>
                <c:pt idx="33">
                  <c:v>55006.163333333359</c:v>
                </c:pt>
                <c:pt idx="34">
                  <c:v>53553.359999999913</c:v>
                </c:pt>
                <c:pt idx="35">
                  <c:v>56369.600000000282</c:v>
                </c:pt>
                <c:pt idx="36">
                  <c:v>51733.196666666627</c:v>
                </c:pt>
                <c:pt idx="37">
                  <c:v>55524.093333333469</c:v>
                </c:pt>
                <c:pt idx="38">
                  <c:v>62159.650000000402</c:v>
                </c:pt>
                <c:pt idx="39">
                  <c:v>57446.386666666542</c:v>
                </c:pt>
                <c:pt idx="40">
                  <c:v>71790.366666666785</c:v>
                </c:pt>
                <c:pt idx="41">
                  <c:v>84326.083333333285</c:v>
                </c:pt>
                <c:pt idx="42">
                  <c:v>85706.80999999991</c:v>
                </c:pt>
                <c:pt idx="43">
                  <c:v>95053.886666666687</c:v>
                </c:pt>
                <c:pt idx="44">
                  <c:v>101436.39333333352</c:v>
                </c:pt>
                <c:pt idx="45">
                  <c:v>99192.053333333519</c:v>
                </c:pt>
                <c:pt idx="46">
                  <c:v>119743.26000000004</c:v>
                </c:pt>
                <c:pt idx="47">
                  <c:v>110505.75666666668</c:v>
                </c:pt>
                <c:pt idx="48">
                  <c:v>116018.86333333337</c:v>
                </c:pt>
                <c:pt idx="49">
                  <c:v>112741.57999999993</c:v>
                </c:pt>
                <c:pt idx="50">
                  <c:v>122438.8900000001</c:v>
                </c:pt>
                <c:pt idx="51">
                  <c:v>114424.84666666677</c:v>
                </c:pt>
                <c:pt idx="52">
                  <c:v>97440.023333333404</c:v>
                </c:pt>
                <c:pt idx="53">
                  <c:v>79033.290000000125</c:v>
                </c:pt>
                <c:pt idx="54">
                  <c:v>76319.016666666983</c:v>
                </c:pt>
                <c:pt idx="55">
                  <c:v>81761.726666666655</c:v>
                </c:pt>
                <c:pt idx="56">
                  <c:v>68280.963333333522</c:v>
                </c:pt>
                <c:pt idx="57">
                  <c:v>79760.800000000192</c:v>
                </c:pt>
                <c:pt idx="58">
                  <c:v>61734.796666666778</c:v>
                </c:pt>
                <c:pt idx="59">
                  <c:v>77694.773333333578</c:v>
                </c:pt>
                <c:pt idx="60">
                  <c:v>77986.440000000206</c:v>
                </c:pt>
                <c:pt idx="61">
                  <c:v>78278.10666666695</c:v>
                </c:pt>
                <c:pt idx="62">
                  <c:v>72304.003333333385</c:v>
                </c:pt>
                <c:pt idx="63">
                  <c:v>60606.560000000085</c:v>
                </c:pt>
                <c:pt idx="64">
                  <c:v>63144.806666666671</c:v>
                </c:pt>
                <c:pt idx="65">
                  <c:v>49935.363333333313</c:v>
                </c:pt>
                <c:pt idx="66">
                  <c:v>54676.93000000008</c:v>
                </c:pt>
                <c:pt idx="67">
                  <c:v>53556.930000000255</c:v>
                </c:pt>
                <c:pt idx="68">
                  <c:v>28512.306666666758</c:v>
                </c:pt>
                <c:pt idx="69">
                  <c:v>4581.9433333335328</c:v>
                </c:pt>
                <c:pt idx="70">
                  <c:v>10930.639999999868</c:v>
                </c:pt>
                <c:pt idx="71">
                  <c:v>45066.055766666861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7-4491-8D68-F5AA4D920875}"/>
            </c:ext>
          </c:extLst>
        </c:ser>
        <c:ser>
          <c:idx val="3"/>
          <c:order val="3"/>
          <c:tx>
            <c:strRef>
              <c:f>'ETF Compression'!$ED$12</c:f>
              <c:strCache>
                <c:ptCount val="1"/>
                <c:pt idx="0">
                  <c:v> Cum HY($25M) vs IG($125M)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Compression'!$DZ$13:$DZ$800</c:f>
              <c:numCache>
                <c:formatCode>[$-409]d\-mmm\-yy;@</c:formatCode>
                <c:ptCount val="788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Compression'!$ED$13:$ED$800</c:f>
              <c:numCache>
                <c:formatCode>_("$"* #,##0_);_("$"* \(#,##0\);_("$"* "-"??_);_(@_)</c:formatCode>
                <c:ptCount val="788"/>
                <c:pt idx="0">
                  <c:v>0</c:v>
                </c:pt>
                <c:pt idx="1">
                  <c:v>0</c:v>
                </c:pt>
                <c:pt idx="2">
                  <c:v>-18356.249999999673</c:v>
                </c:pt>
                <c:pt idx="3">
                  <c:v>-21362.499999999811</c:v>
                </c:pt>
                <c:pt idx="4">
                  <c:v>-23600.000000000116</c:v>
                </c:pt>
                <c:pt idx="5">
                  <c:v>-19318.749999997926</c:v>
                </c:pt>
                <c:pt idx="6">
                  <c:v>-17593.750000000044</c:v>
                </c:pt>
                <c:pt idx="7">
                  <c:v>-24812.500000000058</c:v>
                </c:pt>
                <c:pt idx="8">
                  <c:v>-37681.250000000306</c:v>
                </c:pt>
                <c:pt idx="9">
                  <c:v>-37268.749999998763</c:v>
                </c:pt>
                <c:pt idx="10">
                  <c:v>-46199.999999999985</c:v>
                </c:pt>
                <c:pt idx="11">
                  <c:v>-50912.499999999374</c:v>
                </c:pt>
                <c:pt idx="12">
                  <c:v>-33781.249999997912</c:v>
                </c:pt>
                <c:pt idx="13">
                  <c:v>-43656.249999999913</c:v>
                </c:pt>
                <c:pt idx="14">
                  <c:v>-53468.749999997468</c:v>
                </c:pt>
                <c:pt idx="15">
                  <c:v>-51818.749999998472</c:v>
                </c:pt>
                <c:pt idx="16">
                  <c:v>-63437.499999997337</c:v>
                </c:pt>
                <c:pt idx="17">
                  <c:v>-69656.249999998021</c:v>
                </c:pt>
                <c:pt idx="18">
                  <c:v>-62643.749999998559</c:v>
                </c:pt>
                <c:pt idx="19">
                  <c:v>-44518.74999999976</c:v>
                </c:pt>
                <c:pt idx="20">
                  <c:v>-50331.250000000102</c:v>
                </c:pt>
                <c:pt idx="21">
                  <c:v>-36712.500000000073</c:v>
                </c:pt>
                <c:pt idx="22">
                  <c:v>-39499.999999999578</c:v>
                </c:pt>
                <c:pt idx="23">
                  <c:v>-38356.250000000684</c:v>
                </c:pt>
                <c:pt idx="24">
                  <c:v>-38399.999999999935</c:v>
                </c:pt>
                <c:pt idx="25">
                  <c:v>-38399.999999999935</c:v>
                </c:pt>
                <c:pt idx="26">
                  <c:v>-34574.999999997897</c:v>
                </c:pt>
                <c:pt idx="27">
                  <c:v>-50706.249999997221</c:v>
                </c:pt>
                <c:pt idx="28">
                  <c:v>-68574.999999997992</c:v>
                </c:pt>
                <c:pt idx="29">
                  <c:v>-71649.99999999805</c:v>
                </c:pt>
                <c:pt idx="30">
                  <c:v>-82387.499999998196</c:v>
                </c:pt>
                <c:pt idx="31">
                  <c:v>-98287.49999999741</c:v>
                </c:pt>
                <c:pt idx="32">
                  <c:v>-101506.24999999885</c:v>
                </c:pt>
                <c:pt idx="33">
                  <c:v>-93218.749999999389</c:v>
                </c:pt>
                <c:pt idx="34">
                  <c:v>-97381.250000000582</c:v>
                </c:pt>
                <c:pt idx="35">
                  <c:v>-95724.999999998137</c:v>
                </c:pt>
                <c:pt idx="36">
                  <c:v>-80531.249999997643</c:v>
                </c:pt>
                <c:pt idx="37">
                  <c:v>-75925.00000000032</c:v>
                </c:pt>
                <c:pt idx="38">
                  <c:v>-74462.499999997555</c:v>
                </c:pt>
                <c:pt idx="39">
                  <c:v>-73212.499999998661</c:v>
                </c:pt>
                <c:pt idx="40">
                  <c:v>-55624.999999998952</c:v>
                </c:pt>
                <c:pt idx="41">
                  <c:v>-65450.000000000466</c:v>
                </c:pt>
                <c:pt idx="42">
                  <c:v>-54312.499999999622</c:v>
                </c:pt>
                <c:pt idx="43">
                  <c:v>-50849.999999998428</c:v>
                </c:pt>
                <c:pt idx="44">
                  <c:v>-45762.49999999805</c:v>
                </c:pt>
                <c:pt idx="45">
                  <c:v>-37712.499999999185</c:v>
                </c:pt>
                <c:pt idx="46">
                  <c:v>-36531.250000000262</c:v>
                </c:pt>
                <c:pt idx="47">
                  <c:v>-42743.749999997905</c:v>
                </c:pt>
                <c:pt idx="48">
                  <c:v>-54474.999999999709</c:v>
                </c:pt>
                <c:pt idx="49">
                  <c:v>-61424.999999998719</c:v>
                </c:pt>
                <c:pt idx="50">
                  <c:v>-54349.999999998952</c:v>
                </c:pt>
                <c:pt idx="51">
                  <c:v>-49449.999999999185</c:v>
                </c:pt>
                <c:pt idx="52">
                  <c:v>-50937.500000000116</c:v>
                </c:pt>
                <c:pt idx="53">
                  <c:v>-69925</c:v>
                </c:pt>
                <c:pt idx="54">
                  <c:v>-81231.249999996973</c:v>
                </c:pt>
                <c:pt idx="55">
                  <c:v>-81231.249999996973</c:v>
                </c:pt>
                <c:pt idx="56">
                  <c:v>-88074.999999999389</c:v>
                </c:pt>
                <c:pt idx="57">
                  <c:v>-68987.499999997206</c:v>
                </c:pt>
                <c:pt idx="58">
                  <c:v>-82381.24999999904</c:v>
                </c:pt>
                <c:pt idx="59">
                  <c:v>-94862.499999997584</c:v>
                </c:pt>
                <c:pt idx="60">
                  <c:v>-94862.499999997584</c:v>
                </c:pt>
                <c:pt idx="61">
                  <c:v>-94862.499999997584</c:v>
                </c:pt>
                <c:pt idx="62">
                  <c:v>-109418.7500000007</c:v>
                </c:pt>
                <c:pt idx="63">
                  <c:v>-102143.74999999852</c:v>
                </c:pt>
                <c:pt idx="64">
                  <c:v>-114099.99999999825</c:v>
                </c:pt>
                <c:pt idx="65">
                  <c:v>-111943.74999999878</c:v>
                </c:pt>
                <c:pt idx="66">
                  <c:v>-106068.74999999985</c:v>
                </c:pt>
                <c:pt idx="67">
                  <c:v>-106124.99999999939</c:v>
                </c:pt>
                <c:pt idx="68">
                  <c:v>-119156.24999999875</c:v>
                </c:pt>
                <c:pt idx="69">
                  <c:v>-119612.4999999998</c:v>
                </c:pt>
                <c:pt idx="70">
                  <c:v>-111231.24999999846</c:v>
                </c:pt>
                <c:pt idx="71">
                  <c:v>-79893.437499998719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7-4491-8D68-F5AA4D92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76912"/>
        <c:axId val="1661764624"/>
      </c:lineChart>
      <c:dateAx>
        <c:axId val="1576676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64624"/>
        <c:crosses val="autoZero"/>
        <c:auto val="1"/>
        <c:lblOffset val="100"/>
        <c:baseTimeUnit val="days"/>
      </c:dateAx>
      <c:valAx>
        <c:axId val="1661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'IHYG vs Xover'!$K$12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'IHYG vs Xover'!$A$13:$A$49</c:f>
              <c:numCache>
                <c:formatCode>[$-409]d\-mmm\-yy;@</c:formatCode>
                <c:ptCount val="37"/>
                <c:pt idx="1">
                  <c:v>45950</c:v>
                </c:pt>
                <c:pt idx="2">
                  <c:v>45951</c:v>
                </c:pt>
                <c:pt idx="3">
                  <c:v>45952</c:v>
                </c:pt>
                <c:pt idx="4">
                  <c:v>45953</c:v>
                </c:pt>
                <c:pt idx="5">
                  <c:v>45954</c:v>
                </c:pt>
                <c:pt idx="6" formatCode="d\-mmm\-yy">
                  <c:v>45957</c:v>
                </c:pt>
                <c:pt idx="7" formatCode="d\-mmm\-yy">
                  <c:v>45958</c:v>
                </c:pt>
                <c:pt idx="8" formatCode="d\-mmm\-yy">
                  <c:v>45959</c:v>
                </c:pt>
                <c:pt idx="9" formatCode="d\-mmm\-yy">
                  <c:v>45960</c:v>
                </c:pt>
                <c:pt idx="10" formatCode="d\-mmm\-yy">
                  <c:v>45961</c:v>
                </c:pt>
                <c:pt idx="11" formatCode="d\-mmm\-yy">
                  <c:v>45964</c:v>
                </c:pt>
                <c:pt idx="12" formatCode="d\-mmm\-yy">
                  <c:v>45965</c:v>
                </c:pt>
                <c:pt idx="13" formatCode="d\-mmm\-yy">
                  <c:v>45966</c:v>
                </c:pt>
                <c:pt idx="14" formatCode="d\-mmm\-yy">
                  <c:v>45967</c:v>
                </c:pt>
                <c:pt idx="15" formatCode="d\-mmm\-yy">
                  <c:v>45968</c:v>
                </c:pt>
                <c:pt idx="16" formatCode="d\-mmm\-yy">
                  <c:v>45969</c:v>
                </c:pt>
                <c:pt idx="17" formatCode="d\-mmm\-yy">
                  <c:v>45970</c:v>
                </c:pt>
              </c:numCache>
            </c:numRef>
          </c:cat>
          <c:val>
            <c:numRef>
              <c:f>'IHYG vs Xover'!$K$13:$K$49</c:f>
              <c:numCache>
                <c:formatCode>_("$"* #,##0.00_);_("$"* \(#,##0.00\);_("$"* "-"??_);_(@_)</c:formatCode>
                <c:ptCount val="37"/>
                <c:pt idx="1">
                  <c:v>0</c:v>
                </c:pt>
                <c:pt idx="2" formatCode="_(&quot;$&quot;* #,##0_);_(&quot;$&quot;* \(#,##0\);_(&quot;$&quot;* &quot;-&quot;??_);_(@_)">
                  <c:v>-41659.936611159217</c:v>
                </c:pt>
                <c:pt idx="3" formatCode="_(&quot;$&quot;* #,##0_);_(&quot;$&quot;* \(#,##0\);_(&quot;$&quot;* &quot;-&quot;??_);_(@_)">
                  <c:v>-15482.680883137331</c:v>
                </c:pt>
                <c:pt idx="4" formatCode="_(&quot;$&quot;* #,##0_);_(&quot;$&quot;* \(#,##0\);_(&quot;$&quot;* &quot;-&quot;??_);_(@_)">
                  <c:v>23444.271205403038</c:v>
                </c:pt>
                <c:pt idx="5" formatCode="_(&quot;$&quot;* #,##0_);_(&quot;$&quot;* \(#,##0\);_(&quot;$&quot;* &quot;-&quot;??_);_(@_)">
                  <c:v>35498.51365687068</c:v>
                </c:pt>
                <c:pt idx="6" formatCode="_(&quot;$&quot;* #,##0_);_(&quot;$&quot;* \(#,##0\);_(&quot;$&quot;* &quot;-&quot;??_);_(@_)">
                  <c:v>38013.073021617165</c:v>
                </c:pt>
                <c:pt idx="7" formatCode="_(&quot;$&quot;* #,##0_);_(&quot;$&quot;* \(#,##0\);_(&quot;$&quot;* &quot;-&quot;??_);_(@_)">
                  <c:v>52776.293996004519</c:v>
                </c:pt>
                <c:pt idx="8" formatCode="_(&quot;$&quot;* #,##0_);_(&quot;$&quot;* \(#,##0\);_(&quot;$&quot;* &quot;-&quot;??_);_(@_)">
                  <c:v>42816.92066038656</c:v>
                </c:pt>
                <c:pt idx="9" formatCode="_(&quot;$&quot;* #,##0_);_(&quot;$&quot;* \(#,##0\);_(&quot;$&quot;* &quot;-&quot;??_);_(@_)">
                  <c:v>-15017.400813542106</c:v>
                </c:pt>
                <c:pt idx="10" formatCode="_(&quot;$&quot;* #,##0_);_(&quot;$&quot;* \(#,##0\);_(&quot;$&quot;* &quot;-&quot;??_);_(@_)">
                  <c:v>33014.640761720533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1-4DF8-9EF8-6A8F97146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93936"/>
        <c:axId val="155096336"/>
      </c:lineChart>
      <c:dateAx>
        <c:axId val="155093936"/>
        <c:scaling>
          <c:orientation val="minMax"/>
        </c:scaling>
        <c:delete val="0"/>
        <c:axPos val="b"/>
        <c:numFmt formatCode="[$-409]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6336"/>
        <c:crosses val="autoZero"/>
        <c:auto val="0"/>
        <c:lblOffset val="100"/>
        <c:baseTimeUnit val="days"/>
      </c:dateAx>
      <c:valAx>
        <c:axId val="15509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'XCCY AT1 HSBC'!$H$12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'XCCY AT1 HSBC'!$A$13:$A$41</c:f>
              <c:numCache>
                <c:formatCode>[$-409]d\-mmm\-yy;@</c:formatCode>
                <c:ptCount val="29"/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 formatCode="d\-mmm\-yy">
                  <c:v>45957</c:v>
                </c:pt>
                <c:pt idx="6" formatCode="d\-mmm\-yy">
                  <c:v>45958</c:v>
                </c:pt>
                <c:pt idx="7" formatCode="d\-mmm\-yy">
                  <c:v>45959</c:v>
                </c:pt>
                <c:pt idx="8" formatCode="d\-mmm\-yy">
                  <c:v>45960</c:v>
                </c:pt>
                <c:pt idx="9" formatCode="d\-mmm\-yy">
                  <c:v>45961</c:v>
                </c:pt>
                <c:pt idx="10" formatCode="d\-mmm\-yy">
                  <c:v>45964</c:v>
                </c:pt>
                <c:pt idx="11" formatCode="d\-mmm\-yy">
                  <c:v>45965</c:v>
                </c:pt>
                <c:pt idx="12" formatCode="d\-mmm\-yy">
                  <c:v>45966</c:v>
                </c:pt>
                <c:pt idx="13" formatCode="d\-mmm\-yy">
                  <c:v>45967</c:v>
                </c:pt>
                <c:pt idx="14" formatCode="d\-mmm\-yy">
                  <c:v>45968</c:v>
                </c:pt>
                <c:pt idx="15" formatCode="d\-mmm\-yy">
                  <c:v>45969</c:v>
                </c:pt>
                <c:pt idx="16" formatCode="d\-mmm\-yy">
                  <c:v>45970</c:v>
                </c:pt>
              </c:numCache>
            </c:numRef>
          </c:cat>
          <c:val>
            <c:numRef>
              <c:f>'XCCY AT1 HSBC'!$H$13:$H$41</c:f>
              <c:numCache>
                <c:formatCode>_("$"* #,##0_);_("$"* \(#,##0\);_("$"* "-"??_);_(@_)</c:formatCode>
                <c:ptCount val="29"/>
                <c:pt idx="1">
                  <c:v>0</c:v>
                </c:pt>
                <c:pt idx="2">
                  <c:v>-41084.211652360747</c:v>
                </c:pt>
                <c:pt idx="3">
                  <c:v>-35630.575304722821</c:v>
                </c:pt>
                <c:pt idx="4">
                  <c:v>-27608.778957082668</c:v>
                </c:pt>
                <c:pt idx="5">
                  <c:v>-5166.4939141678269</c:v>
                </c:pt>
                <c:pt idx="6">
                  <c:v>9237.7904334721643</c:v>
                </c:pt>
                <c:pt idx="7">
                  <c:v>13981.262781111629</c:v>
                </c:pt>
                <c:pt idx="8">
                  <c:v>-13501.808871250361</c:v>
                </c:pt>
                <c:pt idx="9">
                  <c:v>-11359.424523610436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B-42D6-8F30-7FAAE38F7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717824"/>
        <c:axId val="2129720704"/>
      </c:lineChart>
      <c:dateAx>
        <c:axId val="2129717824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20704"/>
        <c:crosses val="autoZero"/>
        <c:auto val="0"/>
        <c:lblOffset val="100"/>
        <c:baseTimeUnit val="days"/>
      </c:dateAx>
      <c:valAx>
        <c:axId val="21297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1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'XCCY NPS DB'!$H$12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'XCCY NPS DB'!$A$13:$A$41</c:f>
              <c:numCache>
                <c:formatCode>[$-409]d\-mmm\-yy;@</c:formatCode>
                <c:ptCount val="29"/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 formatCode="d\-mmm\-yy">
                  <c:v>45957</c:v>
                </c:pt>
                <c:pt idx="6" formatCode="d\-mmm\-yy">
                  <c:v>45958</c:v>
                </c:pt>
                <c:pt idx="7" formatCode="d\-mmm\-yy">
                  <c:v>45959</c:v>
                </c:pt>
                <c:pt idx="8" formatCode="d\-mmm\-yy">
                  <c:v>45960</c:v>
                </c:pt>
                <c:pt idx="9" formatCode="d\-mmm\-yy">
                  <c:v>45961</c:v>
                </c:pt>
                <c:pt idx="10" formatCode="d\-mmm\-yy">
                  <c:v>45964</c:v>
                </c:pt>
                <c:pt idx="11" formatCode="d\-mmm\-yy">
                  <c:v>45965</c:v>
                </c:pt>
                <c:pt idx="12" formatCode="d\-mmm\-yy">
                  <c:v>45966</c:v>
                </c:pt>
                <c:pt idx="13" formatCode="d\-mmm\-yy">
                  <c:v>45967</c:v>
                </c:pt>
                <c:pt idx="14" formatCode="d\-mmm\-yy">
                  <c:v>45968</c:v>
                </c:pt>
                <c:pt idx="15" formatCode="d\-mmm\-yy">
                  <c:v>45969</c:v>
                </c:pt>
                <c:pt idx="16" formatCode="d\-mmm\-yy">
                  <c:v>45970</c:v>
                </c:pt>
              </c:numCache>
            </c:numRef>
          </c:cat>
          <c:val>
            <c:numRef>
              <c:f>'XCCY NPS DB'!$H$13:$H$41</c:f>
              <c:numCache>
                <c:formatCode>_("$"* #,##0_);_("$"* \(#,##0\);_("$"* "-"??_);_(@_)</c:formatCode>
                <c:ptCount val="29"/>
                <c:pt idx="1">
                  <c:v>0</c:v>
                </c:pt>
                <c:pt idx="2">
                  <c:v>-17752.560023421785</c:v>
                </c:pt>
                <c:pt idx="3">
                  <c:v>-7777.2800468382784</c:v>
                </c:pt>
                <c:pt idx="4">
                  <c:v>16514.669929740554</c:v>
                </c:pt>
                <c:pt idx="5">
                  <c:v>-4227.8201405180034</c:v>
                </c:pt>
                <c:pt idx="6">
                  <c:v>10674.24983606257</c:v>
                </c:pt>
                <c:pt idx="7">
                  <c:v>562.15981264076618</c:v>
                </c:pt>
                <c:pt idx="8">
                  <c:v>-58529.340210775874</c:v>
                </c:pt>
                <c:pt idx="9">
                  <c:v>-74630.710234196129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9-4333-86B4-20944A2F7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717824"/>
        <c:axId val="2129720704"/>
      </c:lineChart>
      <c:dateAx>
        <c:axId val="2129717824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20704"/>
        <c:crosses val="autoZero"/>
        <c:auto val="0"/>
        <c:lblOffset val="100"/>
        <c:baseTimeUnit val="days"/>
      </c:dateAx>
      <c:valAx>
        <c:axId val="21297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1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'ACAFP vs SOCGEN'!$H$12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'ACAFP vs SOCGEN'!$A$13:$A$326</c:f>
              <c:numCache>
                <c:formatCode>d\-mmm\-yy</c:formatCode>
                <c:ptCount val="300"/>
                <c:pt idx="1">
                  <c:v>45957</c:v>
                </c:pt>
                <c:pt idx="2">
                  <c:v>45958</c:v>
                </c:pt>
                <c:pt idx="3">
                  <c:v>45959</c:v>
                </c:pt>
                <c:pt idx="4">
                  <c:v>45960</c:v>
                </c:pt>
                <c:pt idx="5">
                  <c:v>45961</c:v>
                </c:pt>
                <c:pt idx="6">
                  <c:v>45964</c:v>
                </c:pt>
                <c:pt idx="7">
                  <c:v>45965</c:v>
                </c:pt>
                <c:pt idx="8">
                  <c:v>45966</c:v>
                </c:pt>
                <c:pt idx="9">
                  <c:v>45967</c:v>
                </c:pt>
              </c:numCache>
            </c:numRef>
          </c:cat>
          <c:val>
            <c:numRef>
              <c:f>'ACAFP vs SOCGEN'!$H$13:$H$326</c:f>
              <c:numCache>
                <c:formatCode>_("$"* #,##0.00_);_("$"* \(#,##0.00\);_("$"* "-"??_);_(@_)</c:formatCode>
                <c:ptCount val="300"/>
                <c:pt idx="1">
                  <c:v>0</c:v>
                </c:pt>
                <c:pt idx="2" formatCode="_(&quot;$&quot;* #,##0_);_(&quot;$&quot;* \(#,##0\);_(&quot;$&quot;* &quot;-&quot;??_);_(@_)">
                  <c:v>-43183.133333333586</c:v>
                </c:pt>
                <c:pt idx="3" formatCode="_(&quot;$&quot;* #,##0_);_(&quot;$&quot;* \(#,##0\);_(&quot;$&quot;* &quot;-&quot;??_);_(@_)">
                  <c:v>-90126.266666666925</c:v>
                </c:pt>
                <c:pt idx="4" formatCode="_(&quot;$&quot;* #,##0_);_(&quot;$&quot;* \(#,##0\);_(&quot;$&quot;* &quot;-&quot;??_);_(@_)">
                  <c:v>-74189.400000000169</c:v>
                </c:pt>
                <c:pt idx="5" formatCode="_(&quot;$&quot;* #,##0_);_(&quot;$&quot;* \(#,##0\);_(&quot;$&quot;* &quot;-&quot;??_);_(@_)">
                  <c:v>-100892.53333333349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AE-4BB6-8716-E0ED3F97D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81952"/>
        <c:axId val="26282432"/>
      </c:lineChart>
      <c:dateAx>
        <c:axId val="26281952"/>
        <c:scaling>
          <c:orientation val="minMax"/>
        </c:scaling>
        <c:delete val="0"/>
        <c:axPos val="b"/>
        <c:numFmt formatCode="[$-409]d\-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2432"/>
        <c:crosses val="autoZero"/>
        <c:auto val="0"/>
        <c:lblOffset val="100"/>
        <c:baseTimeUnit val="days"/>
      </c:dateAx>
      <c:valAx>
        <c:axId val="2628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70484</xdr:colOff>
      <xdr:row>0</xdr:row>
      <xdr:rowOff>114300</xdr:rowOff>
    </xdr:from>
    <xdr:to>
      <xdr:col>24</xdr:col>
      <xdr:colOff>309563</xdr:colOff>
      <xdr:row>20</xdr:row>
      <xdr:rowOff>85566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CB0771-D5E7-4115-8881-1597DFE0D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213360</xdr:colOff>
      <xdr:row>3</xdr:row>
      <xdr:rowOff>306705</xdr:rowOff>
    </xdr:from>
    <xdr:to>
      <xdr:col>28</xdr:col>
      <xdr:colOff>7620</xdr:colOff>
      <xdr:row>25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153AE6-2945-FBC3-6353-23F5A0DBE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68579</xdr:colOff>
      <xdr:row>1</xdr:row>
      <xdr:rowOff>190500</xdr:rowOff>
    </xdr:from>
    <xdr:to>
      <xdr:col>25</xdr:col>
      <xdr:colOff>112395</xdr:colOff>
      <xdr:row>22</xdr:row>
      <xdr:rowOff>127635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0C2906-959A-57EE-762F-14A38FD3E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2</xdr:row>
      <xdr:rowOff>47625</xdr:rowOff>
    </xdr:from>
    <xdr:to>
      <xdr:col>23</xdr:col>
      <xdr:colOff>533400</xdr:colOff>
      <xdr:row>22</xdr:row>
      <xdr:rowOff>90488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932FE9-17F6-7D07-65BB-F65111783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278130</xdr:colOff>
      <xdr:row>1</xdr:row>
      <xdr:rowOff>142875</xdr:rowOff>
    </xdr:from>
    <xdr:to>
      <xdr:col>31</xdr:col>
      <xdr:colOff>318135</xdr:colOff>
      <xdr:row>20</xdr:row>
      <xdr:rowOff>63818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839D4A-2EFA-308D-3DF1-59BDA99D5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247649</xdr:colOff>
      <xdr:row>2</xdr:row>
      <xdr:rowOff>138113</xdr:rowOff>
    </xdr:from>
    <xdr:to>
      <xdr:col>24</xdr:col>
      <xdr:colOff>533400</xdr:colOff>
      <xdr:row>25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27F47F-11DF-D5C3-629A-6903829B9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295275</xdr:colOff>
      <xdr:row>3</xdr:row>
      <xdr:rowOff>204788</xdr:rowOff>
    </xdr:from>
    <xdr:to>
      <xdr:col>32</xdr:col>
      <xdr:colOff>110490</xdr:colOff>
      <xdr:row>21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514678-0266-85A1-6C9C-9262DF48E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508905</xdr:colOff>
      <xdr:row>2</xdr:row>
      <xdr:rowOff>5441</xdr:rowOff>
    </xdr:from>
    <xdr:to>
      <xdr:col>45</xdr:col>
      <xdr:colOff>533672</xdr:colOff>
      <xdr:row>25</xdr:row>
      <xdr:rowOff>20682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CDFA-F128-4088-7BC0-BC0B620A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139335</xdr:colOff>
      <xdr:row>3</xdr:row>
      <xdr:rowOff>131445</xdr:rowOff>
    </xdr:from>
    <xdr:to>
      <xdr:col>43</xdr:col>
      <xdr:colOff>490945</xdr:colOff>
      <xdr:row>26</xdr:row>
      <xdr:rowOff>14424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B78393-8049-C0BB-AC1B-8209BA59A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6</xdr:row>
      <xdr:rowOff>104775</xdr:rowOff>
    </xdr:from>
    <xdr:to>
      <xdr:col>27</xdr:col>
      <xdr:colOff>495300</xdr:colOff>
      <xdr:row>26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14D2E0-C73B-55AF-D6A4-7018E1A51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4</xdr:row>
      <xdr:rowOff>71438</xdr:rowOff>
    </xdr:from>
    <xdr:to>
      <xdr:col>23</xdr:col>
      <xdr:colOff>209550</xdr:colOff>
      <xdr:row>41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1B0BA-72F4-4E2F-BBCC-4D1C51AD3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152400</xdr:colOff>
      <xdr:row>10</xdr:row>
      <xdr:rowOff>100013</xdr:rowOff>
    </xdr:from>
    <xdr:to>
      <xdr:col>29</xdr:col>
      <xdr:colOff>556260</xdr:colOff>
      <xdr:row>47</xdr:row>
      <xdr:rowOff>36195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08817-5160-4A39-A77B-2D3707BFF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110</xdr:col>
      <xdr:colOff>354420</xdr:colOff>
      <xdr:row>1</xdr:row>
      <xdr:rowOff>156573</xdr:rowOff>
    </xdr:from>
    <xdr:to>
      <xdr:col>133</xdr:col>
      <xdr:colOff>1793966</xdr:colOff>
      <xdr:row>41</xdr:row>
      <xdr:rowOff>135981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7A5E9-76C9-D9EC-F78B-6E67C6B7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95250</xdr:colOff>
      <xdr:row>6</xdr:row>
      <xdr:rowOff>9525</xdr:rowOff>
    </xdr:from>
    <xdr:to>
      <xdr:col>28</xdr:col>
      <xdr:colOff>552450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87A53-85DA-4131-B6B7-A40B9F444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485775</xdr:colOff>
      <xdr:row>5</xdr:row>
      <xdr:rowOff>1905</xdr:rowOff>
    </xdr:from>
    <xdr:to>
      <xdr:col>22</xdr:col>
      <xdr:colOff>525780</xdr:colOff>
      <xdr:row>24</xdr:row>
      <xdr:rowOff>155258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1B6B15-725B-47F1-A953-098B10589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104775</xdr:colOff>
      <xdr:row>6</xdr:row>
      <xdr:rowOff>11430</xdr:rowOff>
    </xdr:from>
    <xdr:to>
      <xdr:col>22</xdr:col>
      <xdr:colOff>144780</xdr:colOff>
      <xdr:row>25</xdr:row>
      <xdr:rowOff>164783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3BA2EE-2C1D-465B-ABFF-DBD8110A3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209549</xdr:colOff>
      <xdr:row>5</xdr:row>
      <xdr:rowOff>114300</xdr:rowOff>
    </xdr:from>
    <xdr:to>
      <xdr:col>23</xdr:col>
      <xdr:colOff>452438</xdr:colOff>
      <xdr:row>40</xdr:row>
      <xdr:rowOff>114141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160D00-686A-4207-BDD1-7107D64F1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mailto:ZK885444@BGN%20Corp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hyperlink" Target="mailto:BP772773@IBVL%20Corp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0A33-778A-4860-BAEB-6AEE792197E9}">
  <dimension ref="A1:E17"/>
  <sheetViews>
    <sheetView workbookViewId="0"/>
  </sheetViews>
  <sheetFormatPr defaultColWidth="8.88671875" defaultRowHeight="14.4" x14ac:dyDescent="0.3"/>
  <cols>
    <col min="1" max="1" width="8.88671875" style="3"/>
    <col min="2" max="2" width="18.33203125" style="158" bestFit="1" customWidth="1"/>
    <col min="3" max="3" width="11.6640625" style="160" bestFit="1" customWidth="1"/>
    <col min="4" max="4" width="11.6640625" style="160" hidden="1" customWidth="1"/>
    <col min="5" max="5" width="11.109375" style="162" bestFit="1" customWidth="1"/>
    <col min="6" max="16384" width="8.88671875" style="3"/>
  </cols>
  <sheetData>
    <row r="1" spans="1:5" x14ac:dyDescent="0.3">
      <c r="A1" s="157" t="s">
        <v>160</v>
      </c>
      <c r="B1" s="157" t="s">
        <v>161</v>
      </c>
      <c r="C1" s="159" t="s">
        <v>162</v>
      </c>
      <c r="D1" s="159" t="s">
        <v>178</v>
      </c>
      <c r="E1" s="161" t="s">
        <v>163</v>
      </c>
    </row>
    <row r="2" spans="1:5" x14ac:dyDescent="0.3">
      <c r="A2" s="3">
        <v>1</v>
      </c>
      <c r="B2" s="158" t="s">
        <v>164</v>
      </c>
      <c r="C2" s="160" cm="1">
        <f t="array" aca="1" ref="C2" ca="1">INDIRECT("'" &amp; B2 &amp; "'!A14")</f>
        <v>45903</v>
      </c>
      <c r="D2" s="160" t="s">
        <v>179</v>
      </c>
      <c r="E2" s="162" cm="1">
        <f t="array" aca="1" ref="E2" ca="1">_xlfn.LET(_xlpm.r,INDIRECT("'" &amp; B2 &amp; "'!" &amp; D2 &amp; ":" &amp; D2),LOOKUP(2,1/(ISNUMBER(_xlpm.r)),_xlpm.r))</f>
        <v>64106.93628333346</v>
      </c>
    </row>
    <row r="3" spans="1:5" x14ac:dyDescent="0.3">
      <c r="A3" s="3">
        <v>2</v>
      </c>
      <c r="B3" s="158" t="s">
        <v>177</v>
      </c>
      <c r="C3" s="160" cm="1">
        <f t="array" aca="1" ref="C3" ca="1">INDIRECT("'" &amp; B3 &amp; "'!A14")</f>
        <v>45924</v>
      </c>
      <c r="D3" s="160" t="s">
        <v>180</v>
      </c>
      <c r="E3" s="162" cm="1">
        <f t="array" aca="1" ref="E3" ca="1">_xlfn.LET(_xlpm.r,INDIRECT("'" &amp; B3 &amp; "'!" &amp; D3 &amp; ":" &amp; D3),LOOKUP(2,1/(ISNUMBER(_xlpm.r)),_xlpm.r))</f>
        <v>39733.350324444495</v>
      </c>
    </row>
    <row r="4" spans="1:5" x14ac:dyDescent="0.3">
      <c r="A4" s="3">
        <v>3</v>
      </c>
      <c r="B4" s="158" t="s">
        <v>165</v>
      </c>
      <c r="C4" s="160" cm="1">
        <f t="array" aca="1" ref="C4" ca="1">INDIRECT("'" &amp; B4 &amp; "'!A14")</f>
        <v>45925</v>
      </c>
      <c r="D4" s="160" t="s">
        <v>181</v>
      </c>
      <c r="E4" s="162" cm="1">
        <f t="array" aca="1" ref="E4" ca="1">_xlfn.LET(_xlpm.r,INDIRECT("'" &amp; B4 &amp; "'!" &amp; D4 &amp; ":" &amp; D4),LOOKUP(2,1/(ISNUMBER(_xlpm.r)),_xlpm.r))</f>
        <v>-1832.6259999999857</v>
      </c>
    </row>
    <row r="5" spans="1:5" x14ac:dyDescent="0.3">
      <c r="A5" s="3">
        <v>4</v>
      </c>
      <c r="B5" s="158" t="s">
        <v>166</v>
      </c>
      <c r="C5" s="160" cm="1">
        <f t="array" aca="1" ref="C5" ca="1">INDIRECT("'" &amp; B5 &amp; "'!A14")</f>
        <v>45930</v>
      </c>
      <c r="D5" s="160" t="s">
        <v>181</v>
      </c>
      <c r="E5" s="162" cm="1">
        <f t="array" aca="1" ref="E5" ca="1">_xlfn.LET(_xlpm.r,INDIRECT("'" &amp; B5 &amp; "'!" &amp; D5 &amp; ":" &amp; D5),LOOKUP(2,1/(ISNUMBER(_xlpm.r)),_xlpm.r))</f>
        <v>88447.421527777682</v>
      </c>
    </row>
    <row r="6" spans="1:5" x14ac:dyDescent="0.3">
      <c r="A6" s="3">
        <v>5</v>
      </c>
      <c r="B6" s="158" t="s">
        <v>167</v>
      </c>
      <c r="C6" s="160" cm="1">
        <f t="array" aca="1" ref="C6" ca="1">INDIRECT("'" &amp; B6 &amp; "'!A14")</f>
        <v>45931</v>
      </c>
      <c r="D6" s="160" t="s">
        <v>182</v>
      </c>
      <c r="E6" s="162" cm="1">
        <f t="array" aca="1" ref="E6" ca="1">_xlfn.LET(_xlpm.r,INDIRECT("'" &amp; B6 &amp; "'!" &amp; D6 &amp; ":" &amp; D6),LOOKUP(2,1/(ISNUMBER(_xlpm.r)),_xlpm.r))</f>
        <v>-7160.4009000010992</v>
      </c>
    </row>
    <row r="7" spans="1:5" x14ac:dyDescent="0.3">
      <c r="A7" s="3">
        <v>6</v>
      </c>
      <c r="B7" s="158" t="s">
        <v>168</v>
      </c>
      <c r="C7" s="160" cm="1">
        <f t="array" aca="1" ref="C7" ca="1">INDIRECT("'" &amp; B7 &amp; "'!A14")</f>
        <v>45933</v>
      </c>
      <c r="D7" s="160" t="s">
        <v>181</v>
      </c>
      <c r="E7" s="162" cm="1">
        <f t="array" aca="1" ref="E7" ca="1">_xlfn.LET(_xlpm.r,INDIRECT("'" &amp; B7 &amp; "'!" &amp; D7 &amp; ":" &amp; D7),LOOKUP(2,1/(ISNUMBER(_xlpm.r)),_xlpm.r))</f>
        <v>-11312.504767777715</v>
      </c>
    </row>
    <row r="8" spans="1:5" x14ac:dyDescent="0.3">
      <c r="A8" s="3">
        <v>7</v>
      </c>
      <c r="B8" s="158" t="s">
        <v>169</v>
      </c>
      <c r="C8" s="160" cm="1">
        <f t="array" aca="1" ref="C8" ca="1">INDIRECT("'" &amp; B8 &amp; "'!A14")</f>
        <v>45937</v>
      </c>
      <c r="D8" s="160" t="s">
        <v>182</v>
      </c>
      <c r="E8" s="162" cm="1">
        <f t="array" aca="1" ref="E8" ca="1">_xlfn.LET(_xlpm.r,INDIRECT("'" &amp; B8 &amp; "'!" &amp; D8 &amp; ":" &amp; D8),LOOKUP(2,1/(ISNUMBER(_xlpm.r)),_xlpm.r))</f>
        <v>-723.69611612557492</v>
      </c>
    </row>
    <row r="9" spans="1:5" x14ac:dyDescent="0.3">
      <c r="A9" s="3">
        <v>8</v>
      </c>
      <c r="B9" s="158" t="s">
        <v>170</v>
      </c>
      <c r="C9" s="160" cm="1">
        <f t="array" aca="1" ref="C9" ca="1">INDIRECT("'" &amp; B9 &amp; "'!A14")</f>
        <v>45915</v>
      </c>
      <c r="D9" s="160" t="s">
        <v>183</v>
      </c>
      <c r="E9" s="162" cm="1">
        <f t="array" aca="1" ref="E9" ca="1">_xlfn.LET(_xlpm.r,INDIRECT("'" &amp; B9 &amp; "'!" &amp; D9 &amp; ":" &amp; D9),LOOKUP(2,1/(ISNUMBER(_xlpm.r)),_xlpm.r))</f>
        <v>172855.44071902343</v>
      </c>
    </row>
    <row r="10" spans="1:5" x14ac:dyDescent="0.3">
      <c r="A10" s="3">
        <v>9</v>
      </c>
      <c r="B10" s="158" t="s">
        <v>171</v>
      </c>
      <c r="C10" s="160" cm="1">
        <f t="array" aca="1" ref="C10" ca="1">INDIRECT("'" &amp; B10 &amp; "'!A14")</f>
        <v>45925</v>
      </c>
      <c r="D10" s="160" t="s">
        <v>183</v>
      </c>
      <c r="E10" s="162" cm="1">
        <f t="array" aca="1" ref="E10" ca="1">_xlfn.LET(_xlpm.r,INDIRECT("'" &amp; B10 &amp; "'!" &amp; D10 &amp; ":" &amp; D10),LOOKUP(2,1/(ISNUMBER(_xlpm.r)),_xlpm.r))</f>
        <v>-88334.521472552675</v>
      </c>
    </row>
    <row r="11" spans="1:5" x14ac:dyDescent="0.3">
      <c r="A11" s="3">
        <v>10</v>
      </c>
      <c r="B11" s="158" t="s">
        <v>172</v>
      </c>
      <c r="C11" s="160" cm="1">
        <f t="array" aca="1" ref="C11" ca="1">INDIRECT("'" &amp; B11 &amp; "'!A14")</f>
        <v>45938</v>
      </c>
      <c r="D11" s="160" t="s">
        <v>180</v>
      </c>
      <c r="E11" s="162" cm="1">
        <f t="array" aca="1" ref="E11" ca="1">_xlfn.LET(_xlpm.r,INDIRECT("'" &amp; B11 &amp; "'!" &amp; D11 &amp; ":" &amp; D11),LOOKUP(2,1/(ISNUMBER(_xlpm.r)),_xlpm.r))</f>
        <v>-16497.324602430621</v>
      </c>
    </row>
    <row r="12" spans="1:5" x14ac:dyDescent="0.3">
      <c r="A12" s="3">
        <v>11</v>
      </c>
      <c r="B12" s="158" t="s">
        <v>173</v>
      </c>
      <c r="C12" s="160" cm="1">
        <f t="array" aca="1" ref="C12" ca="1">INDIRECT("'" &amp; B12 &amp; "'!A14")</f>
        <v>45939</v>
      </c>
      <c r="D12" s="160" t="s">
        <v>184</v>
      </c>
      <c r="E12" s="162" cm="1">
        <f t="array" aca="1" ref="E12" ca="1">_xlfn.LET(_xlpm.r,INDIRECT("'" &amp; B12 &amp; "'!" &amp; D12 &amp; ":" &amp; D12),LOOKUP(2,1/(ISNUMBER(_xlpm.r)),_xlpm.r))</f>
        <v>-72123.111111111022</v>
      </c>
    </row>
    <row r="13" spans="1:5" x14ac:dyDescent="0.3">
      <c r="A13" s="3">
        <v>12</v>
      </c>
      <c r="B13" s="158" t="s">
        <v>189</v>
      </c>
      <c r="C13" s="160" cm="1">
        <f t="array" aca="1" ref="C13" ca="1">INDIRECT("'" &amp; B13 &amp; "'!A14")</f>
        <v>45960</v>
      </c>
      <c r="D13" s="160" t="s">
        <v>184</v>
      </c>
      <c r="E13" s="162" cm="1">
        <f t="array" aca="1" ref="E13" ca="1">_xlfn.LET(_xlpm.r,INDIRECT("'" &amp; B13 &amp; "'!" &amp; D13 &amp; ":" &amp; D13),LOOKUP(2,1/(ISNUMBER(_xlpm.r)),_xlpm.r))</f>
        <v>-70584.111111111255</v>
      </c>
    </row>
    <row r="14" spans="1:5" x14ac:dyDescent="0.3">
      <c r="A14" s="3">
        <v>13</v>
      </c>
      <c r="B14" s="158" t="s">
        <v>174</v>
      </c>
      <c r="C14" s="160" cm="1">
        <f t="array" aca="1" ref="C14" ca="1">INDIRECT("'" &amp; B14 &amp; "'!A14")</f>
        <v>45950</v>
      </c>
      <c r="D14" s="160" t="s">
        <v>180</v>
      </c>
      <c r="E14" s="162" cm="1">
        <f t="array" aca="1" ref="E14" ca="1">_xlfn.LET(_xlpm.r,INDIRECT("'" &amp; B14 &amp; "'!" &amp; D14 &amp; ":" &amp; D14),LOOKUP(2,1/(ISNUMBER(_xlpm.r)),_xlpm.r))</f>
        <v>33014.640761720533</v>
      </c>
    </row>
    <row r="15" spans="1:5" x14ac:dyDescent="0.3">
      <c r="A15" s="3">
        <v>14</v>
      </c>
      <c r="B15" s="158" t="s">
        <v>175</v>
      </c>
      <c r="C15" s="160" cm="1">
        <f t="array" aca="1" ref="C15" ca="1">INDIRECT("'" &amp; B15 &amp; "'!A14")</f>
        <v>45951</v>
      </c>
      <c r="D15" s="160" t="s">
        <v>181</v>
      </c>
      <c r="E15" s="162" cm="1">
        <f t="array" aca="1" ref="E15" ca="1">_xlfn.LET(_xlpm.r,INDIRECT("'" &amp; B15 &amp; "'!" &amp; D15 &amp; ":" &amp; D15),LOOKUP(2,1/(ISNUMBER(_xlpm.r)),_xlpm.r))</f>
        <v>-11359.424523610436</v>
      </c>
    </row>
    <row r="16" spans="1:5" x14ac:dyDescent="0.3">
      <c r="A16" s="3">
        <v>15</v>
      </c>
      <c r="B16" s="158" t="s">
        <v>176</v>
      </c>
      <c r="C16" s="160" cm="1">
        <f t="array" aca="1" ref="C16" ca="1">INDIRECT("'" &amp; B16 &amp; "'!A14")</f>
        <v>45951</v>
      </c>
      <c r="D16" s="160" t="s">
        <v>181</v>
      </c>
      <c r="E16" s="162" cm="1">
        <f t="array" aca="1" ref="E16" ca="1">_xlfn.LET(_xlpm.r,INDIRECT("'" &amp; B16 &amp; "'!" &amp; D16 &amp; ":" &amp; D16),LOOKUP(2,1/(ISNUMBER(_xlpm.r)),_xlpm.r))</f>
        <v>-74630.710234196129</v>
      </c>
    </row>
    <row r="17" spans="1:5" x14ac:dyDescent="0.3">
      <c r="A17" s="3">
        <v>16</v>
      </c>
      <c r="B17" s="158" t="s">
        <v>187</v>
      </c>
      <c r="C17" s="160" cm="1">
        <f t="array" aca="1" ref="C17" ca="1">INDIRECT("'" &amp; B17 &amp; "'!A14")</f>
        <v>45957</v>
      </c>
      <c r="D17" s="160" t="s">
        <v>181</v>
      </c>
      <c r="E17" s="162" cm="1">
        <f t="array" aca="1" ref="E17" ca="1">_xlfn.LET(_xlpm.r,INDIRECT("'" &amp; B17 &amp; "'!" &amp; D17 &amp; ":" &amp; D17),LOOKUP(2,1/(ISNUMBER(_xlpm.r)),_xlpm.r))</f>
        <v>-100892.53333333349</v>
      </c>
    </row>
  </sheetData>
  <conditionalFormatting sqref="E1:E1048576">
    <cfRule type="cellIs" dxfId="19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4EB3-E9DA-47F3-99A4-35DC8ACE8CC9}">
  <dimension ref="A1:N154"/>
  <sheetViews>
    <sheetView topLeftCell="F42" zoomScale="80" zoomScaleNormal="80" workbookViewId="0">
      <selection activeCell="A58" sqref="A58:A64"/>
    </sheetView>
  </sheetViews>
  <sheetFormatPr defaultColWidth="9.109375" defaultRowHeight="14.4" x14ac:dyDescent="0.3"/>
  <cols>
    <col min="1" max="1" width="15.44140625" style="3" bestFit="1" customWidth="1"/>
    <col min="2" max="2" width="21.33203125" style="3" bestFit="1" customWidth="1"/>
    <col min="3" max="3" width="19.109375" style="3" bestFit="1" customWidth="1"/>
    <col min="4" max="4" width="11.33203125" style="58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9.33203125" style="3" bestFit="1" customWidth="1"/>
    <col min="9" max="9" width="12" style="82" bestFit="1" customWidth="1"/>
    <col min="10" max="10" width="10.6640625" style="3" bestFit="1" customWidth="1"/>
    <col min="11" max="11" width="15.6640625" style="3" hidden="1" customWidth="1"/>
    <col min="12" max="12" width="8" style="3" hidden="1" customWidth="1"/>
    <col min="13" max="13" width="15.6640625" style="3" hidden="1" customWidth="1"/>
    <col min="14" max="14" width="9.109375" style="3" hidden="1" customWidth="1"/>
    <col min="15" max="16384" width="9.109375" style="3"/>
  </cols>
  <sheetData>
    <row r="1" spans="1:14" ht="15" thickBot="1" x14ac:dyDescent="0.35">
      <c r="A1" s="1"/>
      <c r="B1" s="1"/>
      <c r="C1" s="1"/>
      <c r="D1" s="31"/>
      <c r="E1" s="1"/>
      <c r="F1" s="1"/>
      <c r="G1" s="1"/>
      <c r="H1" s="1"/>
      <c r="I1" s="1"/>
      <c r="J1" s="1"/>
      <c r="K1" s="52"/>
    </row>
    <row r="2" spans="1:14" ht="15" thickBot="1" x14ac:dyDescent="0.35">
      <c r="A2" s="14"/>
      <c r="B2" s="27" t="s">
        <v>0</v>
      </c>
      <c r="C2" s="28" t="s">
        <v>1</v>
      </c>
      <c r="D2" s="31"/>
      <c r="E2" s="124" t="s">
        <v>101</v>
      </c>
      <c r="F2" s="125">
        <v>0.625</v>
      </c>
      <c r="K2" s="27" t="s">
        <v>0</v>
      </c>
      <c r="M2" s="28" t="s">
        <v>1</v>
      </c>
    </row>
    <row r="3" spans="1:14" ht="15" thickBot="1" x14ac:dyDescent="0.35">
      <c r="A3" s="14" t="s">
        <v>32</v>
      </c>
      <c r="B3" s="15" t="s">
        <v>5</v>
      </c>
      <c r="C3" s="5" t="s">
        <v>6</v>
      </c>
      <c r="D3" s="31"/>
      <c r="E3" s="1"/>
      <c r="K3" s="123" cm="1">
        <f t="array" ref="K3:L143">_xll.BDH(B4, "LAST_PRICE", "01/01/2025 15:00:00", "01/01/2035 16:00:00", "BarSize=60", "BarType=T", "RecurDaily=True", "TZ=London")</f>
        <v>45768.625</v>
      </c>
      <c r="L3" s="3">
        <v>127.057</v>
      </c>
      <c r="M3" s="123" cm="1">
        <f t="array" ref="M3:N137">_xll.BDH(C4, "LAST_PRICE", "01/01/2025 15:00:00", "01/01/2035 16:00:00", "BarSize=60", "BarType=T", "RecurDaily=True", "TZ=London")</f>
        <v>45768.625</v>
      </c>
      <c r="N3" s="3">
        <v>93.224999999999994</v>
      </c>
    </row>
    <row r="4" spans="1:14" ht="30" customHeight="1" thickBot="1" x14ac:dyDescent="0.35">
      <c r="A4" s="15" t="s">
        <v>33</v>
      </c>
      <c r="B4" s="17" t="s">
        <v>34</v>
      </c>
      <c r="C4" s="6" t="s">
        <v>35</v>
      </c>
      <c r="D4" s="31"/>
      <c r="E4" s="29" t="s">
        <v>2</v>
      </c>
      <c r="F4" s="24">
        <v>45919</v>
      </c>
      <c r="G4" s="25">
        <v>45922</v>
      </c>
      <c r="H4" s="26" t="s">
        <v>3</v>
      </c>
      <c r="I4" s="23" t="s">
        <v>4</v>
      </c>
      <c r="K4" s="123">
        <v>45769.625</v>
      </c>
      <c r="L4" s="3">
        <v>128.417</v>
      </c>
      <c r="M4" s="123">
        <v>45769.625</v>
      </c>
      <c r="N4" s="3">
        <v>93.620999999999995</v>
      </c>
    </row>
    <row r="5" spans="1:14" x14ac:dyDescent="0.3">
      <c r="A5" s="15" t="s">
        <v>8</v>
      </c>
      <c r="B5" s="18">
        <v>25000000</v>
      </c>
      <c r="C5" s="8">
        <v>7500000</v>
      </c>
      <c r="D5" s="31"/>
      <c r="E5" s="15" t="s">
        <v>7</v>
      </c>
      <c r="F5" s="1">
        <v>90.555000000000007</v>
      </c>
      <c r="G5" s="1">
        <v>91.102000000000004</v>
      </c>
      <c r="H5" s="1">
        <f>G5-F5</f>
        <v>0.54699999999999704</v>
      </c>
      <c r="I5" s="5"/>
      <c r="K5" s="123">
        <v>45770.625</v>
      </c>
      <c r="L5" s="3">
        <v>120.089</v>
      </c>
      <c r="M5" s="123">
        <v>45770.625</v>
      </c>
      <c r="N5" s="3">
        <v>94.974999999999994</v>
      </c>
    </row>
    <row r="6" spans="1:14" x14ac:dyDescent="0.3">
      <c r="A6" s="15" t="s">
        <v>10</v>
      </c>
      <c r="B6" s="19">
        <v>0.01</v>
      </c>
      <c r="C6" s="10">
        <v>6.7000000000000004E-2</v>
      </c>
      <c r="D6" s="31"/>
      <c r="E6" s="15" t="s">
        <v>9</v>
      </c>
      <c r="F6" s="1">
        <v>91.418000000000006</v>
      </c>
      <c r="G6" s="1"/>
      <c r="H6" s="1"/>
      <c r="I6" s="5">
        <f>F6+H5</f>
        <v>91.965000000000003</v>
      </c>
      <c r="K6" s="123">
        <v>45771.625</v>
      </c>
      <c r="L6" s="3">
        <v>119.34</v>
      </c>
      <c r="M6" s="123">
        <v>45771.625</v>
      </c>
      <c r="N6" s="3">
        <v>94.802000000000007</v>
      </c>
    </row>
    <row r="7" spans="1:14" ht="15" thickBot="1" x14ac:dyDescent="0.35">
      <c r="A7" s="15" t="s">
        <v>12</v>
      </c>
      <c r="B7" s="19">
        <v>0</v>
      </c>
      <c r="C7" s="10">
        <v>4.1000000000000002E-2</v>
      </c>
      <c r="D7" s="31"/>
      <c r="E7" s="16" t="s">
        <v>11</v>
      </c>
      <c r="F7" s="1"/>
      <c r="G7" s="1">
        <v>103.506</v>
      </c>
      <c r="H7" s="1"/>
      <c r="I7" s="5"/>
      <c r="K7" s="123">
        <v>45772.625</v>
      </c>
      <c r="L7" s="3">
        <v>117.146</v>
      </c>
      <c r="M7" s="123">
        <v>45772.625</v>
      </c>
      <c r="N7" s="3">
        <v>95.19</v>
      </c>
    </row>
    <row r="8" spans="1:14" ht="15" thickBot="1" x14ac:dyDescent="0.35">
      <c r="A8" s="15" t="s">
        <v>14</v>
      </c>
      <c r="B8" s="15">
        <v>4.46</v>
      </c>
      <c r="C8" s="5"/>
      <c r="D8" s="31"/>
      <c r="E8" s="30" t="s">
        <v>13</v>
      </c>
      <c r="F8" s="23">
        <f>G7-I6</f>
        <v>11.540999999999997</v>
      </c>
      <c r="G8" s="21"/>
      <c r="H8" s="21"/>
      <c r="I8" s="22"/>
      <c r="J8" s="1"/>
      <c r="K8" s="123">
        <v>45775.625</v>
      </c>
      <c r="L8" s="3">
        <v>115.843</v>
      </c>
      <c r="M8" s="123">
        <v>45775.625</v>
      </c>
      <c r="N8" s="3">
        <v>95.531999999999996</v>
      </c>
    </row>
    <row r="9" spans="1:14" x14ac:dyDescent="0.3">
      <c r="A9" s="15" t="s">
        <v>15</v>
      </c>
      <c r="B9" s="15">
        <v>1.17</v>
      </c>
      <c r="C9" s="5"/>
      <c r="D9" s="31"/>
      <c r="E9" s="1"/>
      <c r="F9" s="1"/>
      <c r="G9" s="1"/>
      <c r="H9" s="1"/>
      <c r="I9" s="1"/>
      <c r="J9" s="1"/>
      <c r="K9" s="123">
        <v>45776.625</v>
      </c>
      <c r="L9" s="3">
        <v>114.739</v>
      </c>
      <c r="M9" s="123">
        <v>45776.625</v>
      </c>
      <c r="N9" s="3">
        <v>95.388000000000005</v>
      </c>
    </row>
    <row r="10" spans="1:14" ht="15" thickBot="1" x14ac:dyDescent="0.35">
      <c r="A10" s="16" t="s">
        <v>28</v>
      </c>
      <c r="B10" s="20" cm="1">
        <f t="array" ref="B10">_xll.BDP(B4,"PX_LAST")</f>
        <v>101.0136</v>
      </c>
      <c r="C10" s="13" cm="1">
        <f t="array" ref="C10">_xll.BDP(C4,"PX_LAST")</f>
        <v>101.184</v>
      </c>
      <c r="D10" s="31"/>
      <c r="E10" s="1"/>
      <c r="F10" s="1"/>
      <c r="G10" s="1"/>
      <c r="H10" s="1"/>
      <c r="I10" s="1"/>
      <c r="J10" s="1"/>
      <c r="K10" s="123">
        <v>45777.625</v>
      </c>
      <c r="L10" s="3">
        <v>118.17</v>
      </c>
      <c r="M10" s="123">
        <v>45777.625</v>
      </c>
      <c r="N10" s="3">
        <v>94.76</v>
      </c>
    </row>
    <row r="11" spans="1:14" ht="15" thickBot="1" x14ac:dyDescent="0.35">
      <c r="A11" s="1"/>
      <c r="B11" s="1"/>
      <c r="C11" s="1"/>
      <c r="D11" s="31"/>
      <c r="E11" s="1"/>
      <c r="F11" s="1"/>
      <c r="G11" s="1"/>
      <c r="H11" s="1"/>
      <c r="I11" s="1"/>
      <c r="J11" s="1"/>
      <c r="K11" s="123">
        <v>45778.625</v>
      </c>
      <c r="L11" s="3">
        <v>116.595</v>
      </c>
      <c r="M11" s="123">
        <v>45778.625</v>
      </c>
      <c r="N11" s="3">
        <v>94.893000000000001</v>
      </c>
    </row>
    <row r="12" spans="1:14" ht="15" thickBot="1" x14ac:dyDescent="0.35">
      <c r="A12" s="39" t="s">
        <v>22</v>
      </c>
      <c r="B12" s="169" t="s">
        <v>0</v>
      </c>
      <c r="C12" s="170"/>
      <c r="D12" s="170"/>
      <c r="E12" s="171"/>
      <c r="F12" s="172" t="s">
        <v>1</v>
      </c>
      <c r="G12" s="173"/>
      <c r="H12" s="174"/>
      <c r="I12" s="39" t="s">
        <v>16</v>
      </c>
      <c r="J12" s="1"/>
      <c r="K12" s="123">
        <v>45779.625</v>
      </c>
      <c r="L12" s="3">
        <v>114.43300000000001</v>
      </c>
      <c r="M12" s="123">
        <v>45779.625</v>
      </c>
      <c r="N12" s="3">
        <v>94.658000000000001</v>
      </c>
    </row>
    <row r="13" spans="1:14" ht="15" thickBot="1" x14ac:dyDescent="0.35">
      <c r="A13" s="16"/>
      <c r="B13" s="11" t="s">
        <v>24</v>
      </c>
      <c r="C13" s="21" t="s">
        <v>18</v>
      </c>
      <c r="D13" s="49" t="s">
        <v>19</v>
      </c>
      <c r="E13" s="22" t="s">
        <v>20</v>
      </c>
      <c r="F13" s="11" t="s">
        <v>17</v>
      </c>
      <c r="G13" s="21" t="s">
        <v>21</v>
      </c>
      <c r="H13" s="22" t="s">
        <v>20</v>
      </c>
      <c r="I13" s="16"/>
      <c r="J13" s="1"/>
      <c r="K13" s="123">
        <v>45782.625</v>
      </c>
      <c r="L13" s="3">
        <v>114.46</v>
      </c>
      <c r="M13" s="123">
        <v>45782.625</v>
      </c>
      <c r="N13" s="3">
        <v>95.11</v>
      </c>
    </row>
    <row r="14" spans="1:14" x14ac:dyDescent="0.3">
      <c r="A14" s="36">
        <v>45903</v>
      </c>
      <c r="B14" s="4">
        <v>106.5</v>
      </c>
      <c r="C14" s="1">
        <v>106.5</v>
      </c>
      <c r="D14" s="31"/>
      <c r="E14" s="5"/>
      <c r="F14" s="4">
        <v>98.875</v>
      </c>
      <c r="G14" s="1"/>
      <c r="H14" s="5"/>
      <c r="I14" s="78">
        <v>0</v>
      </c>
      <c r="J14" s="1"/>
      <c r="K14" s="123">
        <v>45783.625</v>
      </c>
      <c r="L14" s="3">
        <v>114.01900000000001</v>
      </c>
      <c r="M14" s="123">
        <v>45783.625</v>
      </c>
      <c r="N14" s="3">
        <v>94.977999999999994</v>
      </c>
    </row>
    <row r="15" spans="1:14" x14ac:dyDescent="0.3">
      <c r="A15" s="36">
        <v>45904</v>
      </c>
      <c r="B15" s="4">
        <f t="shared" ref="B15:B26" si="0">VLOOKUP(A15+$F$2,K:L,2)</f>
        <v>102.55200000000001</v>
      </c>
      <c r="C15" s="1">
        <v>101.988</v>
      </c>
      <c r="D15" s="31">
        <f t="shared" ref="D15:D26" si="1">-1*(C15-$C$14)*10^-4*$B$8*$B$5</f>
        <v>50308.800000000003</v>
      </c>
      <c r="E15" s="32">
        <f t="shared" ref="E15:E26" si="2">$B$6*(A15-$A$14)/360*$B$5</f>
        <v>694.44444444444446</v>
      </c>
      <c r="F15" s="4">
        <f t="shared" ref="F15:F26" si="3">VLOOKUP(A15+$F$2,M:N,2)</f>
        <v>99.266999999999996</v>
      </c>
      <c r="G15" s="31">
        <f>(F15-$F$14)/100*$C$5</f>
        <v>29399.999999999694</v>
      </c>
      <c r="H15" s="32">
        <f>$C$6*(A15-$A$14)/360*$C$5-$C$7*(A15-$A$14)/360*$C$5*$F$14/100</f>
        <v>551.27604166666697</v>
      </c>
      <c r="I15" s="79">
        <f>(D15+E15)*$B$9-G15-H15</f>
        <v>29722.51995833364</v>
      </c>
      <c r="J15" s="1"/>
      <c r="K15" s="123">
        <v>45784.625</v>
      </c>
      <c r="L15" s="3">
        <v>113.444</v>
      </c>
      <c r="M15" s="123">
        <v>45784.625</v>
      </c>
      <c r="N15" s="3">
        <v>95.123000000000005</v>
      </c>
    </row>
    <row r="16" spans="1:14" x14ac:dyDescent="0.3">
      <c r="A16" s="36">
        <v>45905</v>
      </c>
      <c r="B16" s="4">
        <f t="shared" si="0"/>
        <v>97.619</v>
      </c>
      <c r="C16" s="1">
        <v>99.507999999999996</v>
      </c>
      <c r="D16" s="31">
        <f t="shared" si="1"/>
        <v>77960.800000000047</v>
      </c>
      <c r="E16" s="32">
        <f t="shared" si="2"/>
        <v>1388.8888888888889</v>
      </c>
      <c r="F16" s="4">
        <f t="shared" si="3"/>
        <v>99.856999999999999</v>
      </c>
      <c r="G16" s="31">
        <f t="shared" ref="G16:G28" si="4">(F16-$F$14)/100*$C$5</f>
        <v>73649.999999999956</v>
      </c>
      <c r="H16" s="32">
        <f t="shared" ref="H16:H28" si="5">$C$6*(A16-$A$14)/360*$C$5-$C$7*(A16-$A$14)/360*$C$5*$F$14/100</f>
        <v>1102.5520833333339</v>
      </c>
      <c r="I16" s="79">
        <f t="shared" ref="I16:I28" si="6">(D16+E16)*$B$9-G16-H16</f>
        <v>18086.583916666765</v>
      </c>
      <c r="J16" s="1"/>
      <c r="K16" s="123">
        <v>45785.625</v>
      </c>
      <c r="L16" s="3">
        <v>111.55800000000001</v>
      </c>
      <c r="M16" s="123">
        <v>45785.625</v>
      </c>
      <c r="N16" s="3">
        <v>95.341999999999999</v>
      </c>
    </row>
    <row r="17" spans="1:14" x14ac:dyDescent="0.3">
      <c r="A17" s="36">
        <v>45908</v>
      </c>
      <c r="B17" s="4">
        <f t="shared" si="0"/>
        <v>97.876000000000005</v>
      </c>
      <c r="C17" s="1">
        <v>97.378</v>
      </c>
      <c r="D17" s="31">
        <f t="shared" si="1"/>
        <v>101710.30000000002</v>
      </c>
      <c r="E17" s="32">
        <f t="shared" si="2"/>
        <v>3472.2222222222222</v>
      </c>
      <c r="F17" s="4">
        <f t="shared" si="3"/>
        <v>99.837000000000003</v>
      </c>
      <c r="G17" s="31">
        <f t="shared" si="4"/>
        <v>72150.000000000247</v>
      </c>
      <c r="H17" s="32">
        <f t="shared" si="5"/>
        <v>2756.380208333333</v>
      </c>
      <c r="I17" s="79">
        <f t="shared" si="6"/>
        <v>48157.170791666424</v>
      </c>
      <c r="J17" s="1"/>
      <c r="K17" s="123">
        <v>45786.625</v>
      </c>
      <c r="L17" s="3">
        <v>109.861</v>
      </c>
      <c r="M17" s="123">
        <v>45786.625</v>
      </c>
      <c r="N17" s="3">
        <v>95.43</v>
      </c>
    </row>
    <row r="18" spans="1:14" x14ac:dyDescent="0.3">
      <c r="A18" s="36">
        <v>45909</v>
      </c>
      <c r="B18" s="4">
        <f t="shared" si="0"/>
        <v>96.716999999999999</v>
      </c>
      <c r="C18" s="1">
        <v>96.828000000000003</v>
      </c>
      <c r="D18" s="31">
        <f t="shared" si="1"/>
        <v>107842.79999999997</v>
      </c>
      <c r="E18" s="32">
        <f t="shared" si="2"/>
        <v>4166.666666666667</v>
      </c>
      <c r="F18" s="4">
        <f t="shared" si="3"/>
        <v>99.876000000000005</v>
      </c>
      <c r="G18" s="31">
        <f t="shared" si="4"/>
        <v>75075.000000000364</v>
      </c>
      <c r="H18" s="32">
        <f t="shared" si="5"/>
        <v>3307.65625</v>
      </c>
      <c r="I18" s="79">
        <f t="shared" si="6"/>
        <v>52668.419749999608</v>
      </c>
      <c r="J18" s="1"/>
      <c r="K18" s="123">
        <v>45789.625</v>
      </c>
      <c r="L18" s="3">
        <v>105.154</v>
      </c>
      <c r="M18" s="123">
        <v>45789.625</v>
      </c>
      <c r="N18" s="3">
        <v>96.028999999999996</v>
      </c>
    </row>
    <row r="19" spans="1:14" x14ac:dyDescent="0.3">
      <c r="A19" s="36">
        <v>45910</v>
      </c>
      <c r="B19" s="4">
        <f t="shared" si="0"/>
        <v>95.831999999999994</v>
      </c>
      <c r="C19" s="1">
        <v>95.448999999999998</v>
      </c>
      <c r="D19" s="31">
        <f t="shared" si="1"/>
        <v>123218.65000000002</v>
      </c>
      <c r="E19" s="32">
        <f t="shared" si="2"/>
        <v>4861.1111111111113</v>
      </c>
      <c r="F19" s="4">
        <f t="shared" si="3"/>
        <v>99.942999999999998</v>
      </c>
      <c r="G19" s="31">
        <f t="shared" si="4"/>
        <v>80099.99999999984</v>
      </c>
      <c r="H19" s="32">
        <f t="shared" si="5"/>
        <v>3858.9322916666661</v>
      </c>
      <c r="I19" s="79">
        <f t="shared" si="6"/>
        <v>65894.388208333519</v>
      </c>
      <c r="J19" s="1"/>
      <c r="K19" s="123">
        <v>45790.625</v>
      </c>
      <c r="L19" s="3">
        <v>99.885999999999996</v>
      </c>
      <c r="M19" s="123">
        <v>45790.625</v>
      </c>
      <c r="N19" s="3">
        <v>96.102000000000004</v>
      </c>
    </row>
    <row r="20" spans="1:14" x14ac:dyDescent="0.3">
      <c r="A20" s="36">
        <v>45911</v>
      </c>
      <c r="B20" s="4">
        <f t="shared" si="0"/>
        <v>93.906000000000006</v>
      </c>
      <c r="C20" s="1">
        <v>92.872</v>
      </c>
      <c r="D20" s="31">
        <f t="shared" si="1"/>
        <v>151952.20000000001</v>
      </c>
      <c r="E20" s="32">
        <f t="shared" si="2"/>
        <v>5555.5555555555557</v>
      </c>
      <c r="F20" s="4">
        <f t="shared" si="3"/>
        <v>100.11</v>
      </c>
      <c r="G20" s="31">
        <f t="shared" si="4"/>
        <v>92624.999999999956</v>
      </c>
      <c r="H20" s="32">
        <f t="shared" si="5"/>
        <v>4410.2083333333358</v>
      </c>
      <c r="I20" s="79">
        <f t="shared" si="6"/>
        <v>87248.865666666738</v>
      </c>
      <c r="J20" s="1"/>
      <c r="K20" s="123">
        <v>45791.625</v>
      </c>
      <c r="L20" s="3">
        <v>99.960999999999999</v>
      </c>
      <c r="M20" s="123">
        <v>45791.625</v>
      </c>
      <c r="N20" s="3">
        <v>95.909000000000006</v>
      </c>
    </row>
    <row r="21" spans="1:14" x14ac:dyDescent="0.3">
      <c r="A21" s="36">
        <v>45912</v>
      </c>
      <c r="B21" s="4">
        <f t="shared" si="0"/>
        <v>92.352999999999994</v>
      </c>
      <c r="C21" s="1">
        <v>92.445999999999998</v>
      </c>
      <c r="D21" s="31">
        <f t="shared" si="1"/>
        <v>156702.10000000003</v>
      </c>
      <c r="E21" s="32">
        <f t="shared" si="2"/>
        <v>6250</v>
      </c>
      <c r="F21" s="4">
        <f t="shared" si="3"/>
        <v>100.373</v>
      </c>
      <c r="G21" s="31">
        <f t="shared" si="4"/>
        <v>112350.00000000035</v>
      </c>
      <c r="H21" s="32">
        <f t="shared" si="5"/>
        <v>4961.4843749999973</v>
      </c>
      <c r="I21" s="79">
        <f t="shared" si="6"/>
        <v>73342.472624999675</v>
      </c>
      <c r="J21" s="1"/>
      <c r="K21" s="123">
        <v>45792.625</v>
      </c>
      <c r="L21" s="3">
        <v>102.67700000000001</v>
      </c>
      <c r="M21" s="123">
        <v>45792.625</v>
      </c>
      <c r="N21" s="3">
        <v>95.572000000000003</v>
      </c>
    </row>
    <row r="22" spans="1:14" x14ac:dyDescent="0.3">
      <c r="A22" s="36">
        <v>45915</v>
      </c>
      <c r="B22" s="4">
        <f t="shared" si="0"/>
        <v>91.721999999999994</v>
      </c>
      <c r="C22" s="1">
        <v>91.334000000000003</v>
      </c>
      <c r="D22" s="31">
        <f t="shared" si="1"/>
        <v>169100.89999999997</v>
      </c>
      <c r="E22" s="32">
        <f t="shared" si="2"/>
        <v>8333.3333333333339</v>
      </c>
      <c r="F22" s="4">
        <f t="shared" si="3"/>
        <v>100.343</v>
      </c>
      <c r="G22" s="31">
        <f t="shared" si="4"/>
        <v>110100.00000000026</v>
      </c>
      <c r="H22" s="32">
        <f t="shared" si="5"/>
        <v>6615.3125</v>
      </c>
      <c r="I22" s="79">
        <f t="shared" si="6"/>
        <v>90882.740499999694</v>
      </c>
      <c r="J22" s="1"/>
      <c r="K22" s="123">
        <v>45793.625</v>
      </c>
      <c r="L22" s="3">
        <v>101.176</v>
      </c>
      <c r="M22" s="123">
        <v>45793.625</v>
      </c>
      <c r="N22" s="3">
        <v>95.935000000000002</v>
      </c>
    </row>
    <row r="23" spans="1:14" x14ac:dyDescent="0.3">
      <c r="A23" s="36">
        <v>45916</v>
      </c>
      <c r="B23" s="4">
        <f t="shared" si="0"/>
        <v>92.043000000000006</v>
      </c>
      <c r="C23" s="1">
        <v>91.960999999999999</v>
      </c>
      <c r="D23" s="31">
        <f t="shared" si="1"/>
        <v>162109.85000000003</v>
      </c>
      <c r="E23" s="32">
        <f t="shared" si="2"/>
        <v>9027.7777777777792</v>
      </c>
      <c r="F23" s="4">
        <f t="shared" si="3"/>
        <v>100.643</v>
      </c>
      <c r="G23" s="31">
        <f t="shared" si="4"/>
        <v>132600.00000000006</v>
      </c>
      <c r="H23" s="32">
        <f t="shared" si="5"/>
        <v>7166.5885416666679</v>
      </c>
      <c r="I23" s="79">
        <f t="shared" si="6"/>
        <v>60464.435958333299</v>
      </c>
      <c r="J23" s="1"/>
      <c r="K23" s="123">
        <v>45796.625</v>
      </c>
      <c r="L23" s="3">
        <v>101.77</v>
      </c>
      <c r="M23" s="123">
        <v>45796.625</v>
      </c>
      <c r="N23" s="3">
        <v>95.763000000000005</v>
      </c>
    </row>
    <row r="24" spans="1:14" x14ac:dyDescent="0.3">
      <c r="A24" s="36">
        <v>45917</v>
      </c>
      <c r="B24" s="4">
        <f t="shared" si="0"/>
        <v>92.41</v>
      </c>
      <c r="C24" s="1">
        <v>92.38</v>
      </c>
      <c r="D24" s="31">
        <f t="shared" si="1"/>
        <v>157438.00000000006</v>
      </c>
      <c r="E24" s="32">
        <f t="shared" si="2"/>
        <v>9722.2222222222226</v>
      </c>
      <c r="F24" s="4">
        <f t="shared" si="3"/>
        <v>100.554</v>
      </c>
      <c r="G24" s="31">
        <f t="shared" si="4"/>
        <v>125925.00000000015</v>
      </c>
      <c r="H24" s="32">
        <f t="shared" si="5"/>
        <v>7717.8645833333321</v>
      </c>
      <c r="I24" s="79">
        <f t="shared" si="6"/>
        <v>61934.595416666576</v>
      </c>
      <c r="J24" s="1"/>
      <c r="K24" s="123">
        <v>45797.625</v>
      </c>
      <c r="L24" s="3">
        <v>100.45099999999999</v>
      </c>
      <c r="M24" s="123">
        <v>45797.625</v>
      </c>
      <c r="N24" s="3">
        <v>95.956000000000003</v>
      </c>
    </row>
    <row r="25" spans="1:14" x14ac:dyDescent="0.3">
      <c r="A25" s="36">
        <v>45918</v>
      </c>
      <c r="B25" s="4">
        <f t="shared" si="0"/>
        <v>91.355999999999995</v>
      </c>
      <c r="C25" s="1">
        <v>91.418000000000006</v>
      </c>
      <c r="D25" s="31">
        <f t="shared" si="1"/>
        <v>168164.29999999993</v>
      </c>
      <c r="E25" s="32">
        <f t="shared" si="2"/>
        <v>10416.666666666666</v>
      </c>
      <c r="F25" s="4">
        <f t="shared" si="3"/>
        <v>101.01600000000001</v>
      </c>
      <c r="G25" s="31">
        <f t="shared" si="4"/>
        <v>160575.00000000041</v>
      </c>
      <c r="H25" s="32">
        <f t="shared" si="5"/>
        <v>8269.1406250000036</v>
      </c>
      <c r="I25" s="79">
        <f t="shared" si="6"/>
        <v>40095.590374999476</v>
      </c>
      <c r="J25" s="1"/>
      <c r="K25" s="123">
        <v>45798.625</v>
      </c>
      <c r="L25" s="3">
        <v>101.446</v>
      </c>
      <c r="M25" s="123">
        <v>45798.625</v>
      </c>
      <c r="N25" s="3">
        <v>95.772999999999996</v>
      </c>
    </row>
    <row r="26" spans="1:14" x14ac:dyDescent="0.3">
      <c r="A26" s="36">
        <v>45919</v>
      </c>
      <c r="B26" s="4">
        <f t="shared" si="0"/>
        <v>91.385999999999996</v>
      </c>
      <c r="C26" s="1">
        <v>91.418000000000006</v>
      </c>
      <c r="D26" s="31">
        <f t="shared" si="1"/>
        <v>168164.29999999993</v>
      </c>
      <c r="E26" s="32">
        <f t="shared" si="2"/>
        <v>11111.111111111111</v>
      </c>
      <c r="F26" s="4">
        <f t="shared" si="3"/>
        <v>101.05800000000001</v>
      </c>
      <c r="G26" s="31">
        <f t="shared" si="4"/>
        <v>163725.00000000052</v>
      </c>
      <c r="H26" s="32">
        <f t="shared" si="5"/>
        <v>8820.4166666666715</v>
      </c>
      <c r="I26" s="79">
        <f t="shared" si="6"/>
        <v>37206.814333332717</v>
      </c>
      <c r="J26" s="1"/>
      <c r="K26" s="123">
        <v>45799.625</v>
      </c>
      <c r="L26" s="3">
        <v>104.67400000000001</v>
      </c>
      <c r="M26" s="123">
        <v>45799.625</v>
      </c>
      <c r="N26" s="3">
        <v>95.494</v>
      </c>
    </row>
    <row r="27" spans="1:14" x14ac:dyDescent="0.3">
      <c r="A27" s="37"/>
      <c r="B27" s="4"/>
      <c r="C27" s="1"/>
      <c r="D27" s="31"/>
      <c r="E27" s="32"/>
      <c r="F27" s="4"/>
      <c r="G27" s="31"/>
      <c r="H27" s="32"/>
      <c r="I27" s="79"/>
      <c r="J27" s="1"/>
      <c r="K27" s="123">
        <v>45800.625</v>
      </c>
      <c r="L27" s="3">
        <v>104.48</v>
      </c>
      <c r="M27" s="123">
        <v>45800.625</v>
      </c>
      <c r="N27" s="3">
        <v>95.557000000000002</v>
      </c>
    </row>
    <row r="28" spans="1:14" x14ac:dyDescent="0.3">
      <c r="A28" s="36">
        <v>45922</v>
      </c>
      <c r="B28" s="4">
        <f t="shared" ref="B28:B56" si="7">VLOOKUP(A28+$F$2,K:L,2)</f>
        <v>103.479</v>
      </c>
      <c r="C28" s="1">
        <f t="shared" ref="C28" si="8">B28-$F$8</f>
        <v>91.938000000000002</v>
      </c>
      <c r="D28" s="31">
        <f t="shared" ref="D28" si="9">-1*(C28-$C$14)*10^-4*$B$8*$B$5</f>
        <v>162366.29999999996</v>
      </c>
      <c r="E28" s="32">
        <f>$B$6*(A28-$A$14)/360*$B$5</f>
        <v>13194.444444444445</v>
      </c>
      <c r="F28" s="4">
        <f t="shared" ref="F28:F56" si="10">VLOOKUP(A28+$F$2,M:N,2)</f>
        <v>101.03100000000001</v>
      </c>
      <c r="G28" s="31">
        <f t="shared" si="4"/>
        <v>161700.00000000044</v>
      </c>
      <c r="H28" s="32">
        <f t="shared" si="5"/>
        <v>10474.244791666672</v>
      </c>
      <c r="I28" s="79">
        <f t="shared" si="6"/>
        <v>33231.82620833283</v>
      </c>
      <c r="J28" s="1"/>
      <c r="K28" s="123">
        <v>45803.625</v>
      </c>
      <c r="L28" s="3">
        <v>104.973</v>
      </c>
      <c r="M28" s="123">
        <v>45804.625</v>
      </c>
      <c r="N28" s="3">
        <v>95.932000000000002</v>
      </c>
    </row>
    <row r="29" spans="1:14" x14ac:dyDescent="0.3">
      <c r="A29" s="36">
        <v>45923</v>
      </c>
      <c r="B29" s="4">
        <f t="shared" si="7"/>
        <v>103.004</v>
      </c>
      <c r="C29" s="1">
        <f t="shared" ref="C29:C55" si="11">B29-$F$8</f>
        <v>91.463000000000008</v>
      </c>
      <c r="D29" s="31">
        <f t="shared" ref="D29:D55" si="12">-1*(C29-$C$14)*10^-4*$B$8*$B$5</f>
        <v>167662.54999999993</v>
      </c>
      <c r="E29" s="32">
        <f t="shared" ref="E29:E55" si="13">$B$6*(A29-$A$14)/360*$B$5</f>
        <v>13888.888888888889</v>
      </c>
      <c r="F29" s="4">
        <f t="shared" si="10"/>
        <v>101.027</v>
      </c>
      <c r="G29" s="31">
        <f t="shared" ref="G29:G55" si="14">(F29-$F$14)/100*$C$5</f>
        <v>161400.00000000009</v>
      </c>
      <c r="H29" s="32">
        <f t="shared" ref="H29:H55" si="15">$C$6*(A29-$A$14)/360*$C$5-$C$7*(A29-$A$14)/360*$C$5*$F$14/100</f>
        <v>11025.520833333332</v>
      </c>
      <c r="I29" s="79">
        <f t="shared" ref="I29:I55" si="16">(D29+E29)*$B$9-G29-H29</f>
        <v>39989.662666666482</v>
      </c>
      <c r="J29" s="1"/>
      <c r="K29" s="123">
        <v>45804.625</v>
      </c>
      <c r="L29" s="3">
        <v>100.896</v>
      </c>
      <c r="M29" s="123">
        <v>45805.625</v>
      </c>
      <c r="N29" s="3">
        <v>96.037000000000006</v>
      </c>
    </row>
    <row r="30" spans="1:14" x14ac:dyDescent="0.3">
      <c r="A30" s="36">
        <v>45924</v>
      </c>
      <c r="B30" s="4">
        <f t="shared" si="7"/>
        <v>102.914</v>
      </c>
      <c r="C30" s="1">
        <f t="shared" si="11"/>
        <v>91.373000000000005</v>
      </c>
      <c r="D30" s="31">
        <f t="shared" si="12"/>
        <v>168666.04999999996</v>
      </c>
      <c r="E30" s="32">
        <f t="shared" si="13"/>
        <v>14583.333333333332</v>
      </c>
      <c r="F30" s="4">
        <f t="shared" si="10"/>
        <v>101.15</v>
      </c>
      <c r="G30" s="31">
        <f t="shared" si="14"/>
        <v>170625.00000000044</v>
      </c>
      <c r="H30" s="32">
        <f t="shared" si="15"/>
        <v>11576.796875</v>
      </c>
      <c r="I30" s="79">
        <f t="shared" si="16"/>
        <v>32199.98162499952</v>
      </c>
      <c r="J30" s="1"/>
      <c r="K30" s="123">
        <v>45805.625</v>
      </c>
      <c r="L30" s="3">
        <v>101.648</v>
      </c>
      <c r="M30" s="123">
        <v>45806.625</v>
      </c>
      <c r="N30" s="3">
        <v>96.45</v>
      </c>
    </row>
    <row r="31" spans="1:14" x14ac:dyDescent="0.3">
      <c r="A31" s="36">
        <v>45925</v>
      </c>
      <c r="B31" s="4">
        <f t="shared" si="7"/>
        <v>105.236</v>
      </c>
      <c r="C31" s="1">
        <f t="shared" si="11"/>
        <v>93.695000000000007</v>
      </c>
      <c r="D31" s="31">
        <f t="shared" si="12"/>
        <v>142775.74999999994</v>
      </c>
      <c r="E31" s="32">
        <f t="shared" si="13"/>
        <v>15277.777777777777</v>
      </c>
      <c r="F31" s="4">
        <f t="shared" si="10"/>
        <v>100.76300000000001</v>
      </c>
      <c r="G31" s="31">
        <f t="shared" si="14"/>
        <v>141600.00000000041</v>
      </c>
      <c r="H31" s="32">
        <f t="shared" si="15"/>
        <v>12128.072916666668</v>
      </c>
      <c r="I31" s="79">
        <f t="shared" si="16"/>
        <v>31194.55458333284</v>
      </c>
      <c r="J31" s="1"/>
      <c r="K31" s="123">
        <v>45806.625</v>
      </c>
      <c r="L31" s="3">
        <v>99.975999999999999</v>
      </c>
      <c r="M31" s="123">
        <v>45807.625</v>
      </c>
      <c r="N31" s="3">
        <v>96.408000000000001</v>
      </c>
    </row>
    <row r="32" spans="1:14" x14ac:dyDescent="0.3">
      <c r="A32" s="36">
        <v>45926</v>
      </c>
      <c r="B32" s="4">
        <f t="shared" si="7"/>
        <v>105.75</v>
      </c>
      <c r="C32" s="1">
        <f t="shared" si="11"/>
        <v>94.209000000000003</v>
      </c>
      <c r="D32" s="31">
        <f t="shared" si="12"/>
        <v>137044.64999999997</v>
      </c>
      <c r="E32" s="32">
        <f t="shared" si="13"/>
        <v>15972.222222222223</v>
      </c>
      <c r="F32" s="4">
        <f t="shared" si="10"/>
        <v>100.681</v>
      </c>
      <c r="G32" s="31">
        <f t="shared" si="14"/>
        <v>135449.99999999983</v>
      </c>
      <c r="H32" s="32">
        <f t="shared" si="15"/>
        <v>12679.348958333332</v>
      </c>
      <c r="I32" s="79">
        <f t="shared" si="16"/>
        <v>30900.391541666799</v>
      </c>
      <c r="J32" s="1"/>
      <c r="K32" s="123">
        <v>45807.625</v>
      </c>
      <c r="L32" s="3">
        <v>100.161</v>
      </c>
      <c r="M32" s="123">
        <v>45810.625</v>
      </c>
      <c r="N32" s="3">
        <v>96.438999999999993</v>
      </c>
    </row>
    <row r="33" spans="1:14" x14ac:dyDescent="0.3">
      <c r="A33" s="36">
        <v>45929</v>
      </c>
      <c r="B33" s="4">
        <f t="shared" si="7"/>
        <v>105.6</v>
      </c>
      <c r="C33" s="1">
        <f t="shared" si="11"/>
        <v>94.058999999999997</v>
      </c>
      <c r="D33" s="31">
        <f t="shared" si="12"/>
        <v>138717.15000000002</v>
      </c>
      <c r="E33" s="32">
        <f t="shared" si="13"/>
        <v>18055.555555555558</v>
      </c>
      <c r="F33" s="4">
        <f t="shared" si="10"/>
        <v>101.003</v>
      </c>
      <c r="G33" s="31">
        <f t="shared" si="14"/>
        <v>159600</v>
      </c>
      <c r="H33" s="32">
        <f t="shared" si="15"/>
        <v>14333.177083333336</v>
      </c>
      <c r="I33" s="79">
        <f t="shared" si="16"/>
        <v>9490.8884166666903</v>
      </c>
      <c r="J33" s="1"/>
      <c r="K33" s="123">
        <v>45810.625</v>
      </c>
      <c r="L33" s="3">
        <v>100.687</v>
      </c>
      <c r="M33" s="123">
        <v>45811.625</v>
      </c>
      <c r="N33" s="3">
        <v>96.614999999999995</v>
      </c>
    </row>
    <row r="34" spans="1:14" x14ac:dyDescent="0.3">
      <c r="A34" s="36">
        <v>45930</v>
      </c>
      <c r="B34" s="4">
        <f t="shared" si="7"/>
        <v>105.544</v>
      </c>
      <c r="C34" s="1">
        <f t="shared" si="11"/>
        <v>94.003</v>
      </c>
      <c r="D34" s="31">
        <f t="shared" si="12"/>
        <v>139341.54999999999</v>
      </c>
      <c r="E34" s="32">
        <f t="shared" si="13"/>
        <v>18750</v>
      </c>
      <c r="F34" s="4">
        <f t="shared" si="10"/>
        <v>100.789</v>
      </c>
      <c r="G34" s="31">
        <f t="shared" si="14"/>
        <v>143550.00000000012</v>
      </c>
      <c r="H34" s="32">
        <f t="shared" si="15"/>
        <v>14884.453125000007</v>
      </c>
      <c r="I34" s="79">
        <f t="shared" si="16"/>
        <v>26532.660374999854</v>
      </c>
      <c r="J34" s="1"/>
      <c r="K34" s="123">
        <v>45811.625</v>
      </c>
      <c r="L34" s="3">
        <v>100.36</v>
      </c>
      <c r="M34" s="123">
        <v>45812.625</v>
      </c>
      <c r="N34" s="3">
        <v>96.897000000000006</v>
      </c>
    </row>
    <row r="35" spans="1:14" x14ac:dyDescent="0.3">
      <c r="A35" s="36">
        <v>45931</v>
      </c>
      <c r="B35" s="4">
        <f t="shared" si="7"/>
        <v>104.553</v>
      </c>
      <c r="C35" s="1">
        <f t="shared" si="11"/>
        <v>93.012</v>
      </c>
      <c r="D35" s="31">
        <f t="shared" si="12"/>
        <v>150391.20000000001</v>
      </c>
      <c r="E35" s="32">
        <f t="shared" si="13"/>
        <v>19444.444444444445</v>
      </c>
      <c r="F35" s="4">
        <f t="shared" si="10"/>
        <v>100.709</v>
      </c>
      <c r="G35" s="31">
        <f t="shared" si="14"/>
        <v>137550.00000000026</v>
      </c>
      <c r="H35" s="32">
        <f t="shared" si="15"/>
        <v>15435.729166666664</v>
      </c>
      <c r="I35" s="79">
        <f t="shared" si="16"/>
        <v>45721.974833333072</v>
      </c>
      <c r="J35" s="1"/>
      <c r="K35" s="123">
        <v>45812.625</v>
      </c>
      <c r="L35" s="3">
        <v>99.268000000000001</v>
      </c>
      <c r="M35" s="123">
        <v>45813.625</v>
      </c>
      <c r="N35" s="3">
        <v>96.96</v>
      </c>
    </row>
    <row r="36" spans="1:14" x14ac:dyDescent="0.3">
      <c r="A36" s="36">
        <v>45932</v>
      </c>
      <c r="B36" s="4">
        <f t="shared" si="7"/>
        <v>102.07</v>
      </c>
      <c r="C36" s="1">
        <f t="shared" si="11"/>
        <v>90.528999999999996</v>
      </c>
      <c r="D36" s="31">
        <f t="shared" si="12"/>
        <v>178076.65000000005</v>
      </c>
      <c r="E36" s="32">
        <f t="shared" si="13"/>
        <v>20138.888888888887</v>
      </c>
      <c r="F36" s="4">
        <f t="shared" si="10"/>
        <v>101.09399999999999</v>
      </c>
      <c r="G36" s="31">
        <f t="shared" si="14"/>
        <v>166424.99999999956</v>
      </c>
      <c r="H36" s="32">
        <f t="shared" si="15"/>
        <v>15987.005208333343</v>
      </c>
      <c r="I36" s="79">
        <f t="shared" si="16"/>
        <v>49500.175291667139</v>
      </c>
      <c r="J36" s="1"/>
      <c r="K36" s="123">
        <v>45813.625</v>
      </c>
      <c r="L36" s="3">
        <v>99.311999999999998</v>
      </c>
      <c r="M36" s="123">
        <v>45814.625</v>
      </c>
      <c r="N36" s="3">
        <v>97.397999999999996</v>
      </c>
    </row>
    <row r="37" spans="1:14" x14ac:dyDescent="0.3">
      <c r="A37" s="36">
        <v>45933</v>
      </c>
      <c r="B37" s="4">
        <f t="shared" si="7"/>
        <v>101.73699999999999</v>
      </c>
      <c r="C37" s="1">
        <f t="shared" si="11"/>
        <v>90.195999999999998</v>
      </c>
      <c r="D37" s="31">
        <f t="shared" si="12"/>
        <v>181789.60000000003</v>
      </c>
      <c r="E37" s="32">
        <f t="shared" si="13"/>
        <v>20833.333333333332</v>
      </c>
      <c r="F37" s="4">
        <f t="shared" si="10"/>
        <v>101.012</v>
      </c>
      <c r="G37" s="31">
        <f t="shared" si="14"/>
        <v>160275.00000000003</v>
      </c>
      <c r="H37" s="32">
        <f t="shared" si="15"/>
        <v>16538.281250000007</v>
      </c>
      <c r="I37" s="79">
        <f t="shared" si="16"/>
        <v>60255.550749999988</v>
      </c>
      <c r="J37" s="1"/>
      <c r="K37" s="123">
        <v>45814.625</v>
      </c>
      <c r="L37" s="3">
        <v>99.111999999999995</v>
      </c>
      <c r="M37" s="123">
        <v>45817.625</v>
      </c>
      <c r="N37" s="3">
        <v>97.316999999999993</v>
      </c>
    </row>
    <row r="38" spans="1:14" x14ac:dyDescent="0.3">
      <c r="A38" s="36">
        <v>45936</v>
      </c>
      <c r="B38" s="4">
        <f t="shared" si="7"/>
        <v>106.923</v>
      </c>
      <c r="C38" s="1">
        <f t="shared" si="11"/>
        <v>95.382000000000005</v>
      </c>
      <c r="D38" s="31">
        <f t="shared" si="12"/>
        <v>123965.69999999995</v>
      </c>
      <c r="E38" s="32">
        <f t="shared" si="13"/>
        <v>22916.666666666668</v>
      </c>
      <c r="F38" s="4">
        <f t="shared" si="10"/>
        <v>100.5</v>
      </c>
      <c r="G38" s="31">
        <f t="shared" si="14"/>
        <v>121875</v>
      </c>
      <c r="H38" s="32">
        <f t="shared" si="15"/>
        <v>18192.109375000007</v>
      </c>
      <c r="I38" s="79">
        <f t="shared" si="16"/>
        <v>31785.259624999911</v>
      </c>
      <c r="J38" s="1"/>
      <c r="K38" s="123">
        <v>45817.625</v>
      </c>
      <c r="L38" s="3">
        <v>97.832999999999998</v>
      </c>
      <c r="M38" s="123">
        <v>45818.625</v>
      </c>
      <c r="N38" s="3">
        <v>97.459000000000003</v>
      </c>
    </row>
    <row r="39" spans="1:14" x14ac:dyDescent="0.3">
      <c r="A39" s="36">
        <v>45937</v>
      </c>
      <c r="B39" s="4">
        <f t="shared" si="7"/>
        <v>106.367</v>
      </c>
      <c r="C39" s="1">
        <f t="shared" si="11"/>
        <v>94.826000000000008</v>
      </c>
      <c r="D39" s="31">
        <f t="shared" si="12"/>
        <v>130165.09999999992</v>
      </c>
      <c r="E39" s="32">
        <f t="shared" si="13"/>
        <v>23611.111111111113</v>
      </c>
      <c r="F39" s="4">
        <f t="shared" si="10"/>
        <v>100.55500000000001</v>
      </c>
      <c r="G39" s="31">
        <f t="shared" si="14"/>
        <v>126000.00000000051</v>
      </c>
      <c r="H39" s="32">
        <f t="shared" si="15"/>
        <v>18743.385416666664</v>
      </c>
      <c r="I39" s="79">
        <f t="shared" si="16"/>
        <v>35174.781583332726</v>
      </c>
      <c r="J39" s="1"/>
      <c r="K39" s="123">
        <v>45818.625</v>
      </c>
      <c r="L39" s="3">
        <v>97.355999999999995</v>
      </c>
      <c r="M39" s="123">
        <v>45819.625</v>
      </c>
      <c r="N39" s="3">
        <v>97.754000000000005</v>
      </c>
    </row>
    <row r="40" spans="1:14" x14ac:dyDescent="0.3">
      <c r="A40" s="36">
        <v>45938</v>
      </c>
      <c r="B40" s="4">
        <f t="shared" si="7"/>
        <v>104.837</v>
      </c>
      <c r="C40" s="1">
        <f t="shared" si="11"/>
        <v>93.296000000000006</v>
      </c>
      <c r="D40" s="31">
        <f t="shared" si="12"/>
        <v>147224.59999999992</v>
      </c>
      <c r="E40" s="32">
        <f t="shared" si="13"/>
        <v>24305.555555555558</v>
      </c>
      <c r="F40" s="4">
        <f t="shared" si="10"/>
        <v>100.562</v>
      </c>
      <c r="G40" s="31">
        <f t="shared" si="14"/>
        <v>126524.99999999981</v>
      </c>
      <c r="H40" s="32">
        <f t="shared" si="15"/>
        <v>19294.661458333336</v>
      </c>
      <c r="I40" s="79">
        <f t="shared" si="16"/>
        <v>54870.620541666744</v>
      </c>
      <c r="J40" s="1"/>
      <c r="K40" s="123">
        <v>45819.625</v>
      </c>
      <c r="L40" s="3">
        <v>96.275000000000006</v>
      </c>
      <c r="M40" s="123">
        <v>45820.625</v>
      </c>
      <c r="N40" s="3">
        <v>97.39</v>
      </c>
    </row>
    <row r="41" spans="1:14" x14ac:dyDescent="0.3">
      <c r="A41" s="36">
        <v>45939</v>
      </c>
      <c r="B41" s="4">
        <f t="shared" si="7"/>
        <v>104.482</v>
      </c>
      <c r="C41" s="1">
        <f t="shared" si="11"/>
        <v>92.941000000000003</v>
      </c>
      <c r="D41" s="31">
        <f t="shared" si="12"/>
        <v>151182.84999999998</v>
      </c>
      <c r="E41" s="32">
        <f t="shared" si="13"/>
        <v>25000</v>
      </c>
      <c r="F41" s="4">
        <f t="shared" si="10"/>
        <v>100.498</v>
      </c>
      <c r="G41" s="31">
        <f t="shared" si="14"/>
        <v>121725.00000000035</v>
      </c>
      <c r="H41" s="32">
        <f t="shared" si="15"/>
        <v>19845.937499999989</v>
      </c>
      <c r="I41" s="79">
        <f t="shared" si="16"/>
        <v>64562.996999999639</v>
      </c>
      <c r="J41" s="1"/>
      <c r="K41" s="123">
        <v>45820.625</v>
      </c>
      <c r="L41" s="3">
        <v>97.052999999999997</v>
      </c>
      <c r="M41" s="123">
        <v>45821.625</v>
      </c>
      <c r="N41" s="3">
        <v>97.503</v>
      </c>
    </row>
    <row r="42" spans="1:14" x14ac:dyDescent="0.3">
      <c r="A42" s="36">
        <v>45940</v>
      </c>
      <c r="B42" s="4">
        <f t="shared" si="7"/>
        <v>104.67</v>
      </c>
      <c r="C42" s="1">
        <f t="shared" si="11"/>
        <v>93.129000000000005</v>
      </c>
      <c r="D42" s="31">
        <f t="shared" si="12"/>
        <v>149086.64999999994</v>
      </c>
      <c r="E42" s="32">
        <f t="shared" si="13"/>
        <v>25694.444444444445</v>
      </c>
      <c r="F42" s="4">
        <f t="shared" si="10"/>
        <v>100.498</v>
      </c>
      <c r="G42" s="31">
        <f t="shared" si="14"/>
        <v>121725.00000000035</v>
      </c>
      <c r="H42" s="32">
        <f t="shared" si="15"/>
        <v>20397.213541666664</v>
      </c>
      <c r="I42" s="79">
        <f t="shared" si="16"/>
        <v>62371.666958332899</v>
      </c>
      <c r="J42" s="1"/>
      <c r="K42" s="123">
        <v>45821.625</v>
      </c>
      <c r="L42" s="3">
        <v>100.646</v>
      </c>
      <c r="M42" s="123">
        <v>45824.625</v>
      </c>
      <c r="N42" s="3">
        <v>97.588999999999999</v>
      </c>
    </row>
    <row r="43" spans="1:14" x14ac:dyDescent="0.3">
      <c r="A43" s="36">
        <v>45943</v>
      </c>
      <c r="B43" s="4">
        <f t="shared" si="7"/>
        <v>108.026</v>
      </c>
      <c r="C43" s="1">
        <f t="shared" si="11"/>
        <v>96.484999999999999</v>
      </c>
      <c r="D43" s="31">
        <f t="shared" si="12"/>
        <v>111667.25</v>
      </c>
      <c r="E43" s="32">
        <f t="shared" si="13"/>
        <v>27777.777777777777</v>
      </c>
      <c r="F43" s="4">
        <f t="shared" si="10"/>
        <v>100.498</v>
      </c>
      <c r="G43" s="31">
        <f t="shared" si="14"/>
        <v>121725.00000000035</v>
      </c>
      <c r="H43" s="32">
        <f t="shared" si="15"/>
        <v>22051.041666666664</v>
      </c>
      <c r="I43" s="79">
        <f t="shared" si="16"/>
        <v>19374.640833332982</v>
      </c>
      <c r="J43" s="1"/>
      <c r="K43" s="123">
        <v>45824.625</v>
      </c>
      <c r="L43" s="3">
        <v>98.992000000000004</v>
      </c>
      <c r="M43" s="123">
        <v>45825.625</v>
      </c>
      <c r="N43" s="3">
        <v>97.742000000000004</v>
      </c>
    </row>
    <row r="44" spans="1:14" x14ac:dyDescent="0.3">
      <c r="A44" s="36">
        <v>45944</v>
      </c>
      <c r="B44" s="4">
        <f t="shared" si="7"/>
        <v>108.004</v>
      </c>
      <c r="C44" s="1">
        <f t="shared" si="11"/>
        <v>96.463000000000008</v>
      </c>
      <c r="D44" s="31">
        <f t="shared" si="12"/>
        <v>111912.54999999992</v>
      </c>
      <c r="E44" s="32">
        <f t="shared" si="13"/>
        <v>28472.222222222223</v>
      </c>
      <c r="F44" s="4">
        <f t="shared" si="10"/>
        <v>99.984999999999999</v>
      </c>
      <c r="G44" s="31">
        <f t="shared" si="14"/>
        <v>83249.999999999956</v>
      </c>
      <c r="H44" s="32">
        <f t="shared" si="15"/>
        <v>22602.317708333336</v>
      </c>
      <c r="I44" s="79">
        <f t="shared" si="16"/>
        <v>58397.865791666605</v>
      </c>
      <c r="J44" s="1"/>
      <c r="K44" s="123">
        <v>45825.625</v>
      </c>
      <c r="L44" s="3">
        <v>99.960999999999999</v>
      </c>
      <c r="M44" s="123">
        <v>45826.625</v>
      </c>
      <c r="N44" s="3">
        <v>97.769000000000005</v>
      </c>
    </row>
    <row r="45" spans="1:14" x14ac:dyDescent="0.3">
      <c r="A45" s="36">
        <v>45945</v>
      </c>
      <c r="B45" s="4">
        <f t="shared" si="7"/>
        <v>101.48</v>
      </c>
      <c r="C45" s="1">
        <f t="shared" si="11"/>
        <v>89.939000000000007</v>
      </c>
      <c r="D45" s="31">
        <f t="shared" si="12"/>
        <v>184655.14999999991</v>
      </c>
      <c r="E45" s="32">
        <f t="shared" si="13"/>
        <v>29166.666666666664</v>
      </c>
      <c r="F45" s="4">
        <f t="shared" si="10"/>
        <v>100.788</v>
      </c>
      <c r="G45" s="31">
        <f t="shared" si="14"/>
        <v>143474.99999999974</v>
      </c>
      <c r="H45" s="32">
        <f t="shared" si="15"/>
        <v>23153.59375</v>
      </c>
      <c r="I45" s="79">
        <f t="shared" si="16"/>
        <v>83542.931750000134</v>
      </c>
      <c r="J45" s="1"/>
      <c r="K45" s="123">
        <v>45826.625</v>
      </c>
      <c r="L45" s="3">
        <v>101.992</v>
      </c>
      <c r="M45" s="123">
        <v>45828.625</v>
      </c>
      <c r="N45" s="3">
        <v>97.44</v>
      </c>
    </row>
    <row r="46" spans="1:14" x14ac:dyDescent="0.3">
      <c r="A46" s="36">
        <v>45946</v>
      </c>
      <c r="B46" s="4">
        <f t="shared" si="7"/>
        <v>100.968</v>
      </c>
      <c r="C46" s="1">
        <f t="shared" si="11"/>
        <v>89.427000000000007</v>
      </c>
      <c r="D46" s="31">
        <f t="shared" si="12"/>
        <v>190363.94999999995</v>
      </c>
      <c r="E46" s="32">
        <f t="shared" si="13"/>
        <v>29861.111111111109</v>
      </c>
      <c r="F46" s="4">
        <f t="shared" si="10"/>
        <v>100.84099999999999</v>
      </c>
      <c r="G46" s="31">
        <f t="shared" si="14"/>
        <v>147449.99999999956</v>
      </c>
      <c r="H46" s="32">
        <f t="shared" si="15"/>
        <v>23704.869791666672</v>
      </c>
      <c r="I46" s="79">
        <f t="shared" si="16"/>
        <v>86508.451708333698</v>
      </c>
      <c r="J46" s="1"/>
      <c r="K46" s="123">
        <v>45827.625</v>
      </c>
      <c r="L46" s="3">
        <v>105.15300000000001</v>
      </c>
      <c r="M46" s="123">
        <v>45831.625</v>
      </c>
      <c r="N46" s="3">
        <v>97.382000000000005</v>
      </c>
    </row>
    <row r="47" spans="1:14" x14ac:dyDescent="0.3">
      <c r="A47" s="36">
        <v>45947</v>
      </c>
      <c r="B47" s="4">
        <f t="shared" si="7"/>
        <v>105.54600000000001</v>
      </c>
      <c r="C47" s="1">
        <f t="shared" si="11"/>
        <v>94.00500000000001</v>
      </c>
      <c r="D47" s="31">
        <f t="shared" si="12"/>
        <v>139319.24999999991</v>
      </c>
      <c r="E47" s="32">
        <f t="shared" si="13"/>
        <v>30555.555555555555</v>
      </c>
      <c r="F47" s="4">
        <f t="shared" si="10"/>
        <v>100.818</v>
      </c>
      <c r="G47" s="31">
        <f t="shared" si="14"/>
        <v>145724.99999999983</v>
      </c>
      <c r="H47" s="32">
        <f t="shared" si="15"/>
        <v>24256.145833333336</v>
      </c>
      <c r="I47" s="79">
        <f t="shared" si="16"/>
        <v>28772.376666666743</v>
      </c>
      <c r="J47" s="1"/>
      <c r="K47" s="123">
        <v>45828.625</v>
      </c>
      <c r="L47" s="3">
        <v>104.91800000000001</v>
      </c>
      <c r="M47" s="123">
        <v>45832.625</v>
      </c>
      <c r="N47" s="3">
        <v>97.813000000000002</v>
      </c>
    </row>
    <row r="48" spans="1:14" x14ac:dyDescent="0.3">
      <c r="A48" s="36">
        <v>45950</v>
      </c>
      <c r="B48" s="4">
        <f t="shared" si="7"/>
        <v>106.801</v>
      </c>
      <c r="C48" s="1">
        <f t="shared" si="11"/>
        <v>95.26</v>
      </c>
      <c r="D48" s="31">
        <f t="shared" si="12"/>
        <v>125325.99999999996</v>
      </c>
      <c r="E48" s="32">
        <f t="shared" si="13"/>
        <v>32638.888888888891</v>
      </c>
      <c r="F48" s="4">
        <f t="shared" si="10"/>
        <v>100.959</v>
      </c>
      <c r="G48" s="31">
        <f t="shared" si="14"/>
        <v>156300.00000000023</v>
      </c>
      <c r="H48" s="32">
        <f t="shared" si="15"/>
        <v>25909.973958333343</v>
      </c>
      <c r="I48" s="79">
        <f t="shared" si="16"/>
        <v>2608.9460416663496</v>
      </c>
      <c r="J48" s="1"/>
      <c r="K48" s="123">
        <v>45831.625</v>
      </c>
      <c r="L48" s="3">
        <v>105.04900000000001</v>
      </c>
      <c r="M48" s="123">
        <v>45833.625</v>
      </c>
      <c r="N48" s="3">
        <v>97.658000000000001</v>
      </c>
    </row>
    <row r="49" spans="1:14" x14ac:dyDescent="0.3">
      <c r="A49" s="36">
        <v>45951</v>
      </c>
      <c r="B49" s="4">
        <f t="shared" si="7"/>
        <v>104.645</v>
      </c>
      <c r="C49" s="1">
        <f t="shared" si="11"/>
        <v>93.103999999999999</v>
      </c>
      <c r="D49" s="31">
        <f t="shared" si="12"/>
        <v>149365.4</v>
      </c>
      <c r="E49" s="32">
        <f t="shared" si="13"/>
        <v>33333.333333333336</v>
      </c>
      <c r="F49" s="4">
        <f t="shared" si="10"/>
        <v>100.905</v>
      </c>
      <c r="G49" s="31">
        <f t="shared" si="14"/>
        <v>152250.00000000009</v>
      </c>
      <c r="H49" s="32">
        <f t="shared" si="15"/>
        <v>26461.25</v>
      </c>
      <c r="I49" s="79">
        <f t="shared" si="16"/>
        <v>35046.267999999895</v>
      </c>
      <c r="J49" s="1"/>
      <c r="K49" s="123">
        <v>45832.625</v>
      </c>
      <c r="L49" s="3">
        <v>98.676000000000002</v>
      </c>
      <c r="M49" s="123">
        <v>45834.625</v>
      </c>
      <c r="N49" s="3">
        <v>97.56</v>
      </c>
    </row>
    <row r="50" spans="1:14" x14ac:dyDescent="0.3">
      <c r="A50" s="36">
        <v>45952</v>
      </c>
      <c r="B50" s="4">
        <f t="shared" si="7"/>
        <v>105.12</v>
      </c>
      <c r="C50" s="1">
        <f t="shared" si="11"/>
        <v>93.579000000000008</v>
      </c>
      <c r="D50" s="31">
        <f t="shared" si="12"/>
        <v>144069.14999999994</v>
      </c>
      <c r="E50" s="32">
        <f t="shared" si="13"/>
        <v>34027.777777777781</v>
      </c>
      <c r="F50" s="4">
        <f t="shared" si="10"/>
        <v>100.807</v>
      </c>
      <c r="G50" s="31">
        <f t="shared" si="14"/>
        <v>144900.00000000015</v>
      </c>
      <c r="H50" s="32">
        <f t="shared" si="15"/>
        <v>27012.526041666679</v>
      </c>
      <c r="I50" s="79">
        <f t="shared" si="16"/>
        <v>36460.879458333082</v>
      </c>
      <c r="J50" s="1"/>
      <c r="K50" s="123">
        <v>45833.625</v>
      </c>
      <c r="L50" s="3">
        <v>99.372</v>
      </c>
      <c r="M50" s="123">
        <v>45835.625</v>
      </c>
      <c r="N50" s="3">
        <v>97.772000000000006</v>
      </c>
    </row>
    <row r="51" spans="1:14" x14ac:dyDescent="0.3">
      <c r="A51" s="36">
        <v>45953</v>
      </c>
      <c r="B51" s="4">
        <f t="shared" si="7"/>
        <v>105.02200000000001</v>
      </c>
      <c r="C51" s="1">
        <f t="shared" si="11"/>
        <v>93.481000000000009</v>
      </c>
      <c r="D51" s="31">
        <f t="shared" si="12"/>
        <v>145161.84999999992</v>
      </c>
      <c r="E51" s="32">
        <f t="shared" si="13"/>
        <v>34722.222222222226</v>
      </c>
      <c r="F51" s="4">
        <f t="shared" si="10"/>
        <v>100.815</v>
      </c>
      <c r="G51" s="31">
        <f t="shared" si="14"/>
        <v>145499.99999999983</v>
      </c>
      <c r="H51" s="32">
        <f t="shared" si="15"/>
        <v>27563.802083333328</v>
      </c>
      <c r="I51" s="79">
        <f t="shared" si="16"/>
        <v>37400.562416666726</v>
      </c>
      <c r="J51" s="1"/>
      <c r="K51" s="123">
        <v>45834.625</v>
      </c>
      <c r="L51" s="3">
        <v>99.778000000000006</v>
      </c>
      <c r="M51" s="123">
        <v>45838.625</v>
      </c>
      <c r="N51" s="3">
        <v>97.974999999999994</v>
      </c>
    </row>
    <row r="52" spans="1:14" x14ac:dyDescent="0.3">
      <c r="A52" s="36">
        <v>45954</v>
      </c>
      <c r="B52" s="4">
        <f t="shared" si="7"/>
        <v>104.67</v>
      </c>
      <c r="C52" s="1">
        <f t="shared" si="11"/>
        <v>93.129000000000005</v>
      </c>
      <c r="D52" s="31">
        <f t="shared" si="12"/>
        <v>149086.64999999994</v>
      </c>
      <c r="E52" s="32">
        <f t="shared" si="13"/>
        <v>35416.666666666672</v>
      </c>
      <c r="F52" s="4">
        <f t="shared" si="10"/>
        <v>100.911</v>
      </c>
      <c r="G52" s="31">
        <f t="shared" si="14"/>
        <v>152700.00000000009</v>
      </c>
      <c r="H52" s="32">
        <f t="shared" si="15"/>
        <v>28115.078125</v>
      </c>
      <c r="I52" s="79">
        <f t="shared" si="16"/>
        <v>35053.802374999825</v>
      </c>
      <c r="J52" s="1"/>
      <c r="K52" s="123">
        <v>45835.625</v>
      </c>
      <c r="L52" s="3">
        <v>98.491</v>
      </c>
      <c r="M52" s="123">
        <v>45839.625</v>
      </c>
      <c r="N52" s="3">
        <v>98.146000000000001</v>
      </c>
    </row>
    <row r="53" spans="1:14" x14ac:dyDescent="0.3">
      <c r="A53" s="36">
        <v>45957</v>
      </c>
      <c r="B53" s="4">
        <f t="shared" si="7"/>
        <v>102.34399999999999</v>
      </c>
      <c r="C53" s="1">
        <f t="shared" si="11"/>
        <v>90.802999999999997</v>
      </c>
      <c r="D53" s="31">
        <f t="shared" si="12"/>
        <v>175021.55000000002</v>
      </c>
      <c r="E53" s="32">
        <f t="shared" si="13"/>
        <v>37500</v>
      </c>
      <c r="F53" s="4">
        <f t="shared" si="10"/>
        <v>101.36</v>
      </c>
      <c r="G53" s="31">
        <f t="shared" si="14"/>
        <v>186374.99999999994</v>
      </c>
      <c r="H53" s="32">
        <f t="shared" si="15"/>
        <v>29768.906250000015</v>
      </c>
      <c r="I53" s="79">
        <f t="shared" si="16"/>
        <v>32506.307250000056</v>
      </c>
      <c r="J53" s="1"/>
      <c r="K53" s="123">
        <v>45838.625</v>
      </c>
      <c r="L53" s="3">
        <v>97.775999999999996</v>
      </c>
      <c r="M53" s="123">
        <v>45840.625</v>
      </c>
      <c r="N53" s="3">
        <v>98.274000000000001</v>
      </c>
    </row>
    <row r="54" spans="1:14" x14ac:dyDescent="0.3">
      <c r="A54" s="36">
        <v>45958</v>
      </c>
      <c r="B54" s="4">
        <f t="shared" si="7"/>
        <v>101.04600000000001</v>
      </c>
      <c r="C54" s="1">
        <f t="shared" si="11"/>
        <v>89.50500000000001</v>
      </c>
      <c r="D54" s="31">
        <f t="shared" si="12"/>
        <v>189494.24999999991</v>
      </c>
      <c r="E54" s="32">
        <f t="shared" si="13"/>
        <v>38194.444444444445</v>
      </c>
      <c r="F54" s="4">
        <f t="shared" si="10"/>
        <v>101.509</v>
      </c>
      <c r="G54" s="31">
        <f t="shared" si="14"/>
        <v>197550.00000000003</v>
      </c>
      <c r="H54" s="32">
        <f t="shared" si="15"/>
        <v>30320.182291666672</v>
      </c>
      <c r="I54" s="79">
        <f t="shared" si="16"/>
        <v>38525.590208333146</v>
      </c>
      <c r="J54" s="1"/>
      <c r="K54" s="123">
        <v>45839.625</v>
      </c>
      <c r="L54" s="3">
        <v>97.828000000000003</v>
      </c>
      <c r="M54" s="123">
        <v>45841.625</v>
      </c>
      <c r="N54" s="3">
        <v>98.831000000000003</v>
      </c>
    </row>
    <row r="55" spans="1:14" x14ac:dyDescent="0.3">
      <c r="A55" s="36">
        <v>45959</v>
      </c>
      <c r="B55" s="4">
        <f t="shared" si="7"/>
        <v>99.816999999999993</v>
      </c>
      <c r="C55" s="1">
        <f t="shared" si="11"/>
        <v>88.275999999999996</v>
      </c>
      <c r="D55" s="31">
        <f t="shared" si="12"/>
        <v>203197.60000000003</v>
      </c>
      <c r="E55" s="32">
        <f t="shared" si="13"/>
        <v>38888.888888888891</v>
      </c>
      <c r="F55" s="4">
        <f t="shared" si="10"/>
        <v>101.55800000000001</v>
      </c>
      <c r="G55" s="31">
        <f t="shared" si="14"/>
        <v>201225.00000000052</v>
      </c>
      <c r="H55" s="32">
        <f t="shared" si="15"/>
        <v>30871.458333333328</v>
      </c>
      <c r="I55" s="79">
        <f t="shared" si="16"/>
        <v>51144.733666666129</v>
      </c>
      <c r="J55" s="1"/>
      <c r="K55" s="123">
        <v>45840.625</v>
      </c>
      <c r="L55" s="3">
        <v>96.846999999999994</v>
      </c>
      <c r="M55" s="123">
        <v>45845.625</v>
      </c>
      <c r="N55" s="3">
        <v>98.700999999999993</v>
      </c>
    </row>
    <row r="56" spans="1:14" x14ac:dyDescent="0.3">
      <c r="A56" s="36">
        <v>45960</v>
      </c>
      <c r="B56" s="4">
        <f t="shared" si="7"/>
        <v>100.447</v>
      </c>
      <c r="C56" s="1">
        <f t="shared" ref="C56:C57" si="17">B56-$F$8</f>
        <v>88.906000000000006</v>
      </c>
      <c r="D56" s="31">
        <f t="shared" ref="D56:D57" si="18">-1*(C56-$C$14)*10^-4*$B$8*$B$5</f>
        <v>196173.09999999995</v>
      </c>
      <c r="E56" s="32">
        <f t="shared" ref="E56:E57" si="19">$B$6*(A56-$A$14)/360*$B$5</f>
        <v>39583.333333333336</v>
      </c>
      <c r="F56" s="4">
        <f t="shared" si="10"/>
        <v>101.387</v>
      </c>
      <c r="G56" s="31">
        <f t="shared" ref="G56:G57" si="20">(F56-$F$14)/100*$C$5</f>
        <v>188400.00000000003</v>
      </c>
      <c r="H56" s="32">
        <f t="shared" ref="H56:H57" si="21">$C$6*(A56-$A$14)/360*$C$5-$C$7*(A56-$A$14)/360*$C$5*$F$14/100</f>
        <v>31422.734374999993</v>
      </c>
      <c r="I56" s="79">
        <f t="shared" ref="I56:I57" si="22">(D56+E56)*$B$9-G56-H56</f>
        <v>56012.292624999922</v>
      </c>
      <c r="J56" s="1"/>
      <c r="K56" s="123">
        <v>45841.625</v>
      </c>
      <c r="L56" s="3">
        <v>96.338999999999999</v>
      </c>
      <c r="M56" s="123">
        <v>45846.625</v>
      </c>
      <c r="N56" s="3">
        <v>98.694999999999993</v>
      </c>
    </row>
    <row r="57" spans="1:14" x14ac:dyDescent="0.3">
      <c r="A57" s="36">
        <v>45961</v>
      </c>
      <c r="B57" s="4">
        <f>$B$10</f>
        <v>101.0136</v>
      </c>
      <c r="C57" s="1">
        <f t="shared" si="17"/>
        <v>89.4726</v>
      </c>
      <c r="D57" s="31">
        <f t="shared" si="18"/>
        <v>189855.51</v>
      </c>
      <c r="E57" s="32">
        <f t="shared" si="19"/>
        <v>40277.777777777774</v>
      </c>
      <c r="F57" s="4">
        <f>$C$10</f>
        <v>101.184</v>
      </c>
      <c r="G57" s="31">
        <f t="shared" si="20"/>
        <v>173174.99999999983</v>
      </c>
      <c r="H57" s="32">
        <f t="shared" si="21"/>
        <v>31974.010416666686</v>
      </c>
      <c r="I57" s="79">
        <f t="shared" si="22"/>
        <v>64106.93628333346</v>
      </c>
      <c r="J57" s="1"/>
      <c r="K57" s="123">
        <v>45842.625</v>
      </c>
      <c r="L57" s="3">
        <v>97.531999999999996</v>
      </c>
      <c r="M57" s="123">
        <v>45847.625</v>
      </c>
      <c r="N57" s="3">
        <v>99.075000000000003</v>
      </c>
    </row>
    <row r="58" spans="1:14" x14ac:dyDescent="0.3">
      <c r="A58" s="36">
        <v>45964</v>
      </c>
      <c r="B58" s="4"/>
      <c r="C58" s="1"/>
      <c r="D58" s="31"/>
      <c r="E58" s="32"/>
      <c r="F58" s="4"/>
      <c r="G58" s="31"/>
      <c r="H58" s="32"/>
      <c r="I58" s="79"/>
      <c r="J58" s="1"/>
      <c r="K58" s="123">
        <v>45845.625</v>
      </c>
      <c r="L58" s="3">
        <v>97.003</v>
      </c>
      <c r="M58" s="123">
        <v>45848.625</v>
      </c>
      <c r="N58" s="3">
        <v>98.983000000000004</v>
      </c>
    </row>
    <row r="59" spans="1:14" x14ac:dyDescent="0.3">
      <c r="A59" s="36">
        <v>45965</v>
      </c>
      <c r="B59" s="4"/>
      <c r="C59" s="1"/>
      <c r="D59" s="31"/>
      <c r="E59" s="32"/>
      <c r="F59" s="4"/>
      <c r="G59" s="31"/>
      <c r="H59" s="32"/>
      <c r="I59" s="79"/>
      <c r="J59" s="1"/>
      <c r="K59" s="123">
        <v>45846.625</v>
      </c>
      <c r="L59" s="3">
        <v>96.25</v>
      </c>
      <c r="M59" s="123">
        <v>45849.625</v>
      </c>
      <c r="N59" s="3">
        <v>98.903999999999996</v>
      </c>
    </row>
    <row r="60" spans="1:14" x14ac:dyDescent="0.3">
      <c r="A60" s="36">
        <v>45966</v>
      </c>
      <c r="B60" s="4"/>
      <c r="C60" s="1"/>
      <c r="D60" s="31"/>
      <c r="E60" s="32"/>
      <c r="F60" s="4"/>
      <c r="G60" s="31"/>
      <c r="H60" s="32"/>
      <c r="I60" s="79"/>
      <c r="J60" s="1"/>
      <c r="K60" s="123">
        <v>45847.625</v>
      </c>
      <c r="L60" s="3">
        <v>96.17</v>
      </c>
      <c r="M60" s="123">
        <v>45852.625</v>
      </c>
      <c r="N60" s="3">
        <v>98.831999999999994</v>
      </c>
    </row>
    <row r="61" spans="1:14" x14ac:dyDescent="0.3">
      <c r="A61" s="36">
        <v>45967</v>
      </c>
      <c r="B61" s="4"/>
      <c r="C61" s="1"/>
      <c r="D61" s="31"/>
      <c r="E61" s="32"/>
      <c r="F61" s="4"/>
      <c r="G61" s="31"/>
      <c r="H61" s="32"/>
      <c r="I61" s="79"/>
      <c r="J61" s="1"/>
      <c r="K61" s="123">
        <v>45848.625</v>
      </c>
      <c r="L61" s="3">
        <v>94.885999999999996</v>
      </c>
      <c r="M61" s="123">
        <v>45853.625</v>
      </c>
      <c r="N61" s="3">
        <v>98.623999999999995</v>
      </c>
    </row>
    <row r="62" spans="1:14" x14ac:dyDescent="0.3">
      <c r="A62" s="36">
        <v>45968</v>
      </c>
      <c r="B62" s="4"/>
      <c r="C62" s="1"/>
      <c r="D62" s="31"/>
      <c r="E62" s="32"/>
      <c r="F62" s="4"/>
      <c r="G62" s="31"/>
      <c r="H62" s="32"/>
      <c r="I62" s="79"/>
      <c r="J62" s="1"/>
      <c r="K62" s="123">
        <v>45849.625</v>
      </c>
      <c r="L62" s="3">
        <v>96.510999999999996</v>
      </c>
      <c r="M62" s="123">
        <v>45854.625</v>
      </c>
      <c r="N62" s="3">
        <v>98.533000000000001</v>
      </c>
    </row>
    <row r="63" spans="1:14" x14ac:dyDescent="0.3">
      <c r="A63" s="36">
        <v>45969</v>
      </c>
      <c r="B63" s="4"/>
      <c r="C63" s="1"/>
      <c r="D63" s="31"/>
      <c r="E63" s="32"/>
      <c r="F63" s="4"/>
      <c r="G63" s="31"/>
      <c r="H63" s="32"/>
      <c r="I63" s="79"/>
      <c r="J63" s="1"/>
      <c r="K63" s="123">
        <v>45852.625</v>
      </c>
      <c r="L63" s="3">
        <v>97.629000000000005</v>
      </c>
      <c r="M63" s="123">
        <v>45855.625</v>
      </c>
      <c r="N63" s="3">
        <v>98.546000000000006</v>
      </c>
    </row>
    <row r="64" spans="1:14" x14ac:dyDescent="0.3">
      <c r="A64" s="36">
        <v>45970</v>
      </c>
      <c r="B64" s="4"/>
      <c r="C64" s="1"/>
      <c r="D64" s="31"/>
      <c r="E64" s="32"/>
      <c r="F64" s="4"/>
      <c r="G64" s="31"/>
      <c r="H64" s="32"/>
      <c r="I64" s="79"/>
      <c r="J64" s="1"/>
      <c r="K64" s="123">
        <v>45853.625</v>
      </c>
      <c r="L64" s="3">
        <v>97.247</v>
      </c>
      <c r="M64" s="123">
        <v>45856.625</v>
      </c>
      <c r="N64" s="3">
        <v>98.555999999999997</v>
      </c>
    </row>
    <row r="65" spans="2:14" x14ac:dyDescent="0.3">
      <c r="B65" s="4"/>
      <c r="C65" s="1"/>
      <c r="D65" s="31"/>
      <c r="E65" s="5"/>
      <c r="F65" s="4"/>
      <c r="G65" s="1"/>
      <c r="H65" s="5"/>
      <c r="I65" s="78"/>
      <c r="J65" s="1"/>
      <c r="K65" s="123">
        <v>45854.625</v>
      </c>
      <c r="L65" s="3">
        <v>98.581000000000003</v>
      </c>
      <c r="M65" s="123">
        <v>45859.625</v>
      </c>
      <c r="N65" s="3">
        <v>98.796999999999997</v>
      </c>
    </row>
    <row r="66" spans="2:14" x14ac:dyDescent="0.3">
      <c r="B66" s="33"/>
      <c r="E66" s="34"/>
      <c r="F66" s="33"/>
      <c r="H66" s="34"/>
      <c r="I66" s="80"/>
      <c r="K66" s="123">
        <v>45855.625</v>
      </c>
      <c r="L66" s="3">
        <v>97.709000000000003</v>
      </c>
      <c r="M66" s="123">
        <v>45860.625</v>
      </c>
      <c r="N66" s="3">
        <v>98.896000000000001</v>
      </c>
    </row>
    <row r="67" spans="2:14" ht="15" thickBot="1" x14ac:dyDescent="0.35">
      <c r="B67" s="35"/>
      <c r="C67" s="12"/>
      <c r="D67" s="67"/>
      <c r="E67" s="13"/>
      <c r="F67" s="35"/>
      <c r="G67" s="12"/>
      <c r="H67" s="13"/>
      <c r="I67" s="81"/>
      <c r="K67" s="123">
        <v>45856.625</v>
      </c>
      <c r="L67" s="3">
        <v>97.168999999999997</v>
      </c>
      <c r="M67" s="123">
        <v>45861.625</v>
      </c>
      <c r="N67" s="3">
        <v>98.986999999999995</v>
      </c>
    </row>
    <row r="68" spans="2:14" x14ac:dyDescent="0.3">
      <c r="K68" s="123">
        <v>45859.625</v>
      </c>
      <c r="L68" s="3">
        <v>97.474000000000004</v>
      </c>
      <c r="M68" s="123">
        <v>45862.625</v>
      </c>
      <c r="N68" s="3">
        <v>99.215000000000003</v>
      </c>
    </row>
    <row r="69" spans="2:14" x14ac:dyDescent="0.3">
      <c r="K69" s="123">
        <v>45860.625</v>
      </c>
      <c r="L69" s="3">
        <v>98.94</v>
      </c>
      <c r="M69" s="123">
        <v>45863.625</v>
      </c>
      <c r="N69" s="3">
        <v>99.356999999999999</v>
      </c>
    </row>
    <row r="70" spans="2:14" x14ac:dyDescent="0.3">
      <c r="K70" s="123">
        <v>45861.625</v>
      </c>
      <c r="L70" s="3">
        <v>97.263999999999996</v>
      </c>
      <c r="M70" s="123">
        <v>45866.625</v>
      </c>
      <c r="N70" s="3">
        <v>99.575000000000003</v>
      </c>
    </row>
    <row r="71" spans="2:14" x14ac:dyDescent="0.3">
      <c r="K71" s="123">
        <v>45862.625</v>
      </c>
      <c r="L71" s="3">
        <v>96.298000000000002</v>
      </c>
      <c r="M71" s="123">
        <v>45867.625</v>
      </c>
      <c r="N71" s="3">
        <v>99.679000000000002</v>
      </c>
    </row>
    <row r="72" spans="2:14" x14ac:dyDescent="0.3">
      <c r="K72" s="123">
        <v>45863.625</v>
      </c>
      <c r="L72" s="3">
        <v>96.741</v>
      </c>
      <c r="M72" s="123">
        <v>45868.625</v>
      </c>
      <c r="N72" s="3">
        <v>99.745999999999995</v>
      </c>
    </row>
    <row r="73" spans="2:14" x14ac:dyDescent="0.3">
      <c r="K73" s="123">
        <v>45866.625</v>
      </c>
      <c r="L73" s="3">
        <v>94.462000000000003</v>
      </c>
      <c r="M73" s="123">
        <v>45869.625</v>
      </c>
      <c r="N73" s="3">
        <v>99.888000000000005</v>
      </c>
    </row>
    <row r="74" spans="2:14" x14ac:dyDescent="0.3">
      <c r="K74" s="123">
        <v>45867.625</v>
      </c>
      <c r="L74" s="3">
        <v>94.534000000000006</v>
      </c>
      <c r="M74" s="123">
        <v>45870.625</v>
      </c>
      <c r="N74" s="3">
        <v>99.468999999999994</v>
      </c>
    </row>
    <row r="75" spans="2:14" x14ac:dyDescent="0.3">
      <c r="K75" s="123">
        <v>45868.625</v>
      </c>
      <c r="L75" s="3">
        <v>94.784000000000006</v>
      </c>
      <c r="M75" s="123">
        <v>45873.625</v>
      </c>
      <c r="N75" s="3">
        <v>99.652000000000001</v>
      </c>
    </row>
    <row r="76" spans="2:14" x14ac:dyDescent="0.3">
      <c r="K76" s="123">
        <v>45869.625</v>
      </c>
      <c r="L76" s="3">
        <v>94.63</v>
      </c>
      <c r="M76" s="123">
        <v>45874.625</v>
      </c>
      <c r="N76" s="3">
        <v>99.858000000000004</v>
      </c>
    </row>
    <row r="77" spans="2:14" x14ac:dyDescent="0.3">
      <c r="K77" s="123">
        <v>45870.625</v>
      </c>
      <c r="L77" s="3">
        <v>98.915000000000006</v>
      </c>
      <c r="M77" s="123">
        <v>45875.625</v>
      </c>
      <c r="N77" s="3">
        <v>100.123</v>
      </c>
    </row>
    <row r="78" spans="2:14" x14ac:dyDescent="0.3">
      <c r="K78" s="123">
        <v>45873.625</v>
      </c>
      <c r="L78" s="3">
        <v>98.665000000000006</v>
      </c>
      <c r="M78" s="123">
        <v>45876.625</v>
      </c>
      <c r="N78" s="3">
        <v>100.367</v>
      </c>
    </row>
    <row r="79" spans="2:14" x14ac:dyDescent="0.3">
      <c r="K79" s="123">
        <v>45874.625</v>
      </c>
      <c r="L79" s="3">
        <v>97.302999999999997</v>
      </c>
      <c r="M79" s="123">
        <v>45877.625</v>
      </c>
      <c r="N79" s="3">
        <v>100.40600000000001</v>
      </c>
    </row>
    <row r="80" spans="2:14" x14ac:dyDescent="0.3">
      <c r="K80" s="123">
        <v>45875.625</v>
      </c>
      <c r="L80" s="3">
        <v>97.346999999999994</v>
      </c>
      <c r="M80" s="123">
        <v>45880.625</v>
      </c>
      <c r="N80" s="3">
        <v>100.592</v>
      </c>
    </row>
    <row r="81" spans="11:14" x14ac:dyDescent="0.3">
      <c r="K81" s="123">
        <v>45876.625</v>
      </c>
      <c r="L81" s="3">
        <v>95.873999999999995</v>
      </c>
      <c r="M81" s="123">
        <v>45881.625</v>
      </c>
      <c r="N81" s="3">
        <v>100.723</v>
      </c>
    </row>
    <row r="82" spans="11:14" x14ac:dyDescent="0.3">
      <c r="K82" s="123">
        <v>45877.625</v>
      </c>
      <c r="L82" s="3">
        <v>95.239000000000004</v>
      </c>
      <c r="M82" s="123">
        <v>45882.625</v>
      </c>
      <c r="N82" s="3">
        <v>100.87</v>
      </c>
    </row>
    <row r="83" spans="11:14" x14ac:dyDescent="0.3">
      <c r="K83" s="123">
        <v>45880.625</v>
      </c>
      <c r="L83" s="3">
        <v>94.683000000000007</v>
      </c>
      <c r="M83" s="123">
        <v>45883.625</v>
      </c>
      <c r="N83" s="3">
        <v>100.889</v>
      </c>
    </row>
    <row r="84" spans="11:14" x14ac:dyDescent="0.3">
      <c r="K84" s="123">
        <v>45881.625</v>
      </c>
      <c r="L84" s="3">
        <v>94.650999999999996</v>
      </c>
      <c r="M84" s="123">
        <v>45884.625</v>
      </c>
      <c r="N84" s="3">
        <v>101.062</v>
      </c>
    </row>
    <row r="85" spans="11:14" x14ac:dyDescent="0.3">
      <c r="K85" s="123">
        <v>45882.625</v>
      </c>
      <c r="L85" s="3">
        <v>92.992999999999995</v>
      </c>
      <c r="M85" s="123">
        <v>45887.625</v>
      </c>
      <c r="N85" s="3">
        <v>100.98699999999999</v>
      </c>
    </row>
    <row r="86" spans="11:14" x14ac:dyDescent="0.3">
      <c r="K86" s="123">
        <v>45883.625</v>
      </c>
      <c r="L86" s="3">
        <v>92.293999999999997</v>
      </c>
      <c r="M86" s="123">
        <v>45888.625</v>
      </c>
      <c r="N86" s="3">
        <v>101.111</v>
      </c>
    </row>
    <row r="87" spans="11:14" x14ac:dyDescent="0.3">
      <c r="K87" s="123">
        <v>45884.625</v>
      </c>
      <c r="L87" s="3">
        <v>91.725999999999999</v>
      </c>
      <c r="M87" s="123">
        <v>45889.625</v>
      </c>
      <c r="N87" s="3">
        <v>100.663</v>
      </c>
    </row>
    <row r="88" spans="11:14" x14ac:dyDescent="0.3">
      <c r="K88" s="123">
        <v>45887.625</v>
      </c>
      <c r="L88" s="3">
        <v>92.222999999999999</v>
      </c>
      <c r="M88" s="123">
        <v>45890.625</v>
      </c>
      <c r="N88" s="3">
        <v>100.253</v>
      </c>
    </row>
    <row r="89" spans="11:14" x14ac:dyDescent="0.3">
      <c r="K89" s="123">
        <v>45888.625</v>
      </c>
      <c r="L89" s="3">
        <v>92.4</v>
      </c>
      <c r="M89" s="123">
        <v>45891.625</v>
      </c>
      <c r="N89" s="3">
        <v>100.52800000000001</v>
      </c>
    </row>
    <row r="90" spans="11:14" x14ac:dyDescent="0.3">
      <c r="K90" s="123">
        <v>45889.625</v>
      </c>
      <c r="L90" s="3">
        <v>93.158000000000001</v>
      </c>
      <c r="M90" s="123">
        <v>45894.625</v>
      </c>
      <c r="N90" s="3">
        <v>100.44</v>
      </c>
    </row>
    <row r="91" spans="11:14" x14ac:dyDescent="0.3">
      <c r="K91" s="123">
        <v>45890.625</v>
      </c>
      <c r="L91" s="3">
        <v>94.564999999999998</v>
      </c>
      <c r="M91" s="123">
        <v>45895.625</v>
      </c>
      <c r="N91" s="3">
        <v>100.071</v>
      </c>
    </row>
    <row r="92" spans="11:14" x14ac:dyDescent="0.3">
      <c r="K92" s="123">
        <v>45891.625</v>
      </c>
      <c r="L92" s="3">
        <v>95.510999999999996</v>
      </c>
      <c r="M92" s="123">
        <v>45896.625</v>
      </c>
      <c r="N92" s="3">
        <v>100.041</v>
      </c>
    </row>
    <row r="93" spans="11:14" x14ac:dyDescent="0.3">
      <c r="K93" s="123">
        <v>45894.625</v>
      </c>
      <c r="L93" s="3">
        <v>94.742999999999995</v>
      </c>
      <c r="M93" s="123">
        <v>45897.625</v>
      </c>
      <c r="N93" s="3">
        <v>100.211</v>
      </c>
    </row>
    <row r="94" spans="11:14" x14ac:dyDescent="0.3">
      <c r="K94" s="123">
        <v>45895.625</v>
      </c>
      <c r="L94" s="3">
        <v>100.36199999999999</v>
      </c>
      <c r="M94" s="123">
        <v>45898.625</v>
      </c>
      <c r="N94" s="3">
        <v>100.113</v>
      </c>
    </row>
    <row r="95" spans="11:14" x14ac:dyDescent="0.3">
      <c r="K95" s="123">
        <v>45896.625</v>
      </c>
      <c r="L95" s="3">
        <v>100.863</v>
      </c>
      <c r="M95" s="123">
        <v>45902.625</v>
      </c>
      <c r="N95" s="3">
        <v>99.4</v>
      </c>
    </row>
    <row r="96" spans="11:14" x14ac:dyDescent="0.3">
      <c r="K96" s="123">
        <v>45897.625</v>
      </c>
      <c r="L96" s="3">
        <v>104.051</v>
      </c>
      <c r="M96" s="123">
        <v>45903.625</v>
      </c>
      <c r="N96" s="3">
        <v>99.346999999999994</v>
      </c>
    </row>
    <row r="97" spans="11:14" x14ac:dyDescent="0.3">
      <c r="K97" s="123">
        <v>45898.625</v>
      </c>
      <c r="L97" s="3">
        <v>105.312</v>
      </c>
      <c r="M97" s="123">
        <v>45904.625</v>
      </c>
      <c r="N97" s="3">
        <v>99.266999999999996</v>
      </c>
    </row>
    <row r="98" spans="11:14" x14ac:dyDescent="0.3">
      <c r="K98" s="123">
        <v>45901.625</v>
      </c>
      <c r="L98" s="3">
        <v>105.065</v>
      </c>
      <c r="M98" s="123">
        <v>45905.625</v>
      </c>
      <c r="N98" s="3">
        <v>99.856999999999999</v>
      </c>
    </row>
    <row r="99" spans="11:14" x14ac:dyDescent="0.3">
      <c r="K99" s="123">
        <v>45902.625</v>
      </c>
      <c r="L99" s="3">
        <v>107.70399999999999</v>
      </c>
      <c r="M99" s="123">
        <v>45908.625</v>
      </c>
      <c r="N99" s="3">
        <v>99.837000000000003</v>
      </c>
    </row>
    <row r="100" spans="11:14" x14ac:dyDescent="0.3">
      <c r="K100" s="123">
        <v>45903.625</v>
      </c>
      <c r="L100" s="3">
        <v>106.65900000000001</v>
      </c>
      <c r="M100" s="123">
        <v>45909.625</v>
      </c>
      <c r="N100" s="3">
        <v>99.876000000000005</v>
      </c>
    </row>
    <row r="101" spans="11:14" x14ac:dyDescent="0.3">
      <c r="K101" s="123">
        <v>45904.625</v>
      </c>
      <c r="L101" s="3">
        <v>102.55200000000001</v>
      </c>
      <c r="M101" s="123">
        <v>45910.625</v>
      </c>
      <c r="N101" s="3">
        <v>99.942999999999998</v>
      </c>
    </row>
    <row r="102" spans="11:14" x14ac:dyDescent="0.3">
      <c r="K102" s="123">
        <v>45905.625</v>
      </c>
      <c r="L102" s="3">
        <v>97.619</v>
      </c>
      <c r="M102" s="123">
        <v>45911.625</v>
      </c>
      <c r="N102" s="3">
        <v>100.11</v>
      </c>
    </row>
    <row r="103" spans="11:14" x14ac:dyDescent="0.3">
      <c r="K103" s="123">
        <v>45908.625</v>
      </c>
      <c r="L103" s="3">
        <v>97.876000000000005</v>
      </c>
      <c r="M103" s="123">
        <v>45912.625</v>
      </c>
      <c r="N103" s="3">
        <v>100.373</v>
      </c>
    </row>
    <row r="104" spans="11:14" x14ac:dyDescent="0.3">
      <c r="K104" s="123">
        <v>45909.625</v>
      </c>
      <c r="L104" s="3">
        <v>96.716999999999999</v>
      </c>
      <c r="M104" s="123">
        <v>45915.625</v>
      </c>
      <c r="N104" s="3">
        <v>100.343</v>
      </c>
    </row>
    <row r="105" spans="11:14" x14ac:dyDescent="0.3">
      <c r="K105" s="123">
        <v>45910.625</v>
      </c>
      <c r="L105" s="3">
        <v>95.831999999999994</v>
      </c>
      <c r="M105" s="123">
        <v>45916.625</v>
      </c>
      <c r="N105" s="3">
        <v>100.643</v>
      </c>
    </row>
    <row r="106" spans="11:14" x14ac:dyDescent="0.3">
      <c r="K106" s="123">
        <v>45911.625</v>
      </c>
      <c r="L106" s="3">
        <v>93.906000000000006</v>
      </c>
      <c r="M106" s="123">
        <v>45917.625</v>
      </c>
      <c r="N106" s="3">
        <v>100.554</v>
      </c>
    </row>
    <row r="107" spans="11:14" x14ac:dyDescent="0.3">
      <c r="K107" s="123">
        <v>45912.625</v>
      </c>
      <c r="L107" s="3">
        <v>92.352999999999994</v>
      </c>
      <c r="M107" s="123">
        <v>45918.625</v>
      </c>
      <c r="N107" s="3">
        <v>101.01600000000001</v>
      </c>
    </row>
    <row r="108" spans="11:14" x14ac:dyDescent="0.3">
      <c r="K108" s="123">
        <v>45915.625</v>
      </c>
      <c r="L108" s="3">
        <v>91.721999999999994</v>
      </c>
      <c r="M108" s="123">
        <v>45919.625</v>
      </c>
      <c r="N108" s="3">
        <v>101.05800000000001</v>
      </c>
    </row>
    <row r="109" spans="11:14" x14ac:dyDescent="0.3">
      <c r="K109" s="123">
        <v>45916.625</v>
      </c>
      <c r="L109" s="3">
        <v>92.043000000000006</v>
      </c>
      <c r="M109" s="123">
        <v>45922.625</v>
      </c>
      <c r="N109" s="3">
        <v>101.03100000000001</v>
      </c>
    </row>
    <row r="110" spans="11:14" x14ac:dyDescent="0.3">
      <c r="K110" s="123">
        <v>45917.625</v>
      </c>
      <c r="L110" s="3">
        <v>92.41</v>
      </c>
      <c r="M110" s="123">
        <v>45923.625</v>
      </c>
      <c r="N110" s="3">
        <v>101.027</v>
      </c>
    </row>
    <row r="111" spans="11:14" x14ac:dyDescent="0.3">
      <c r="K111" s="123">
        <v>45918.625</v>
      </c>
      <c r="L111" s="3">
        <v>91.355999999999995</v>
      </c>
      <c r="M111" s="123">
        <v>45924.625</v>
      </c>
      <c r="N111" s="3">
        <v>101.15</v>
      </c>
    </row>
    <row r="112" spans="11:14" x14ac:dyDescent="0.3">
      <c r="K112" s="123">
        <v>45919.625</v>
      </c>
      <c r="L112" s="3">
        <v>91.385999999999996</v>
      </c>
      <c r="M112" s="123">
        <v>45925.625</v>
      </c>
      <c r="N112" s="3">
        <v>100.76300000000001</v>
      </c>
    </row>
    <row r="113" spans="11:14" x14ac:dyDescent="0.3">
      <c r="K113" s="123">
        <v>45922.625</v>
      </c>
      <c r="L113" s="3">
        <v>103.479</v>
      </c>
      <c r="M113" s="123">
        <v>45926.625</v>
      </c>
      <c r="N113" s="3">
        <v>100.681</v>
      </c>
    </row>
    <row r="114" spans="11:14" x14ac:dyDescent="0.3">
      <c r="K114" s="123">
        <v>45923.625</v>
      </c>
      <c r="L114" s="3">
        <v>103.004</v>
      </c>
      <c r="M114" s="123">
        <v>45929.625</v>
      </c>
      <c r="N114" s="3">
        <v>101.003</v>
      </c>
    </row>
    <row r="115" spans="11:14" x14ac:dyDescent="0.3">
      <c r="K115" s="123">
        <v>45924.625</v>
      </c>
      <c r="L115" s="3">
        <v>102.914</v>
      </c>
      <c r="M115" s="123">
        <v>45930.625</v>
      </c>
      <c r="N115" s="3">
        <v>100.789</v>
      </c>
    </row>
    <row r="116" spans="11:14" x14ac:dyDescent="0.3">
      <c r="K116" s="123">
        <v>45925.625</v>
      </c>
      <c r="L116" s="3">
        <v>105.236</v>
      </c>
      <c r="M116" s="123">
        <v>45931.625</v>
      </c>
      <c r="N116" s="3">
        <v>100.709</v>
      </c>
    </row>
    <row r="117" spans="11:14" x14ac:dyDescent="0.3">
      <c r="K117" s="123">
        <v>45926.625</v>
      </c>
      <c r="L117" s="3">
        <v>105.75</v>
      </c>
      <c r="M117" s="123">
        <v>45932.625</v>
      </c>
      <c r="N117" s="3">
        <v>101.09399999999999</v>
      </c>
    </row>
    <row r="118" spans="11:14" x14ac:dyDescent="0.3">
      <c r="K118" s="123">
        <v>45929.625</v>
      </c>
      <c r="L118" s="3">
        <v>105.6</v>
      </c>
      <c r="M118" s="123">
        <v>45933.625</v>
      </c>
      <c r="N118" s="3">
        <v>101.012</v>
      </c>
    </row>
    <row r="119" spans="11:14" x14ac:dyDescent="0.3">
      <c r="K119" s="123">
        <v>45930.625</v>
      </c>
      <c r="L119" s="3">
        <v>105.544</v>
      </c>
      <c r="M119" s="123">
        <v>45936.625</v>
      </c>
      <c r="N119" s="3">
        <v>100.5</v>
      </c>
    </row>
    <row r="120" spans="11:14" x14ac:dyDescent="0.3">
      <c r="K120" s="123">
        <v>45931.625</v>
      </c>
      <c r="L120" s="3">
        <v>104.553</v>
      </c>
      <c r="M120" s="123">
        <v>45937.625</v>
      </c>
      <c r="N120" s="3">
        <v>100.55500000000001</v>
      </c>
    </row>
    <row r="121" spans="11:14" x14ac:dyDescent="0.3">
      <c r="K121" s="123">
        <v>45932.625</v>
      </c>
      <c r="L121" s="3">
        <v>102.07</v>
      </c>
      <c r="M121" s="123">
        <v>45938.625</v>
      </c>
      <c r="N121" s="3">
        <v>100.562</v>
      </c>
    </row>
    <row r="122" spans="11:14" x14ac:dyDescent="0.3">
      <c r="K122" s="123">
        <v>45933.625</v>
      </c>
      <c r="L122" s="3">
        <v>101.73699999999999</v>
      </c>
      <c r="M122" s="123">
        <v>45939.625</v>
      </c>
      <c r="N122" s="3">
        <v>100.498</v>
      </c>
    </row>
    <row r="123" spans="11:14" x14ac:dyDescent="0.3">
      <c r="K123" s="123">
        <v>45936.625</v>
      </c>
      <c r="L123" s="3">
        <v>106.923</v>
      </c>
      <c r="M123" s="123">
        <v>45944.625</v>
      </c>
      <c r="N123" s="3">
        <v>99.984999999999999</v>
      </c>
    </row>
    <row r="124" spans="11:14" x14ac:dyDescent="0.3">
      <c r="K124" s="123">
        <v>45937.625</v>
      </c>
      <c r="L124" s="3">
        <v>106.367</v>
      </c>
      <c r="M124" s="123">
        <v>45945.625</v>
      </c>
      <c r="N124" s="3">
        <v>100.788</v>
      </c>
    </row>
    <row r="125" spans="11:14" x14ac:dyDescent="0.3">
      <c r="K125" s="123">
        <v>45938.625</v>
      </c>
      <c r="L125" s="3">
        <v>104.837</v>
      </c>
      <c r="M125" s="123">
        <v>45946.625</v>
      </c>
      <c r="N125" s="3">
        <v>100.84099999999999</v>
      </c>
    </row>
    <row r="126" spans="11:14" x14ac:dyDescent="0.3">
      <c r="K126" s="123">
        <v>45939.625</v>
      </c>
      <c r="L126" s="3">
        <v>104.482</v>
      </c>
      <c r="M126" s="123">
        <v>45947.625</v>
      </c>
      <c r="N126" s="3">
        <v>100.818</v>
      </c>
    </row>
    <row r="127" spans="11:14" x14ac:dyDescent="0.3">
      <c r="K127" s="123">
        <v>45940.625</v>
      </c>
      <c r="L127" s="3">
        <v>104.67</v>
      </c>
      <c r="M127" s="123">
        <v>45950.625</v>
      </c>
      <c r="N127" s="3">
        <v>100.959</v>
      </c>
    </row>
    <row r="128" spans="11:14" x14ac:dyDescent="0.3">
      <c r="K128" s="123">
        <v>45943.625</v>
      </c>
      <c r="L128" s="3">
        <v>108.026</v>
      </c>
      <c r="M128" s="123">
        <v>45951.625</v>
      </c>
      <c r="N128" s="3">
        <v>100.905</v>
      </c>
    </row>
    <row r="129" spans="11:14" x14ac:dyDescent="0.3">
      <c r="K129" s="123">
        <v>45944.625</v>
      </c>
      <c r="L129" s="3">
        <v>108.004</v>
      </c>
      <c r="M129" s="123">
        <v>45952.625</v>
      </c>
      <c r="N129" s="3">
        <v>100.807</v>
      </c>
    </row>
    <row r="130" spans="11:14" x14ac:dyDescent="0.3">
      <c r="K130" s="123">
        <v>45945.625</v>
      </c>
      <c r="L130" s="3">
        <v>101.48</v>
      </c>
      <c r="M130" s="123">
        <v>45953.625</v>
      </c>
      <c r="N130" s="3">
        <v>100.815</v>
      </c>
    </row>
    <row r="131" spans="11:14" x14ac:dyDescent="0.3">
      <c r="K131" s="123">
        <v>45946.625</v>
      </c>
      <c r="L131" s="3">
        <v>100.968</v>
      </c>
      <c r="M131" s="123">
        <v>45954.625</v>
      </c>
      <c r="N131" s="3">
        <v>100.911</v>
      </c>
    </row>
    <row r="132" spans="11:14" x14ac:dyDescent="0.3">
      <c r="K132" s="123">
        <v>45947.625</v>
      </c>
      <c r="L132" s="3">
        <v>105.54600000000001</v>
      </c>
      <c r="M132" s="123">
        <v>45957.625</v>
      </c>
      <c r="N132" s="3">
        <v>101.36</v>
      </c>
    </row>
    <row r="133" spans="11:14" x14ac:dyDescent="0.3">
      <c r="K133" s="123">
        <v>45950.625</v>
      </c>
      <c r="L133" s="3">
        <v>106.801</v>
      </c>
      <c r="M133" s="123">
        <v>45958.625</v>
      </c>
      <c r="N133" s="3">
        <v>101.509</v>
      </c>
    </row>
    <row r="134" spans="11:14" x14ac:dyDescent="0.3">
      <c r="K134" s="123">
        <v>45951.625</v>
      </c>
      <c r="L134" s="3">
        <v>104.645</v>
      </c>
      <c r="M134" s="123">
        <v>45959.625</v>
      </c>
      <c r="N134" s="3">
        <v>101.55800000000001</v>
      </c>
    </row>
    <row r="135" spans="11:14" x14ac:dyDescent="0.3">
      <c r="K135" s="123">
        <v>45952.625</v>
      </c>
      <c r="L135" s="3">
        <v>105.12</v>
      </c>
      <c r="M135" s="123">
        <v>45960.625</v>
      </c>
      <c r="N135" s="3">
        <v>101.387</v>
      </c>
    </row>
    <row r="136" spans="11:14" x14ac:dyDescent="0.3">
      <c r="K136" s="123">
        <v>45953.625</v>
      </c>
      <c r="L136" s="3">
        <v>105.02200000000001</v>
      </c>
      <c r="M136" s="123">
        <v>45961.625</v>
      </c>
      <c r="N136" s="3">
        <v>101.29300000000001</v>
      </c>
    </row>
    <row r="137" spans="11:14" x14ac:dyDescent="0.3">
      <c r="K137" s="123">
        <v>45954.625</v>
      </c>
      <c r="L137" s="3">
        <v>104.67</v>
      </c>
      <c r="M137" s="123">
        <v>45964.625</v>
      </c>
      <c r="N137" s="3">
        <v>101.184</v>
      </c>
    </row>
    <row r="138" spans="11:14" x14ac:dyDescent="0.3">
      <c r="K138" s="123">
        <v>45957.625</v>
      </c>
      <c r="L138" s="3">
        <v>102.34399999999999</v>
      </c>
      <c r="M138" s="123"/>
    </row>
    <row r="139" spans="11:14" x14ac:dyDescent="0.3">
      <c r="K139" s="123">
        <v>45958.625</v>
      </c>
      <c r="L139" s="3">
        <v>101.04600000000001</v>
      </c>
      <c r="M139" s="123"/>
    </row>
    <row r="140" spans="11:14" x14ac:dyDescent="0.3">
      <c r="K140" s="123">
        <v>45959.625</v>
      </c>
      <c r="L140" s="3">
        <v>99.816999999999993</v>
      </c>
      <c r="M140" s="123"/>
    </row>
    <row r="141" spans="11:14" x14ac:dyDescent="0.3">
      <c r="K141" s="123">
        <v>45960.625</v>
      </c>
      <c r="L141" s="3">
        <v>100.447</v>
      </c>
      <c r="M141" s="123"/>
    </row>
    <row r="142" spans="11:14" x14ac:dyDescent="0.3">
      <c r="K142" s="123">
        <v>45961.625</v>
      </c>
      <c r="L142" s="3">
        <v>100.294</v>
      </c>
      <c r="M142" s="123"/>
    </row>
    <row r="143" spans="11:14" x14ac:dyDescent="0.3">
      <c r="K143" s="123">
        <v>45964.625</v>
      </c>
      <c r="L143" s="3">
        <v>101.014</v>
      </c>
      <c r="M143" s="123"/>
    </row>
    <row r="144" spans="11:14" x14ac:dyDescent="0.3">
      <c r="K144" s="123"/>
      <c r="M144" s="123"/>
    </row>
    <row r="145" spans="11:13" x14ac:dyDescent="0.3">
      <c r="K145" s="123"/>
      <c r="M145" s="123"/>
    </row>
    <row r="146" spans="11:13" x14ac:dyDescent="0.3">
      <c r="K146" s="123"/>
      <c r="M146" s="123"/>
    </row>
    <row r="147" spans="11:13" x14ac:dyDescent="0.3">
      <c r="K147" s="123"/>
      <c r="M147" s="123"/>
    </row>
    <row r="148" spans="11:13" x14ac:dyDescent="0.3">
      <c r="K148" s="123"/>
    </row>
    <row r="149" spans="11:13" x14ac:dyDescent="0.3">
      <c r="K149" s="123"/>
    </row>
    <row r="150" spans="11:13" x14ac:dyDescent="0.3">
      <c r="K150" s="123"/>
    </row>
    <row r="151" spans="11:13" x14ac:dyDescent="0.3">
      <c r="K151" s="123"/>
    </row>
    <row r="152" spans="11:13" x14ac:dyDescent="0.3">
      <c r="K152" s="123"/>
    </row>
    <row r="153" spans="11:13" x14ac:dyDescent="0.3">
      <c r="K153" s="123"/>
    </row>
    <row r="154" spans="11:13" x14ac:dyDescent="0.3">
      <c r="K154" s="123"/>
    </row>
  </sheetData>
  <mergeCells count="2">
    <mergeCell ref="B12:E12"/>
    <mergeCell ref="F12:H12"/>
  </mergeCells>
  <conditionalFormatting sqref="I1 H4:H8 I9:I1048576">
    <cfRule type="cellIs" dxfId="18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R154"/>
  <sheetViews>
    <sheetView topLeftCell="E29" zoomScale="80" zoomScaleNormal="80" workbookViewId="0">
      <selection activeCell="D10" sqref="D10"/>
    </sheetView>
  </sheetViews>
  <sheetFormatPr defaultColWidth="8.88671875" defaultRowHeight="14.4" x14ac:dyDescent="0.3"/>
  <cols>
    <col min="1" max="1" width="15.44140625" style="54" bestFit="1" customWidth="1"/>
    <col min="2" max="5" width="16.88671875" style="54" customWidth="1"/>
    <col min="6" max="6" width="10.5546875" style="54" bestFit="1" customWidth="1"/>
    <col min="7" max="7" width="10.44140625" style="54" bestFit="1" customWidth="1"/>
    <col min="8" max="8" width="14" style="54" customWidth="1"/>
    <col min="9" max="9" width="8.5546875" style="54" bestFit="1" customWidth="1"/>
    <col min="10" max="10" width="10.5546875" style="54" bestFit="1" customWidth="1"/>
    <col min="11" max="11" width="11.88671875" style="54" bestFit="1" customWidth="1"/>
    <col min="12" max="12" width="10.6640625" style="54" bestFit="1" customWidth="1"/>
    <col min="13" max="13" width="15.6640625" style="54" hidden="1" customWidth="1"/>
    <col min="14" max="14" width="8.88671875" style="54" hidden="1" customWidth="1"/>
    <col min="15" max="15" width="15.6640625" style="54" hidden="1" customWidth="1"/>
    <col min="16" max="16" width="8.88671875" style="54" hidden="1" customWidth="1"/>
    <col min="17" max="17" width="15.6640625" style="54" hidden="1" customWidth="1"/>
    <col min="18" max="18" width="8.88671875" style="54" hidden="1" customWidth="1"/>
    <col min="19" max="16384" width="8.88671875" style="54"/>
  </cols>
  <sheetData>
    <row r="1" spans="1:18" ht="15" thickBot="1" x14ac:dyDescent="0.35">
      <c r="A1" s="1"/>
      <c r="B1" s="1"/>
      <c r="C1" s="1"/>
      <c r="D1" s="1"/>
      <c r="E1" s="1"/>
      <c r="L1" s="1"/>
      <c r="M1" s="53"/>
      <c r="N1" s="1"/>
      <c r="O1" s="1"/>
      <c r="P1" s="1"/>
      <c r="Q1" s="1"/>
      <c r="R1" s="1"/>
    </row>
    <row r="2" spans="1:18" ht="15" thickBot="1" x14ac:dyDescent="0.35">
      <c r="A2" s="30"/>
      <c r="B2" s="40" t="s">
        <v>0</v>
      </c>
      <c r="C2" s="44" t="s">
        <v>0</v>
      </c>
      <c r="D2" s="28" t="s">
        <v>1</v>
      </c>
      <c r="F2" s="124" t="s">
        <v>101</v>
      </c>
      <c r="G2" s="125">
        <v>0.625</v>
      </c>
      <c r="L2" s="1"/>
      <c r="M2" s="27" t="s">
        <v>0</v>
      </c>
      <c r="N2" s="1"/>
      <c r="O2" s="44" t="s">
        <v>0</v>
      </c>
      <c r="P2" s="2"/>
      <c r="Q2" s="28" t="s">
        <v>1</v>
      </c>
      <c r="R2" s="1"/>
    </row>
    <row r="3" spans="1:18" x14ac:dyDescent="0.3">
      <c r="A3" s="15" t="s">
        <v>32</v>
      </c>
      <c r="B3" s="1" t="s">
        <v>29</v>
      </c>
      <c r="C3" s="1" t="s">
        <v>30</v>
      </c>
      <c r="D3" s="5" t="s">
        <v>31</v>
      </c>
      <c r="L3" s="1"/>
      <c r="M3" s="123" cm="1">
        <f t="array" ref="M3:N143">_xll.BDH(B4, "LAST_PRICE", "01/01/2025 15:00:00", "01/01/2035 16:00:00", "BarSize=60", "BarType=T", "RecurDaily=True", "TZ=London")</f>
        <v>45768.625</v>
      </c>
      <c r="N3" s="1">
        <v>57.771999999999998</v>
      </c>
      <c r="O3" s="123" cm="1">
        <f t="array" ref="O3:P96">_xll.BDH(C4, "LAST_PRICE", "01/01/2025 15:00:00", "01/01/2035 16:00:00", "BarSize=60", "BarType=T", "RecurDaily=True", "TZ=London")</f>
        <v>45769.625</v>
      </c>
      <c r="P3" s="46">
        <v>43.771000000000001</v>
      </c>
      <c r="Q3" s="123" cm="1">
        <f t="array" ref="Q3:R143">_xll.BDH(D4, "LAST_PRICE", "01/01/2025 15:00:00", "01/01/2035 16:00:00", "BarSize=60", "BarType=T", "RecurDaily=True", "TZ=London")</f>
        <v>45768.625</v>
      </c>
      <c r="R3" s="1">
        <v>79.674000000000007</v>
      </c>
    </row>
    <row r="4" spans="1:18" ht="32.25" customHeight="1" x14ac:dyDescent="0.3">
      <c r="A4" s="15" t="s">
        <v>33</v>
      </c>
      <c r="B4" s="41" t="s">
        <v>25</v>
      </c>
      <c r="C4" s="41" t="s">
        <v>26</v>
      </c>
      <c r="D4" s="42" t="s">
        <v>27</v>
      </c>
      <c r="L4" s="1"/>
      <c r="M4" s="126">
        <v>45769.625</v>
      </c>
      <c r="N4" s="1">
        <v>58.155000000000001</v>
      </c>
      <c r="O4" s="127">
        <v>45770.625</v>
      </c>
      <c r="P4" s="1">
        <v>40.460999999999999</v>
      </c>
      <c r="Q4" s="127">
        <v>45769.625</v>
      </c>
      <c r="R4" s="1">
        <v>80.539000000000001</v>
      </c>
    </row>
    <row r="5" spans="1:18" x14ac:dyDescent="0.3">
      <c r="A5" s="15" t="s">
        <v>8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126">
        <v>45770.625</v>
      </c>
      <c r="N5" s="1">
        <v>55.276000000000003</v>
      </c>
      <c r="O5" s="127">
        <v>45771.625</v>
      </c>
      <c r="P5" s="1">
        <v>39.860999999999997</v>
      </c>
      <c r="Q5" s="127">
        <v>45770.625</v>
      </c>
      <c r="R5" s="1">
        <v>75.888000000000005</v>
      </c>
    </row>
    <row r="6" spans="1:18" x14ac:dyDescent="0.3">
      <c r="A6" s="15" t="s">
        <v>10</v>
      </c>
      <c r="B6" s="9">
        <v>0.05</v>
      </c>
      <c r="C6" s="9">
        <v>0.01</v>
      </c>
      <c r="D6" s="43">
        <v>0.01</v>
      </c>
      <c r="L6" s="1"/>
      <c r="M6" s="126">
        <v>45771.625</v>
      </c>
      <c r="N6" s="1">
        <v>53.866999999999997</v>
      </c>
      <c r="O6" s="127">
        <v>45772.625</v>
      </c>
      <c r="P6" s="1">
        <v>39.548999999999999</v>
      </c>
      <c r="Q6" s="127">
        <v>45771.625</v>
      </c>
      <c r="R6" s="1">
        <v>75.040000000000006</v>
      </c>
    </row>
    <row r="7" spans="1:18" x14ac:dyDescent="0.3">
      <c r="A7" s="15" t="s">
        <v>12</v>
      </c>
      <c r="B7" s="9">
        <v>0</v>
      </c>
      <c r="C7" s="9">
        <v>0</v>
      </c>
      <c r="D7" s="43">
        <v>0</v>
      </c>
      <c r="L7" s="1"/>
      <c r="M7" s="126">
        <v>45772.625</v>
      </c>
      <c r="N7" s="1">
        <v>52.73</v>
      </c>
      <c r="O7" s="127">
        <v>45775.625</v>
      </c>
      <c r="P7" s="1">
        <v>39.125</v>
      </c>
      <c r="Q7" s="127">
        <v>45772.625</v>
      </c>
      <c r="R7" s="1">
        <v>73.882999999999996</v>
      </c>
    </row>
    <row r="8" spans="1:18" x14ac:dyDescent="0.3">
      <c r="A8" s="15" t="s">
        <v>14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126">
        <v>45775.625</v>
      </c>
      <c r="N8" s="54">
        <v>52.848999999999997</v>
      </c>
      <c r="O8" s="126">
        <v>45776.625</v>
      </c>
      <c r="P8" s="54">
        <v>40.456000000000003</v>
      </c>
      <c r="Q8" s="126">
        <v>45775.625</v>
      </c>
      <c r="R8" s="54">
        <v>73.203000000000003</v>
      </c>
    </row>
    <row r="9" spans="1:18" x14ac:dyDescent="0.3">
      <c r="A9" s="15" t="s">
        <v>15</v>
      </c>
      <c r="B9" s="1" t="s">
        <v>23</v>
      </c>
      <c r="C9" s="1" t="s">
        <v>23</v>
      </c>
      <c r="D9" s="5" t="s">
        <v>23</v>
      </c>
      <c r="G9" s="1"/>
      <c r="H9" s="1"/>
      <c r="I9" s="1"/>
      <c r="J9" s="1"/>
      <c r="K9" s="1"/>
      <c r="L9" s="1"/>
      <c r="M9" s="126">
        <v>45776.625</v>
      </c>
      <c r="N9" s="54">
        <v>53.277999999999999</v>
      </c>
      <c r="O9" s="126">
        <v>45783.625</v>
      </c>
      <c r="P9" s="54">
        <v>39.526000000000003</v>
      </c>
      <c r="Q9" s="126">
        <v>45776.625</v>
      </c>
      <c r="R9" s="54">
        <v>73.915000000000006</v>
      </c>
    </row>
    <row r="10" spans="1:18" ht="15" thickBot="1" x14ac:dyDescent="0.35">
      <c r="A10" s="16" t="s">
        <v>28</v>
      </c>
      <c r="B10" s="118" cm="1">
        <f t="array" ref="B10">_xll.BDP(B4,"px_last")</f>
        <v>45.722929999999998</v>
      </c>
      <c r="C10" s="118" cm="1">
        <f t="array" ref="C10">_xll.BDP(C4,"px_last")</f>
        <v>33.340899999999998</v>
      </c>
      <c r="D10" s="89" cm="1">
        <f t="array" ref="D10">_xll.BDP(D4,"px_last")</f>
        <v>49.53886</v>
      </c>
      <c r="E10" s="1"/>
      <c r="F10" s="1"/>
      <c r="G10" s="1"/>
      <c r="H10" s="1"/>
      <c r="I10" s="1"/>
      <c r="J10" s="1"/>
      <c r="K10" s="1"/>
      <c r="L10" s="1"/>
      <c r="M10" s="126">
        <v>45777.625</v>
      </c>
      <c r="N10" s="54">
        <v>54.14</v>
      </c>
      <c r="O10" s="126">
        <v>45784.625</v>
      </c>
      <c r="P10" s="54">
        <v>39.43</v>
      </c>
      <c r="Q10" s="126">
        <v>45777.625</v>
      </c>
      <c r="R10" s="54">
        <v>76.536000000000001</v>
      </c>
    </row>
    <row r="11" spans="1:18" ht="15" thickBot="1" x14ac:dyDescent="0.35">
      <c r="C11" s="1"/>
      <c r="D11" s="1"/>
      <c r="E11" s="1"/>
      <c r="F11" s="1"/>
      <c r="G11" s="1"/>
      <c r="H11" s="1"/>
      <c r="I11" s="1"/>
      <c r="J11" s="1"/>
      <c r="K11" s="1"/>
      <c r="L11" s="1"/>
      <c r="M11" s="126">
        <v>45778.625</v>
      </c>
      <c r="N11" s="54">
        <v>53.204000000000001</v>
      </c>
      <c r="O11" s="126">
        <v>45789.625</v>
      </c>
      <c r="P11" s="54">
        <v>34.728999999999999</v>
      </c>
      <c r="Q11" s="126">
        <v>45778.625</v>
      </c>
      <c r="R11" s="54">
        <v>76.347999999999999</v>
      </c>
    </row>
    <row r="12" spans="1:18" ht="15" thickBot="1" x14ac:dyDescent="0.35">
      <c r="A12" s="39" t="s">
        <v>22</v>
      </c>
      <c r="B12" s="169" t="s">
        <v>0</v>
      </c>
      <c r="C12" s="170"/>
      <c r="D12" s="171"/>
      <c r="E12" s="175" t="s">
        <v>0</v>
      </c>
      <c r="F12" s="176"/>
      <c r="G12" s="177"/>
      <c r="H12" s="172" t="s">
        <v>1</v>
      </c>
      <c r="I12" s="173"/>
      <c r="J12" s="174"/>
      <c r="K12" s="39" t="s">
        <v>16</v>
      </c>
      <c r="L12" s="1"/>
      <c r="M12" s="126">
        <v>45779.625</v>
      </c>
      <c r="N12" s="54">
        <v>53.01</v>
      </c>
      <c r="O12" s="126">
        <v>45790.625</v>
      </c>
      <c r="P12" s="54">
        <v>33.344999999999999</v>
      </c>
      <c r="Q12" s="126">
        <v>45779.625</v>
      </c>
      <c r="R12" s="54">
        <v>74.768000000000001</v>
      </c>
    </row>
    <row r="13" spans="1:18" ht="15" thickBot="1" x14ac:dyDescent="0.35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11" t="s">
        <v>24</v>
      </c>
      <c r="I13" s="21" t="s">
        <v>19</v>
      </c>
      <c r="J13" s="22" t="s">
        <v>20</v>
      </c>
      <c r="K13" s="16"/>
      <c r="L13" s="1"/>
      <c r="M13" s="126">
        <v>45782.625</v>
      </c>
      <c r="N13" s="54">
        <v>52.942</v>
      </c>
      <c r="O13" s="126">
        <v>45791.625</v>
      </c>
      <c r="P13" s="54">
        <v>33.110999999999997</v>
      </c>
      <c r="Q13" s="126">
        <v>45782.625</v>
      </c>
      <c r="R13" s="54">
        <v>74.805000000000007</v>
      </c>
    </row>
    <row r="14" spans="1:18" x14ac:dyDescent="0.3">
      <c r="A14" s="128">
        <v>45924</v>
      </c>
      <c r="B14" s="45">
        <v>44.5</v>
      </c>
      <c r="C14" s="46"/>
      <c r="D14" s="47"/>
      <c r="E14" s="4">
        <v>34</v>
      </c>
      <c r="F14" s="1"/>
      <c r="G14" s="5"/>
      <c r="H14" s="4">
        <v>51</v>
      </c>
      <c r="I14" s="1"/>
      <c r="J14" s="5"/>
      <c r="K14" s="78">
        <v>0</v>
      </c>
      <c r="L14" s="1"/>
      <c r="M14" s="126">
        <v>45783.625</v>
      </c>
      <c r="N14" s="54">
        <v>52.347000000000001</v>
      </c>
      <c r="O14" s="126">
        <v>45792.625</v>
      </c>
      <c r="P14" s="54">
        <v>33.978000000000002</v>
      </c>
      <c r="Q14" s="126">
        <v>45783.625</v>
      </c>
      <c r="R14" s="54">
        <v>74.284999999999997</v>
      </c>
    </row>
    <row r="15" spans="1:18" x14ac:dyDescent="0.3">
      <c r="A15" s="128">
        <v>45925</v>
      </c>
      <c r="B15" s="1">
        <f t="shared" ref="B15:B40" si="0">VLOOKUP(A15+$G$2,M:N,2)</f>
        <v>46.070999999999998</v>
      </c>
      <c r="C15" s="31">
        <f>-1*(B15-$B$14)*10^-4*$B$8*$B$5</f>
        <v>-12888.483999999986</v>
      </c>
      <c r="D15" s="32">
        <f>$B$6*(A15-$A$14)/360*$B$5</f>
        <v>1944.4444444444443</v>
      </c>
      <c r="E15" s="4">
        <f t="shared" ref="E15:E40" si="1">VLOOKUP(A15+$G$2,O:P,2)</f>
        <v>35.453000000000003</v>
      </c>
      <c r="F15" s="31">
        <f>-1*(E15-$E$14)*10^-4*$C$8*$C$5</f>
        <v>-11763.488000000023</v>
      </c>
      <c r="G15" s="32">
        <f>$C$6*(A15-$A$14)/360*$C$5</f>
        <v>444.44444444444446</v>
      </c>
      <c r="H15" s="4">
        <f t="shared" ref="H15:H40" si="2">VLOOKUP(A15+$G$2,Q:R,2)</f>
        <v>49.83</v>
      </c>
      <c r="I15" s="31">
        <f>-1*(H15-$H$14)*10^-4*$D$8*$D$5</f>
        <v>14625.000000000022</v>
      </c>
      <c r="J15" s="32">
        <f>$D$6*(A15-$A$14)/360*$D$5</f>
        <v>694.44444444444446</v>
      </c>
      <c r="K15" s="95">
        <f>C15+D15+F15+G15-I15-J15</f>
        <v>-37582.527555555585</v>
      </c>
      <c r="L15" s="1"/>
      <c r="M15" s="126">
        <v>45784.625</v>
      </c>
      <c r="N15" s="54">
        <v>50.865000000000002</v>
      </c>
      <c r="O15" s="126">
        <v>45793.625</v>
      </c>
      <c r="P15" s="54">
        <v>33.003999999999998</v>
      </c>
      <c r="Q15" s="126">
        <v>45784.625</v>
      </c>
      <c r="R15" s="54">
        <v>73.141000000000005</v>
      </c>
    </row>
    <row r="16" spans="1:18" x14ac:dyDescent="0.3">
      <c r="A16" s="128">
        <v>45926</v>
      </c>
      <c r="B16" s="1">
        <f t="shared" si="0"/>
        <v>45.92</v>
      </c>
      <c r="C16" s="31">
        <f t="shared" ref="C16:C39" si="3">-1*(B16-$B$14)*10^-4*$B$8*$B$5</f>
        <v>-11649.680000000015</v>
      </c>
      <c r="D16" s="32">
        <f t="shared" ref="D16:D39" si="4">$B$6*(A16-$A$14)/360*$B$5</f>
        <v>3888.8888888888887</v>
      </c>
      <c r="E16" s="4">
        <f t="shared" si="1"/>
        <v>35.406999999999996</v>
      </c>
      <c r="F16" s="31">
        <f t="shared" ref="F16:F39" si="5">-1*(E16-$E$14)*10^-4*$C$8*$C$5</f>
        <v>-11391.071999999971</v>
      </c>
      <c r="G16" s="32">
        <f t="shared" ref="G16:G39" si="6">$C$6*(A16-$A$14)/360*$C$5</f>
        <v>888.88888888888891</v>
      </c>
      <c r="H16" s="4">
        <f t="shared" si="2"/>
        <v>49.52</v>
      </c>
      <c r="I16" s="31">
        <f t="shared" ref="I16:I39" si="7">-1*(H16-$H$14)*10^-4*$D$8*$D$5</f>
        <v>18499.99999999996</v>
      </c>
      <c r="J16" s="32">
        <f t="shared" ref="J16:J39" si="8">$D$6*(A16-$A$14)/360*$D$5</f>
        <v>1388.8888888888889</v>
      </c>
      <c r="K16" s="95">
        <f t="shared" ref="K16:K17" si="9">C16+D16+F16+G16-I16-J16</f>
        <v>-38151.863111111059</v>
      </c>
      <c r="L16" s="1"/>
      <c r="M16" s="126">
        <v>45785.625</v>
      </c>
      <c r="N16" s="54">
        <v>49.094999999999999</v>
      </c>
      <c r="O16" s="126">
        <v>45796.625</v>
      </c>
      <c r="P16" s="54">
        <v>32.823999999999998</v>
      </c>
      <c r="Q16" s="126">
        <v>45785.625</v>
      </c>
      <c r="R16" s="54">
        <v>71.284999999999997</v>
      </c>
    </row>
    <row r="17" spans="1:18" x14ac:dyDescent="0.3">
      <c r="A17" s="128">
        <v>45929</v>
      </c>
      <c r="B17" s="1">
        <f t="shared" si="0"/>
        <v>45.886000000000003</v>
      </c>
      <c r="C17" s="31">
        <f t="shared" si="3"/>
        <v>-11370.744000000024</v>
      </c>
      <c r="D17" s="32">
        <f t="shared" si="4"/>
        <v>9722.2222222222226</v>
      </c>
      <c r="E17" s="4">
        <f t="shared" si="1"/>
        <v>35.353000000000002</v>
      </c>
      <c r="F17" s="31">
        <f t="shared" si="5"/>
        <v>-10953.888000000012</v>
      </c>
      <c r="G17" s="32">
        <f t="shared" si="6"/>
        <v>2222.2222222222222</v>
      </c>
      <c r="H17" s="4">
        <f t="shared" si="2"/>
        <v>48.94</v>
      </c>
      <c r="I17" s="31">
        <f t="shared" si="7"/>
        <v>25750.000000000029</v>
      </c>
      <c r="J17" s="32">
        <f t="shared" si="8"/>
        <v>3472.2222222222222</v>
      </c>
      <c r="K17" s="95">
        <f t="shared" si="9"/>
        <v>-39602.409777777837</v>
      </c>
      <c r="L17" s="1"/>
      <c r="M17" s="126">
        <v>45786.625</v>
      </c>
      <c r="N17" s="54">
        <v>48.186</v>
      </c>
      <c r="O17" s="126">
        <v>45797.625</v>
      </c>
      <c r="P17" s="54">
        <v>32.951000000000001</v>
      </c>
      <c r="Q17" s="126">
        <v>45786.625</v>
      </c>
      <c r="R17" s="54">
        <v>68.600999999999999</v>
      </c>
    </row>
    <row r="18" spans="1:18" x14ac:dyDescent="0.3">
      <c r="A18" s="128">
        <v>45930</v>
      </c>
      <c r="B18" s="1">
        <f t="shared" si="0"/>
        <v>46.996000000000002</v>
      </c>
      <c r="C18" s="31">
        <f t="shared" si="3"/>
        <v>-20477.184000000019</v>
      </c>
      <c r="D18" s="32">
        <f t="shared" si="4"/>
        <v>11666.66666666667</v>
      </c>
      <c r="E18" s="4">
        <f t="shared" si="1"/>
        <v>35.423000000000002</v>
      </c>
      <c r="F18" s="31">
        <f t="shared" si="5"/>
        <v>-11520.608000000013</v>
      </c>
      <c r="G18" s="32">
        <f t="shared" si="6"/>
        <v>2666.6666666666665</v>
      </c>
      <c r="H18" s="4">
        <f t="shared" si="2"/>
        <v>49.445</v>
      </c>
      <c r="I18" s="31">
        <f t="shared" si="7"/>
        <v>19437.5</v>
      </c>
      <c r="J18" s="32">
        <f t="shared" si="8"/>
        <v>4166.666666666667</v>
      </c>
      <c r="K18" s="95">
        <f>C18+D18+F18+G18-I18-J18</f>
        <v>-41268.625333333359</v>
      </c>
      <c r="L18" s="1"/>
      <c r="M18" s="126">
        <v>45789.625</v>
      </c>
      <c r="N18" s="54">
        <v>46.173999999999999</v>
      </c>
      <c r="O18" s="126">
        <v>45798.625</v>
      </c>
      <c r="P18" s="54">
        <v>32.616</v>
      </c>
      <c r="Q18" s="126">
        <v>45789.625</v>
      </c>
      <c r="R18" s="54">
        <v>64.926000000000002</v>
      </c>
    </row>
    <row r="19" spans="1:18" x14ac:dyDescent="0.3">
      <c r="A19" s="128">
        <v>45931</v>
      </c>
      <c r="B19" s="1">
        <f t="shared" si="0"/>
        <v>46.935000000000002</v>
      </c>
      <c r="C19" s="31">
        <f t="shared" si="3"/>
        <v>-19976.74000000002</v>
      </c>
      <c r="D19" s="32">
        <f t="shared" si="4"/>
        <v>13611.111111111113</v>
      </c>
      <c r="E19" s="4">
        <f t="shared" si="1"/>
        <v>34.911999999999999</v>
      </c>
      <c r="F19" s="31">
        <f t="shared" si="5"/>
        <v>-7383.5519999999924</v>
      </c>
      <c r="G19" s="32">
        <f t="shared" si="6"/>
        <v>3111.1111111111113</v>
      </c>
      <c r="H19" s="4">
        <f t="shared" si="2"/>
        <v>49.313000000000002</v>
      </c>
      <c r="I19" s="31">
        <f t="shared" si="7"/>
        <v>21087.499999999971</v>
      </c>
      <c r="J19" s="32">
        <f t="shared" si="8"/>
        <v>4861.1111111111113</v>
      </c>
      <c r="K19" s="95">
        <f t="shared" ref="K19" si="10">C19+D19+F19+G19-I19-J19</f>
        <v>-36586.68088888887</v>
      </c>
      <c r="L19" s="1"/>
      <c r="M19" s="126">
        <v>45790.625</v>
      </c>
      <c r="N19" s="54">
        <v>43.274000000000001</v>
      </c>
      <c r="O19" s="126">
        <v>45799.625</v>
      </c>
      <c r="P19" s="54">
        <v>33.527999999999999</v>
      </c>
      <c r="Q19" s="126">
        <v>45790.625</v>
      </c>
      <c r="R19" s="54">
        <v>62.122</v>
      </c>
    </row>
    <row r="20" spans="1:18" x14ac:dyDescent="0.3">
      <c r="A20" s="128">
        <v>45932</v>
      </c>
      <c r="B20" s="1">
        <f t="shared" si="0"/>
        <v>46.104999999999997</v>
      </c>
      <c r="C20" s="31">
        <f t="shared" si="3"/>
        <v>-13167.419999999976</v>
      </c>
      <c r="D20" s="32">
        <f t="shared" si="4"/>
        <v>15555.555555555555</v>
      </c>
      <c r="E20" s="4">
        <f t="shared" si="1"/>
        <v>33.39</v>
      </c>
      <c r="F20" s="31">
        <f t="shared" si="5"/>
        <v>4938.5599999999959</v>
      </c>
      <c r="G20" s="32">
        <f t="shared" si="6"/>
        <v>3555.5555555555557</v>
      </c>
      <c r="H20" s="4">
        <f t="shared" si="2"/>
        <v>49.113999999999997</v>
      </c>
      <c r="I20" s="31">
        <f t="shared" si="7"/>
        <v>23575.000000000033</v>
      </c>
      <c r="J20" s="32">
        <f t="shared" si="8"/>
        <v>5555.5555555555557</v>
      </c>
      <c r="K20" s="95">
        <f t="shared" ref="K20" si="11">C20+D20+F20+G20-I20-J20</f>
        <v>-18248.304444444457</v>
      </c>
      <c r="L20" s="1"/>
      <c r="M20" s="126">
        <v>45791.625</v>
      </c>
      <c r="N20" s="54">
        <v>43.774999999999999</v>
      </c>
      <c r="O20" s="126">
        <v>45804.625</v>
      </c>
      <c r="P20" s="54">
        <v>32.281999999999996</v>
      </c>
      <c r="Q20" s="126">
        <v>45791.625</v>
      </c>
      <c r="R20" s="54">
        <v>61.744999999999997</v>
      </c>
    </row>
    <row r="21" spans="1:18" x14ac:dyDescent="0.3">
      <c r="A21" s="128">
        <v>45933</v>
      </c>
      <c r="B21" s="1">
        <f t="shared" si="0"/>
        <v>46.1</v>
      </c>
      <c r="C21" s="31">
        <f t="shared" si="3"/>
        <v>-13126.400000000012</v>
      </c>
      <c r="D21" s="32">
        <f t="shared" si="4"/>
        <v>17500</v>
      </c>
      <c r="E21" s="4">
        <f t="shared" si="1"/>
        <v>33.387</v>
      </c>
      <c r="F21" s="31">
        <f t="shared" si="5"/>
        <v>4962.8479999999963</v>
      </c>
      <c r="G21" s="32">
        <f t="shared" si="6"/>
        <v>4000</v>
      </c>
      <c r="H21" s="4">
        <f t="shared" si="2"/>
        <v>47.597000000000001</v>
      </c>
      <c r="I21" s="31">
        <f t="shared" si="7"/>
        <v>42537.499999999985</v>
      </c>
      <c r="J21" s="32">
        <f t="shared" si="8"/>
        <v>6250</v>
      </c>
      <c r="K21" s="95">
        <f t="shared" ref="K21" si="12">C21+D21+F21+G21-I21-J21</f>
        <v>-35451.052000000003</v>
      </c>
      <c r="L21" s="1"/>
      <c r="M21" s="126">
        <v>45792.625</v>
      </c>
      <c r="N21" s="54">
        <v>44.514000000000003</v>
      </c>
      <c r="O21" s="126">
        <v>45805.625</v>
      </c>
      <c r="P21" s="54">
        <v>31.815000000000001</v>
      </c>
      <c r="Q21" s="126">
        <v>45792.625</v>
      </c>
      <c r="R21" s="54">
        <v>62.554000000000002</v>
      </c>
    </row>
    <row r="22" spans="1:18" x14ac:dyDescent="0.3">
      <c r="A22" s="128">
        <v>45936</v>
      </c>
      <c r="B22" s="1">
        <f t="shared" si="0"/>
        <v>46.697000000000003</v>
      </c>
      <c r="C22" s="31">
        <f t="shared" si="3"/>
        <v>-18024.188000000024</v>
      </c>
      <c r="D22" s="32">
        <f t="shared" si="4"/>
        <v>23333.333333333339</v>
      </c>
      <c r="E22" s="4">
        <f t="shared" si="1"/>
        <v>34.415999999999997</v>
      </c>
      <c r="F22" s="31">
        <f t="shared" si="5"/>
        <v>-3367.9359999999742</v>
      </c>
      <c r="G22" s="32">
        <f t="shared" si="6"/>
        <v>5333.333333333333</v>
      </c>
      <c r="H22" s="4">
        <f t="shared" si="2"/>
        <v>49.274000000000001</v>
      </c>
      <c r="I22" s="31">
        <f t="shared" si="7"/>
        <v>21574.999999999989</v>
      </c>
      <c r="J22" s="32">
        <f t="shared" si="8"/>
        <v>8333.3333333333339</v>
      </c>
      <c r="K22" s="95">
        <f t="shared" ref="K22" si="13">C22+D22+F22+G22-I22-J22</f>
        <v>-22633.790666666646</v>
      </c>
      <c r="L22" s="1"/>
      <c r="M22" s="126">
        <v>45793.625</v>
      </c>
      <c r="N22" s="54">
        <v>44.493000000000002</v>
      </c>
      <c r="O22" s="126">
        <v>45806.625</v>
      </c>
      <c r="P22" s="54">
        <v>33.478999999999999</v>
      </c>
      <c r="Q22" s="126">
        <v>45793.625</v>
      </c>
      <c r="R22" s="54">
        <v>63.191000000000003</v>
      </c>
    </row>
    <row r="23" spans="1:18" x14ac:dyDescent="0.3">
      <c r="A23" s="128">
        <v>45937</v>
      </c>
      <c r="B23" s="1">
        <f t="shared" si="0"/>
        <v>46.832000000000001</v>
      </c>
      <c r="C23" s="31">
        <f t="shared" si="3"/>
        <v>-19131.728000000006</v>
      </c>
      <c r="D23" s="32">
        <f t="shared" si="4"/>
        <v>25277.777777777781</v>
      </c>
      <c r="E23" s="4">
        <f t="shared" si="1"/>
        <v>34.781999999999996</v>
      </c>
      <c r="F23" s="31">
        <f t="shared" si="5"/>
        <v>-6331.071999999971</v>
      </c>
      <c r="G23" s="32">
        <f t="shared" si="6"/>
        <v>5777.7777777777783</v>
      </c>
      <c r="H23" s="4">
        <f t="shared" si="2"/>
        <v>49.777999999999999</v>
      </c>
      <c r="I23" s="31">
        <f t="shared" si="7"/>
        <v>15275.000000000016</v>
      </c>
      <c r="J23" s="32">
        <f t="shared" si="8"/>
        <v>9027.7777777777792</v>
      </c>
      <c r="K23" s="95">
        <f t="shared" ref="K23" si="14">C23+D23+F23+G23-I23-J23</f>
        <v>-18710.022222222215</v>
      </c>
      <c r="L23" s="1"/>
      <c r="M23" s="126">
        <v>45796.625</v>
      </c>
      <c r="N23" s="54">
        <v>44.594999999999999</v>
      </c>
      <c r="O23" s="126">
        <v>45810.625</v>
      </c>
      <c r="P23" s="54">
        <v>32.982999999999997</v>
      </c>
      <c r="Q23" s="126">
        <v>45796.625</v>
      </c>
      <c r="R23" s="54">
        <v>63.14</v>
      </c>
    </row>
    <row r="24" spans="1:18" x14ac:dyDescent="0.3">
      <c r="A24" s="128">
        <v>45938</v>
      </c>
      <c r="B24" s="1">
        <f t="shared" si="0"/>
        <v>47.168999999999997</v>
      </c>
      <c r="C24" s="31">
        <f t="shared" si="3"/>
        <v>-21896.475999999977</v>
      </c>
      <c r="D24" s="32">
        <f t="shared" si="4"/>
        <v>27222.222222222226</v>
      </c>
      <c r="E24" s="4">
        <f t="shared" si="1"/>
        <v>35.098999999999997</v>
      </c>
      <c r="F24" s="31">
        <f t="shared" si="5"/>
        <v>-8897.5039999999735</v>
      </c>
      <c r="G24" s="32">
        <f t="shared" si="6"/>
        <v>6222.2222222222226</v>
      </c>
      <c r="H24" s="4">
        <f t="shared" si="2"/>
        <v>49.825000000000003</v>
      </c>
      <c r="I24" s="31">
        <f t="shared" si="7"/>
        <v>14687.499999999965</v>
      </c>
      <c r="J24" s="32">
        <f t="shared" si="8"/>
        <v>9722.2222222222226</v>
      </c>
      <c r="K24" s="95">
        <f t="shared" ref="K24" si="15">C24+D24+F24+G24-I24-J24</f>
        <v>-21759.25777777769</v>
      </c>
      <c r="L24" s="1"/>
      <c r="M24" s="126">
        <v>45797.625</v>
      </c>
      <c r="N24" s="54">
        <v>44.314999999999998</v>
      </c>
      <c r="O24" s="126">
        <v>45811.625</v>
      </c>
      <c r="P24" s="54">
        <v>31.821000000000002</v>
      </c>
      <c r="Q24" s="126">
        <v>45797.625</v>
      </c>
      <c r="R24" s="54">
        <v>62.087000000000003</v>
      </c>
    </row>
    <row r="25" spans="1:18" x14ac:dyDescent="0.3">
      <c r="A25" s="128">
        <v>45939</v>
      </c>
      <c r="B25" s="1">
        <f t="shared" si="0"/>
        <v>46.902000000000001</v>
      </c>
      <c r="C25" s="31">
        <f t="shared" si="3"/>
        <v>-19706.008000000013</v>
      </c>
      <c r="D25" s="32">
        <f t="shared" si="4"/>
        <v>29166.666666666668</v>
      </c>
      <c r="E25" s="4">
        <f t="shared" si="1"/>
        <v>34.442</v>
      </c>
      <c r="F25" s="31">
        <f t="shared" si="5"/>
        <v>-3578.4320000000012</v>
      </c>
      <c r="G25" s="32">
        <f t="shared" si="6"/>
        <v>6666.6666666666661</v>
      </c>
      <c r="H25" s="4">
        <f t="shared" si="2"/>
        <v>50.210999999999999</v>
      </c>
      <c r="I25" s="31">
        <f t="shared" si="7"/>
        <v>9862.5000000000182</v>
      </c>
      <c r="J25" s="32">
        <f t="shared" si="8"/>
        <v>10416.666666666666</v>
      </c>
      <c r="K25" s="95">
        <f t="shared" ref="K25" si="16">C25+D25+F25+G25-I25-J25</f>
        <v>-7730.2733333333636</v>
      </c>
      <c r="L25" s="1"/>
      <c r="M25" s="126">
        <v>45798.625</v>
      </c>
      <c r="N25" s="54">
        <v>44.335999999999999</v>
      </c>
      <c r="O25" s="126">
        <v>45812.625</v>
      </c>
      <c r="P25" s="54">
        <v>31.257000000000001</v>
      </c>
      <c r="Q25" s="126">
        <v>45798.625</v>
      </c>
      <c r="R25" s="54">
        <v>62.185000000000002</v>
      </c>
    </row>
    <row r="26" spans="1:18" x14ac:dyDescent="0.3">
      <c r="A26" s="128">
        <v>45940</v>
      </c>
      <c r="B26" s="1">
        <f t="shared" si="0"/>
        <v>48.610999999999997</v>
      </c>
      <c r="C26" s="31">
        <f t="shared" si="3"/>
        <v>-33726.643999999978</v>
      </c>
      <c r="D26" s="32">
        <f t="shared" si="4"/>
        <v>31111.111111111109</v>
      </c>
      <c r="E26" s="4">
        <f t="shared" si="1"/>
        <v>34.442</v>
      </c>
      <c r="F26" s="31">
        <f t="shared" si="5"/>
        <v>-3578.4320000000012</v>
      </c>
      <c r="G26" s="32">
        <f t="shared" si="6"/>
        <v>7111.1111111111113</v>
      </c>
      <c r="H26" s="4">
        <f t="shared" si="2"/>
        <v>50.311</v>
      </c>
      <c r="I26" s="31">
        <f t="shared" si="7"/>
        <v>8612.5</v>
      </c>
      <c r="J26" s="32">
        <f t="shared" si="8"/>
        <v>11111.111111111111</v>
      </c>
      <c r="K26" s="95">
        <f t="shared" ref="K26" si="17">C26+D26+F26+G26-I26-J26</f>
        <v>-18806.46488888887</v>
      </c>
      <c r="L26" s="1"/>
      <c r="M26" s="126">
        <v>45799.625</v>
      </c>
      <c r="N26" s="54">
        <v>45.771999999999998</v>
      </c>
      <c r="O26" s="126">
        <v>45817.625</v>
      </c>
      <c r="P26" s="54">
        <v>32.470999999999997</v>
      </c>
      <c r="Q26" s="126">
        <v>45799.625</v>
      </c>
      <c r="R26" s="54">
        <v>62.945999999999998</v>
      </c>
    </row>
    <row r="27" spans="1:18" x14ac:dyDescent="0.3">
      <c r="A27" s="128">
        <v>45943</v>
      </c>
      <c r="B27" s="1">
        <f t="shared" si="0"/>
        <v>50.231000000000002</v>
      </c>
      <c r="C27" s="31">
        <f t="shared" si="3"/>
        <v>-47017.124000000018</v>
      </c>
      <c r="D27" s="32">
        <f t="shared" si="4"/>
        <v>36944.444444444445</v>
      </c>
      <c r="E27" s="4">
        <f t="shared" si="1"/>
        <v>36.572000000000003</v>
      </c>
      <c r="F27" s="31">
        <f t="shared" si="5"/>
        <v>-20822.912000000022</v>
      </c>
      <c r="G27" s="32">
        <f t="shared" si="6"/>
        <v>8444.4444444444453</v>
      </c>
      <c r="H27" s="4">
        <f t="shared" si="2"/>
        <v>51.667000000000002</v>
      </c>
      <c r="I27" s="31">
        <f t="shared" si="7"/>
        <v>-8337.50000000002</v>
      </c>
      <c r="J27" s="32">
        <f t="shared" si="8"/>
        <v>13194.444444444445</v>
      </c>
      <c r="K27" s="95">
        <f t="shared" ref="K27" si="18">C27+D27+F27+G27-I27-J27</f>
        <v>-27308.091555555577</v>
      </c>
      <c r="L27" s="1"/>
      <c r="M27" s="126">
        <v>45800.625</v>
      </c>
      <c r="N27" s="54">
        <v>47.250999999999998</v>
      </c>
      <c r="O27" s="126">
        <v>45818.625</v>
      </c>
      <c r="P27" s="54">
        <v>31.704999999999998</v>
      </c>
      <c r="Q27" s="126">
        <v>45800.625</v>
      </c>
      <c r="R27" s="54">
        <v>64.626999999999995</v>
      </c>
    </row>
    <row r="28" spans="1:18" x14ac:dyDescent="0.3">
      <c r="A28" s="128">
        <v>45944</v>
      </c>
      <c r="B28" s="1">
        <f t="shared" si="0"/>
        <v>50.671999999999997</v>
      </c>
      <c r="C28" s="31">
        <f t="shared" si="3"/>
        <v>-50635.087999999982</v>
      </c>
      <c r="D28" s="32">
        <f t="shared" si="4"/>
        <v>38888.888888888891</v>
      </c>
      <c r="E28" s="4">
        <f t="shared" si="1"/>
        <v>37.72</v>
      </c>
      <c r="F28" s="31">
        <f t="shared" si="5"/>
        <v>-30117.119999999988</v>
      </c>
      <c r="G28" s="32">
        <f t="shared" si="6"/>
        <v>8888.8888888888887</v>
      </c>
      <c r="H28" s="4">
        <f t="shared" si="2"/>
        <v>53.13</v>
      </c>
      <c r="I28" s="31">
        <f t="shared" si="7"/>
        <v>-26625.000000000033</v>
      </c>
      <c r="J28" s="32">
        <f t="shared" si="8"/>
        <v>13888.888888888889</v>
      </c>
      <c r="K28" s="95">
        <f t="shared" ref="K28" si="19">C28+D28+F28+G28-I28-J28</f>
        <v>-20238.319111111043</v>
      </c>
      <c r="L28" s="1"/>
      <c r="M28" s="126">
        <v>45803.625</v>
      </c>
      <c r="N28" s="54">
        <v>47.389000000000003</v>
      </c>
      <c r="O28" s="126">
        <v>45819.625</v>
      </c>
      <c r="P28" s="54">
        <v>31.355</v>
      </c>
      <c r="Q28" s="126">
        <v>45803.625</v>
      </c>
      <c r="R28" s="54">
        <v>64.301000000000002</v>
      </c>
    </row>
    <row r="29" spans="1:18" x14ac:dyDescent="0.3">
      <c r="A29" s="128">
        <v>45945</v>
      </c>
      <c r="B29" s="1">
        <f t="shared" si="0"/>
        <v>47.665999999999997</v>
      </c>
      <c r="C29" s="31">
        <f t="shared" si="3"/>
        <v>-25973.863999999976</v>
      </c>
      <c r="D29" s="32">
        <f t="shared" si="4"/>
        <v>40833.333333333336</v>
      </c>
      <c r="E29" s="4">
        <f t="shared" si="1"/>
        <v>35.18</v>
      </c>
      <c r="F29" s="31">
        <f t="shared" si="5"/>
        <v>-9553.279999999997</v>
      </c>
      <c r="G29" s="32">
        <f t="shared" si="6"/>
        <v>9333.3333333333321</v>
      </c>
      <c r="H29" s="4">
        <f t="shared" si="2"/>
        <v>50.527999999999999</v>
      </c>
      <c r="I29" s="31">
        <f t="shared" si="7"/>
        <v>5900.0000000000164</v>
      </c>
      <c r="J29" s="32">
        <f t="shared" si="8"/>
        <v>14583.333333333332</v>
      </c>
      <c r="K29" s="95">
        <f t="shared" ref="K29" si="20">C29+D29+F29+G29-I29-J29</f>
        <v>-5843.8106666666536</v>
      </c>
      <c r="L29" s="1"/>
      <c r="M29" s="126">
        <v>45804.625</v>
      </c>
      <c r="N29" s="54">
        <v>45.576000000000001</v>
      </c>
      <c r="O29" s="126">
        <v>45824.625</v>
      </c>
      <c r="P29" s="54">
        <v>32.851999999999997</v>
      </c>
      <c r="Q29" s="126">
        <v>45804.625</v>
      </c>
      <c r="R29" s="54">
        <v>62.533000000000001</v>
      </c>
    </row>
    <row r="30" spans="1:18" x14ac:dyDescent="0.3">
      <c r="A30" s="128">
        <v>45946</v>
      </c>
      <c r="B30" s="1">
        <f t="shared" si="0"/>
        <v>47.408999999999999</v>
      </c>
      <c r="C30" s="31">
        <f t="shared" si="3"/>
        <v>-23865.435999999994</v>
      </c>
      <c r="D30" s="32">
        <f t="shared" si="4"/>
        <v>42777.777777777781</v>
      </c>
      <c r="E30" s="4">
        <f t="shared" si="1"/>
        <v>35.090000000000003</v>
      </c>
      <c r="F30" s="31">
        <f t="shared" si="5"/>
        <v>-8824.6400000000285</v>
      </c>
      <c r="G30" s="32">
        <f t="shared" si="6"/>
        <v>9777.7777777777774</v>
      </c>
      <c r="H30" s="4">
        <f t="shared" si="2"/>
        <v>50.088999999999999</v>
      </c>
      <c r="I30" s="31">
        <f t="shared" si="7"/>
        <v>11387.500000000018</v>
      </c>
      <c r="J30" s="32">
        <f t="shared" si="8"/>
        <v>15277.777777777777</v>
      </c>
      <c r="K30" s="95">
        <f t="shared" ref="K30" si="21">C30+D30+F30+G30-I30-J30</f>
        <v>-6799.7982222222599</v>
      </c>
      <c r="L30" s="1"/>
      <c r="M30" s="126">
        <v>45805.625</v>
      </c>
      <c r="N30" s="54">
        <v>44.938000000000002</v>
      </c>
      <c r="O30" s="126">
        <v>45825.625</v>
      </c>
      <c r="P30" s="54">
        <v>33.970999999999997</v>
      </c>
      <c r="Q30" s="126">
        <v>45805.625</v>
      </c>
      <c r="R30" s="54">
        <v>61.427999999999997</v>
      </c>
    </row>
    <row r="31" spans="1:18" x14ac:dyDescent="0.3">
      <c r="A31" s="128">
        <v>45947</v>
      </c>
      <c r="B31" s="1">
        <f t="shared" si="0"/>
        <v>48.587000000000003</v>
      </c>
      <c r="C31" s="31">
        <f t="shared" si="3"/>
        <v>-33529.748000000029</v>
      </c>
      <c r="D31" s="32">
        <f t="shared" si="4"/>
        <v>44722.222222222226</v>
      </c>
      <c r="E31" s="4">
        <f t="shared" si="1"/>
        <v>35.686999999999998</v>
      </c>
      <c r="F31" s="31">
        <f t="shared" si="5"/>
        <v>-13657.951999999979</v>
      </c>
      <c r="G31" s="32">
        <f t="shared" si="6"/>
        <v>10222.222222222223</v>
      </c>
      <c r="H31" s="4">
        <f t="shared" si="2"/>
        <v>51.423000000000002</v>
      </c>
      <c r="I31" s="31">
        <f t="shared" si="7"/>
        <v>-5287.5000000000227</v>
      </c>
      <c r="J31" s="32">
        <f t="shared" si="8"/>
        <v>15972.222222222223</v>
      </c>
      <c r="K31" s="95">
        <f t="shared" ref="K31:K32" si="22">C31+D31+F31+G31-I31-J31</f>
        <v>-2927.9777777777599</v>
      </c>
      <c r="L31" s="1"/>
      <c r="M31" s="126">
        <v>45806.625</v>
      </c>
      <c r="N31" s="54">
        <v>44.045000000000002</v>
      </c>
      <c r="O31" s="126">
        <v>45826.625</v>
      </c>
      <c r="P31" s="54">
        <v>34.889000000000003</v>
      </c>
      <c r="Q31" s="126">
        <v>45806.625</v>
      </c>
      <c r="R31" s="54">
        <v>60.792999999999999</v>
      </c>
    </row>
    <row r="32" spans="1:18" x14ac:dyDescent="0.3">
      <c r="A32" s="128">
        <v>45950</v>
      </c>
      <c r="B32" s="1">
        <f t="shared" si="0"/>
        <v>47.418999999999997</v>
      </c>
      <c r="C32" s="31">
        <f t="shared" si="3"/>
        <v>-23947.475999999977</v>
      </c>
      <c r="D32" s="32">
        <f t="shared" si="4"/>
        <v>50555.555555555562</v>
      </c>
      <c r="E32" s="4">
        <f t="shared" si="1"/>
        <v>34.273000000000003</v>
      </c>
      <c r="F32" s="31">
        <f t="shared" si="5"/>
        <v>-2210.208000000026</v>
      </c>
      <c r="G32" s="32">
        <f t="shared" si="6"/>
        <v>11555.555555555557</v>
      </c>
      <c r="H32" s="4">
        <f t="shared" si="2"/>
        <v>50.655999999999999</v>
      </c>
      <c r="I32" s="31">
        <f t="shared" si="7"/>
        <v>4300.0000000000155</v>
      </c>
      <c r="J32" s="32">
        <f t="shared" si="8"/>
        <v>18055.555555555558</v>
      </c>
      <c r="K32" s="95">
        <f t="shared" si="22"/>
        <v>13597.871555555543</v>
      </c>
      <c r="L32" s="1"/>
      <c r="M32" s="126">
        <v>45807.625</v>
      </c>
      <c r="N32" s="54">
        <v>45.179000000000002</v>
      </c>
      <c r="O32" s="126">
        <v>45832.625</v>
      </c>
      <c r="P32" s="54">
        <v>33.630000000000003</v>
      </c>
      <c r="Q32" s="126">
        <v>45807.625</v>
      </c>
      <c r="R32" s="54">
        <v>59.956000000000003</v>
      </c>
    </row>
    <row r="33" spans="1:18" x14ac:dyDescent="0.3">
      <c r="A33" s="128">
        <v>45951</v>
      </c>
      <c r="B33" s="1">
        <f t="shared" si="0"/>
        <v>46.823999999999998</v>
      </c>
      <c r="C33" s="31">
        <f t="shared" si="3"/>
        <v>-19066.095999999987</v>
      </c>
      <c r="D33" s="32">
        <f t="shared" si="4"/>
        <v>52500.000000000007</v>
      </c>
      <c r="E33" s="4">
        <f t="shared" si="1"/>
        <v>34.064</v>
      </c>
      <c r="F33" s="31">
        <f t="shared" si="5"/>
        <v>-518.14400000000046</v>
      </c>
      <c r="G33" s="32">
        <f t="shared" si="6"/>
        <v>12000</v>
      </c>
      <c r="H33" s="4">
        <f t="shared" si="2"/>
        <v>49.837000000000003</v>
      </c>
      <c r="I33" s="31">
        <f t="shared" si="7"/>
        <v>14537.499999999958</v>
      </c>
      <c r="J33" s="32">
        <f t="shared" si="8"/>
        <v>18750</v>
      </c>
      <c r="K33" s="95">
        <f t="shared" ref="K33" si="23">C33+D33+F33+G33-I33-J33</f>
        <v>11628.260000000068</v>
      </c>
      <c r="L33" s="1"/>
      <c r="M33" s="126">
        <v>45810.625</v>
      </c>
      <c r="N33" s="54">
        <v>44.805999999999997</v>
      </c>
      <c r="O33" s="126">
        <v>45833.625</v>
      </c>
      <c r="P33" s="54">
        <v>32.624000000000002</v>
      </c>
      <c r="Q33" s="126">
        <v>45810.625</v>
      </c>
      <c r="R33" s="54">
        <v>60.311999999999998</v>
      </c>
    </row>
    <row r="34" spans="1:18" x14ac:dyDescent="0.3">
      <c r="A34" s="128">
        <v>45952</v>
      </c>
      <c r="B34" s="1">
        <f t="shared" si="0"/>
        <v>46.738999999999997</v>
      </c>
      <c r="C34" s="31">
        <f t="shared" si="3"/>
        <v>-18368.755999999979</v>
      </c>
      <c r="D34" s="32">
        <f t="shared" si="4"/>
        <v>54444.444444444453</v>
      </c>
      <c r="E34" s="4">
        <f t="shared" si="1"/>
        <v>33.892000000000003</v>
      </c>
      <c r="F34" s="31">
        <f t="shared" si="5"/>
        <v>874.36799999997561</v>
      </c>
      <c r="G34" s="32">
        <f t="shared" si="6"/>
        <v>12444.444444444445</v>
      </c>
      <c r="H34" s="4">
        <f t="shared" si="2"/>
        <v>50.043999999999997</v>
      </c>
      <c r="I34" s="31">
        <f t="shared" si="7"/>
        <v>11950.00000000004</v>
      </c>
      <c r="J34" s="32">
        <f t="shared" si="8"/>
        <v>19444.444444444445</v>
      </c>
      <c r="K34" s="95">
        <f t="shared" ref="K34" si="24">C34+D34+F34+G34-I34-J34</f>
        <v>18000.05644444441</v>
      </c>
      <c r="L34" s="1"/>
      <c r="M34" s="126">
        <v>45811.625</v>
      </c>
      <c r="N34" s="54">
        <v>43.595999999999997</v>
      </c>
      <c r="O34" s="126">
        <v>45853.625</v>
      </c>
      <c r="P34" s="54">
        <v>31.337</v>
      </c>
      <c r="Q34" s="126">
        <v>45811.625</v>
      </c>
      <c r="R34" s="54">
        <v>59.81</v>
      </c>
    </row>
    <row r="35" spans="1:18" x14ac:dyDescent="0.3">
      <c r="A35" s="128">
        <v>45953</v>
      </c>
      <c r="B35" s="1">
        <f t="shared" si="0"/>
        <v>46.947000000000003</v>
      </c>
      <c r="C35" s="31">
        <f t="shared" si="3"/>
        <v>-20075.188000000027</v>
      </c>
      <c r="D35" s="32">
        <f t="shared" si="4"/>
        <v>56388.888888888898</v>
      </c>
      <c r="E35" s="4">
        <f t="shared" si="1"/>
        <v>34.267000000000003</v>
      </c>
      <c r="F35" s="31">
        <f t="shared" si="5"/>
        <v>-2161.6320000000246</v>
      </c>
      <c r="G35" s="32">
        <f t="shared" si="6"/>
        <v>12888.888888888887</v>
      </c>
      <c r="H35" s="4">
        <f t="shared" si="2"/>
        <v>49.984000000000002</v>
      </c>
      <c r="I35" s="31">
        <f t="shared" si="7"/>
        <v>12699.999999999978</v>
      </c>
      <c r="J35" s="32">
        <f t="shared" si="8"/>
        <v>20138.888888888887</v>
      </c>
      <c r="K35" s="95">
        <f t="shared" ref="K35" si="25">C35+D35+F35+G35-I35-J35</f>
        <v>14202.068888888865</v>
      </c>
      <c r="L35" s="1"/>
      <c r="M35" s="126">
        <v>45812.625</v>
      </c>
      <c r="N35" s="54">
        <v>42.764000000000003</v>
      </c>
      <c r="O35" s="126">
        <v>45854.625</v>
      </c>
      <c r="P35" s="54">
        <v>31.843</v>
      </c>
      <c r="Q35" s="126">
        <v>45812.625</v>
      </c>
      <c r="R35" s="54">
        <v>58.168999999999997</v>
      </c>
    </row>
    <row r="36" spans="1:18" x14ac:dyDescent="0.3">
      <c r="A36" s="128">
        <v>45954</v>
      </c>
      <c r="B36" s="1">
        <f t="shared" si="0"/>
        <v>46.313000000000002</v>
      </c>
      <c r="C36" s="31">
        <f t="shared" si="3"/>
        <v>-14873.852000000023</v>
      </c>
      <c r="D36" s="32">
        <f t="shared" si="4"/>
        <v>58333.333333333336</v>
      </c>
      <c r="E36" s="4">
        <f t="shared" si="1"/>
        <v>33.981999999999999</v>
      </c>
      <c r="F36" s="31">
        <f t="shared" si="5"/>
        <v>145.72800000000552</v>
      </c>
      <c r="G36" s="32">
        <f t="shared" si="6"/>
        <v>13333.333333333332</v>
      </c>
      <c r="H36" s="4">
        <f t="shared" si="2"/>
        <v>49.29</v>
      </c>
      <c r="I36" s="31">
        <f t="shared" si="7"/>
        <v>21375.000000000011</v>
      </c>
      <c r="J36" s="32">
        <f t="shared" si="8"/>
        <v>20833.333333333332</v>
      </c>
      <c r="K36" s="95">
        <f t="shared" ref="K36" si="26">C36+D36+F36+G36-I36-J36</f>
        <v>14730.2093333333</v>
      </c>
      <c r="L36" s="1"/>
      <c r="M36" s="126">
        <v>45813.625</v>
      </c>
      <c r="N36" s="54">
        <v>44.244999999999997</v>
      </c>
      <c r="O36" s="126">
        <v>45855.625</v>
      </c>
      <c r="P36" s="54">
        <v>31.506</v>
      </c>
      <c r="Q36" s="126">
        <v>45813.625</v>
      </c>
      <c r="R36" s="54">
        <v>58.491999999999997</v>
      </c>
    </row>
    <row r="37" spans="1:18" x14ac:dyDescent="0.3">
      <c r="A37" s="36">
        <v>45957</v>
      </c>
      <c r="B37" s="1">
        <f t="shared" si="0"/>
        <v>45.597000000000001</v>
      </c>
      <c r="C37" s="31">
        <f t="shared" si="3"/>
        <v>-8999.7880000000114</v>
      </c>
      <c r="D37" s="32">
        <f t="shared" si="4"/>
        <v>64166.666666666664</v>
      </c>
      <c r="E37" s="4">
        <f t="shared" si="1"/>
        <v>32.850999999999999</v>
      </c>
      <c r="F37" s="31">
        <f t="shared" si="5"/>
        <v>9302.3040000000074</v>
      </c>
      <c r="G37" s="32">
        <f t="shared" si="6"/>
        <v>14666.666666666668</v>
      </c>
      <c r="H37" s="4">
        <f t="shared" si="2"/>
        <v>48.558999999999997</v>
      </c>
      <c r="I37" s="31">
        <f t="shared" si="7"/>
        <v>30512.500000000033</v>
      </c>
      <c r="J37" s="32">
        <f t="shared" si="8"/>
        <v>22916.666666666668</v>
      </c>
      <c r="K37" s="95">
        <f t="shared" ref="K37" si="27">C37+D37+F37+G37-I37-J37</f>
        <v>25706.682666666635</v>
      </c>
      <c r="L37" s="1"/>
      <c r="M37" s="126">
        <v>45814.625</v>
      </c>
      <c r="N37" s="54">
        <v>43.677999999999997</v>
      </c>
      <c r="O37" s="126">
        <v>45859.625</v>
      </c>
      <c r="P37" s="54">
        <v>30.71</v>
      </c>
      <c r="Q37" s="126">
        <v>45814.625</v>
      </c>
      <c r="R37" s="54">
        <v>58.716999999999999</v>
      </c>
    </row>
    <row r="38" spans="1:18" x14ac:dyDescent="0.3">
      <c r="A38" s="36">
        <v>45958</v>
      </c>
      <c r="B38" s="1">
        <f t="shared" si="0"/>
        <v>45.210999999999999</v>
      </c>
      <c r="C38" s="31">
        <f t="shared" si="3"/>
        <v>-5833.043999999989</v>
      </c>
      <c r="D38" s="32">
        <f t="shared" si="4"/>
        <v>66111.111111111124</v>
      </c>
      <c r="E38" s="4">
        <f t="shared" si="1"/>
        <v>32.231999999999999</v>
      </c>
      <c r="F38" s="31">
        <f t="shared" si="5"/>
        <v>14313.728000000005</v>
      </c>
      <c r="G38" s="32">
        <f t="shared" si="6"/>
        <v>15111.111111111111</v>
      </c>
      <c r="H38" s="4">
        <f t="shared" si="2"/>
        <v>47.664999999999999</v>
      </c>
      <c r="I38" s="31">
        <f t="shared" si="7"/>
        <v>41687.500000000007</v>
      </c>
      <c r="J38" s="32">
        <f t="shared" si="8"/>
        <v>23611.111111111113</v>
      </c>
      <c r="K38" s="95">
        <f t="shared" ref="K38" si="28">C38+D38+F38+G38-I38-J38</f>
        <v>24404.295111111136</v>
      </c>
      <c r="L38" s="1"/>
      <c r="M38" s="126">
        <v>45817.625</v>
      </c>
      <c r="N38" s="54">
        <v>43.631</v>
      </c>
      <c r="O38" s="126">
        <v>45866.625</v>
      </c>
      <c r="P38" s="54">
        <v>30.4</v>
      </c>
      <c r="Q38" s="126">
        <v>45817.625</v>
      </c>
      <c r="R38" s="54">
        <v>58.598999999999997</v>
      </c>
    </row>
    <row r="39" spans="1:18" x14ac:dyDescent="0.3">
      <c r="A39" s="36">
        <v>45959</v>
      </c>
      <c r="B39" s="1">
        <f t="shared" si="0"/>
        <v>43.238</v>
      </c>
      <c r="C39" s="31">
        <f t="shared" si="3"/>
        <v>10353.448000000006</v>
      </c>
      <c r="D39" s="32">
        <f t="shared" si="4"/>
        <v>68055.555555555562</v>
      </c>
      <c r="E39" s="4">
        <f t="shared" si="1"/>
        <v>32.119</v>
      </c>
      <c r="F39" s="31">
        <f t="shared" si="5"/>
        <v>15228.576000000001</v>
      </c>
      <c r="G39" s="32">
        <f t="shared" si="6"/>
        <v>15555.555555555557</v>
      </c>
      <c r="H39" s="4">
        <f t="shared" si="2"/>
        <v>48.319000000000003</v>
      </c>
      <c r="I39" s="31">
        <f t="shared" si="7"/>
        <v>33512.499999999971</v>
      </c>
      <c r="J39" s="32">
        <f t="shared" si="8"/>
        <v>24305.555555555558</v>
      </c>
      <c r="K39" s="95">
        <f t="shared" ref="K39" si="29">C39+D39+F39+G39-I39-J39</f>
        <v>51375.079555555596</v>
      </c>
      <c r="L39" s="1"/>
      <c r="M39" s="126">
        <v>45818.625</v>
      </c>
      <c r="N39" s="54">
        <v>43.345999999999997</v>
      </c>
      <c r="O39" s="126">
        <v>45867.625</v>
      </c>
      <c r="P39" s="54">
        <v>31.736999999999998</v>
      </c>
      <c r="Q39" s="126">
        <v>45818.625</v>
      </c>
      <c r="R39" s="54">
        <v>57.927999999999997</v>
      </c>
    </row>
    <row r="40" spans="1:18" x14ac:dyDescent="0.3">
      <c r="A40" s="36">
        <v>45960</v>
      </c>
      <c r="B40" s="1">
        <f t="shared" si="0"/>
        <v>44.523000000000003</v>
      </c>
      <c r="C40" s="31">
        <f t="shared" ref="C40:C41" si="30">-1*(B40-$B$14)*10^-4*$B$8*$B$5</f>
        <v>-188.69200000002658</v>
      </c>
      <c r="D40" s="32">
        <f t="shared" ref="D40:D41" si="31">$B$6*(A40-$A$14)/360*$B$5</f>
        <v>70000</v>
      </c>
      <c r="E40" s="4">
        <f t="shared" si="1"/>
        <v>32.652999999999999</v>
      </c>
      <c r="F40" s="31">
        <f t="shared" ref="F40:F41" si="32">-1*(E40-$E$14)*10^-4*$C$8*$C$5</f>
        <v>10905.312000000009</v>
      </c>
      <c r="G40" s="32">
        <f t="shared" ref="G40:G41" si="33">$C$6*(A40-$A$14)/360*$C$5</f>
        <v>16000</v>
      </c>
      <c r="H40" s="4">
        <f t="shared" si="2"/>
        <v>48.823999999999998</v>
      </c>
      <c r="I40" s="31">
        <f t="shared" ref="I40:I41" si="34">-1*(H40-$H$14)*10^-4*$D$8*$D$5</f>
        <v>27200.000000000022</v>
      </c>
      <c r="J40" s="32">
        <f t="shared" ref="J40:J41" si="35">$D$6*(A40-$A$14)/360*$D$5</f>
        <v>25000</v>
      </c>
      <c r="K40" s="95">
        <f t="shared" ref="K40:K41" si="36">C40+D40+F40+G40-I40-J40</f>
        <v>44516.619999999966</v>
      </c>
      <c r="L40" s="1"/>
      <c r="M40" s="126">
        <v>45819.625</v>
      </c>
      <c r="N40" s="54">
        <v>42.701999999999998</v>
      </c>
      <c r="O40" s="126">
        <v>45868.625</v>
      </c>
      <c r="P40" s="54">
        <v>32.436</v>
      </c>
      <c r="Q40" s="126">
        <v>45819.625</v>
      </c>
      <c r="R40" s="54">
        <v>57.012</v>
      </c>
    </row>
    <row r="41" spans="1:18" x14ac:dyDescent="0.3">
      <c r="A41" s="36">
        <v>45961</v>
      </c>
      <c r="B41" s="46">
        <f>$B$10</f>
        <v>45.722929999999998</v>
      </c>
      <c r="C41" s="31">
        <f t="shared" si="30"/>
        <v>-10032.917719999987</v>
      </c>
      <c r="D41" s="32">
        <f t="shared" si="31"/>
        <v>71944.444444444453</v>
      </c>
      <c r="E41" s="45">
        <f>$C$10</f>
        <v>33.340899999999998</v>
      </c>
      <c r="F41" s="31">
        <f t="shared" si="32"/>
        <v>5336.0736000000179</v>
      </c>
      <c r="G41" s="32">
        <f t="shared" si="33"/>
        <v>16444.444444444445</v>
      </c>
      <c r="H41" s="45">
        <f>$D$10</f>
        <v>49.53886</v>
      </c>
      <c r="I41" s="31">
        <f t="shared" si="34"/>
        <v>18264.250000000004</v>
      </c>
      <c r="J41" s="32">
        <f t="shared" si="35"/>
        <v>25694.444444444445</v>
      </c>
      <c r="K41" s="95">
        <f t="shared" si="36"/>
        <v>39733.350324444495</v>
      </c>
      <c r="L41" s="1"/>
      <c r="M41" s="126">
        <v>45820.625</v>
      </c>
      <c r="N41" s="54">
        <v>44.231999999999999</v>
      </c>
      <c r="O41" s="126">
        <v>45869.625</v>
      </c>
      <c r="P41" s="54">
        <v>32.579000000000001</v>
      </c>
      <c r="Q41" s="126">
        <v>45820.625</v>
      </c>
      <c r="R41" s="54">
        <v>57.642000000000003</v>
      </c>
    </row>
    <row r="42" spans="1:18" x14ac:dyDescent="0.3">
      <c r="A42" s="36">
        <v>45964</v>
      </c>
      <c r="B42" s="46"/>
      <c r="C42" s="31"/>
      <c r="D42" s="32"/>
      <c r="E42" s="45"/>
      <c r="F42" s="31"/>
      <c r="G42" s="32"/>
      <c r="H42" s="45"/>
      <c r="I42" s="31"/>
      <c r="J42" s="32"/>
      <c r="K42" s="95"/>
      <c r="L42" s="1"/>
      <c r="M42" s="126">
        <v>45821.625</v>
      </c>
      <c r="N42" s="54">
        <v>45.863999999999997</v>
      </c>
      <c r="O42" s="126">
        <v>45873.625</v>
      </c>
      <c r="P42" s="54">
        <v>33.722000000000001</v>
      </c>
      <c r="Q42" s="126">
        <v>45821.625</v>
      </c>
      <c r="R42" s="54">
        <v>58.883000000000003</v>
      </c>
    </row>
    <row r="43" spans="1:18" x14ac:dyDescent="0.3">
      <c r="A43" s="36">
        <v>45965</v>
      </c>
      <c r="B43" s="46"/>
      <c r="C43" s="31"/>
      <c r="D43" s="32"/>
      <c r="E43" s="45"/>
      <c r="F43" s="31"/>
      <c r="G43" s="32"/>
      <c r="H43" s="45"/>
      <c r="I43" s="31"/>
      <c r="J43" s="32"/>
      <c r="K43" s="95"/>
      <c r="L43" s="1"/>
      <c r="M43" s="126">
        <v>45824.625</v>
      </c>
      <c r="N43" s="54">
        <v>44.610999999999997</v>
      </c>
      <c r="O43" s="126">
        <v>45874.625</v>
      </c>
      <c r="P43" s="54">
        <v>33.027000000000001</v>
      </c>
      <c r="Q43" s="126">
        <v>45824.625</v>
      </c>
      <c r="R43" s="54">
        <v>58.064</v>
      </c>
    </row>
    <row r="44" spans="1:18" x14ac:dyDescent="0.3">
      <c r="A44" s="36">
        <v>45966</v>
      </c>
      <c r="B44" s="46"/>
      <c r="C44" s="31"/>
      <c r="D44" s="32"/>
      <c r="E44" s="45"/>
      <c r="F44" s="31"/>
      <c r="G44" s="32"/>
      <c r="H44" s="45"/>
      <c r="I44" s="31"/>
      <c r="J44" s="32"/>
      <c r="K44" s="95"/>
      <c r="L44" s="1"/>
      <c r="M44" s="126">
        <v>45825.625</v>
      </c>
      <c r="N44" s="54">
        <v>45.368000000000002</v>
      </c>
      <c r="O44" s="126">
        <v>45875.625</v>
      </c>
      <c r="P44" s="54">
        <v>33.046999999999997</v>
      </c>
      <c r="Q44" s="126">
        <v>45825.625</v>
      </c>
      <c r="R44" s="54">
        <v>57.911999999999999</v>
      </c>
    </row>
    <row r="45" spans="1:18" x14ac:dyDescent="0.3">
      <c r="A45" s="36">
        <v>45967</v>
      </c>
      <c r="B45" s="46"/>
      <c r="C45" s="31"/>
      <c r="D45" s="32"/>
      <c r="E45" s="45"/>
      <c r="F45" s="31"/>
      <c r="G45" s="32"/>
      <c r="H45" s="45"/>
      <c r="I45" s="31"/>
      <c r="J45" s="32"/>
      <c r="K45" s="95"/>
      <c r="L45" s="1"/>
      <c r="M45" s="126">
        <v>45826.625</v>
      </c>
      <c r="N45" s="54">
        <v>46.523000000000003</v>
      </c>
      <c r="O45" s="126">
        <v>45888.625</v>
      </c>
      <c r="P45" s="54">
        <v>32.750999999999998</v>
      </c>
      <c r="Q45" s="126">
        <v>45826.625</v>
      </c>
      <c r="R45" s="54">
        <v>57.851999999999997</v>
      </c>
    </row>
    <row r="46" spans="1:18" x14ac:dyDescent="0.3">
      <c r="A46" s="36">
        <v>45968</v>
      </c>
      <c r="B46" s="46"/>
      <c r="C46" s="31"/>
      <c r="D46" s="32"/>
      <c r="E46" s="45"/>
      <c r="F46" s="31"/>
      <c r="G46" s="32"/>
      <c r="H46" s="45"/>
      <c r="I46" s="31"/>
      <c r="J46" s="32"/>
      <c r="K46" s="95"/>
      <c r="L46" s="1"/>
      <c r="M46" s="126">
        <v>45827.625</v>
      </c>
      <c r="N46" s="54">
        <v>48.179000000000002</v>
      </c>
      <c r="O46" s="126">
        <v>45889.625</v>
      </c>
      <c r="P46" s="54">
        <v>32.89</v>
      </c>
      <c r="Q46" s="126">
        <v>45827.625</v>
      </c>
      <c r="R46" s="54">
        <v>59.573</v>
      </c>
    </row>
    <row r="47" spans="1:18" x14ac:dyDescent="0.3">
      <c r="A47" s="36">
        <v>45969</v>
      </c>
      <c r="B47" s="46"/>
      <c r="C47" s="31"/>
      <c r="D47" s="32"/>
      <c r="E47" s="45"/>
      <c r="F47" s="31"/>
      <c r="G47" s="32"/>
      <c r="H47" s="45"/>
      <c r="I47" s="31"/>
      <c r="J47" s="32"/>
      <c r="K47" s="95"/>
      <c r="L47" s="1"/>
      <c r="M47" s="126">
        <v>45828.625</v>
      </c>
      <c r="N47" s="54">
        <v>47.363</v>
      </c>
      <c r="O47" s="126">
        <v>45890.625</v>
      </c>
      <c r="P47" s="54">
        <v>32.731000000000002</v>
      </c>
      <c r="Q47" s="126">
        <v>45828.625</v>
      </c>
      <c r="R47" s="54">
        <v>58.72</v>
      </c>
    </row>
    <row r="48" spans="1:18" x14ac:dyDescent="0.3">
      <c r="A48" s="36">
        <v>45970</v>
      </c>
      <c r="B48" s="46"/>
      <c r="C48" s="31"/>
      <c r="D48" s="32"/>
      <c r="E48" s="45"/>
      <c r="F48" s="31"/>
      <c r="G48" s="32"/>
      <c r="H48" s="45"/>
      <c r="I48" s="31"/>
      <c r="J48" s="32"/>
      <c r="K48" s="95"/>
      <c r="L48" s="1"/>
      <c r="M48" s="126">
        <v>45831.625</v>
      </c>
      <c r="N48" s="54">
        <v>46.848999999999997</v>
      </c>
      <c r="O48" s="126">
        <v>45891.625</v>
      </c>
      <c r="P48" s="54">
        <v>33.159999999999997</v>
      </c>
      <c r="Q48" s="126">
        <v>45831.625</v>
      </c>
      <c r="R48" s="54">
        <v>58.292999999999999</v>
      </c>
    </row>
    <row r="49" spans="1:18" x14ac:dyDescent="0.3">
      <c r="A49" s="36"/>
      <c r="B49" s="46"/>
      <c r="C49" s="31"/>
      <c r="D49" s="32"/>
      <c r="E49" s="45"/>
      <c r="F49" s="31"/>
      <c r="G49" s="32"/>
      <c r="H49" s="45"/>
      <c r="I49" s="31"/>
      <c r="J49" s="32"/>
      <c r="K49" s="95"/>
      <c r="L49" s="1"/>
      <c r="M49" s="126">
        <v>45832.625</v>
      </c>
      <c r="N49" s="54">
        <v>44.784999999999997</v>
      </c>
      <c r="O49" s="126">
        <v>45895.625</v>
      </c>
      <c r="P49" s="54">
        <v>33.363</v>
      </c>
      <c r="Q49" s="126">
        <v>45832.625</v>
      </c>
      <c r="R49" s="54">
        <v>56.517000000000003</v>
      </c>
    </row>
    <row r="50" spans="1:18" x14ac:dyDescent="0.3">
      <c r="A50" s="36"/>
      <c r="B50" s="46"/>
      <c r="C50" s="31"/>
      <c r="D50" s="32"/>
      <c r="E50" s="45"/>
      <c r="F50" s="31"/>
      <c r="G50" s="32"/>
      <c r="H50" s="45"/>
      <c r="I50" s="31"/>
      <c r="J50" s="32"/>
      <c r="K50" s="95"/>
      <c r="L50" s="1"/>
      <c r="M50" s="126">
        <v>45833.625</v>
      </c>
      <c r="N50" s="54">
        <v>44.518999999999998</v>
      </c>
      <c r="O50" s="126">
        <v>45896.625</v>
      </c>
      <c r="P50" s="54">
        <v>33.249000000000002</v>
      </c>
      <c r="Q50" s="126">
        <v>45833.625</v>
      </c>
      <c r="R50" s="54">
        <v>56.24</v>
      </c>
    </row>
    <row r="51" spans="1:18" x14ac:dyDescent="0.3">
      <c r="A51" s="36"/>
      <c r="B51" s="46"/>
      <c r="C51" s="31"/>
      <c r="D51" s="32"/>
      <c r="E51" s="45"/>
      <c r="F51" s="31"/>
      <c r="G51" s="32"/>
      <c r="H51" s="45"/>
      <c r="I51" s="31"/>
      <c r="J51" s="32"/>
      <c r="K51" s="95"/>
      <c r="L51" s="1"/>
      <c r="M51" s="126">
        <v>45834.625</v>
      </c>
      <c r="N51" s="54">
        <v>44.546999999999997</v>
      </c>
      <c r="O51" s="126">
        <v>45897.625</v>
      </c>
      <c r="P51" s="54">
        <v>33.628</v>
      </c>
      <c r="Q51" s="126">
        <v>45834.625</v>
      </c>
      <c r="R51" s="54">
        <v>56.137</v>
      </c>
    </row>
    <row r="52" spans="1:18" x14ac:dyDescent="0.3">
      <c r="B52" s="45"/>
      <c r="C52" s="31"/>
      <c r="D52" s="32"/>
      <c r="E52" s="4"/>
      <c r="F52" s="31"/>
      <c r="G52" s="32"/>
      <c r="H52" s="4"/>
      <c r="I52" s="31"/>
      <c r="J52" s="32"/>
      <c r="K52" s="38"/>
      <c r="L52" s="1"/>
      <c r="M52" s="126">
        <v>45835.625</v>
      </c>
      <c r="N52" s="54">
        <v>43.511000000000003</v>
      </c>
      <c r="O52" s="126">
        <v>45901.625</v>
      </c>
      <c r="P52" s="54">
        <v>34.606000000000002</v>
      </c>
      <c r="Q52" s="126">
        <v>45835.625</v>
      </c>
      <c r="R52" s="54">
        <v>55.307000000000002</v>
      </c>
    </row>
    <row r="53" spans="1:18" x14ac:dyDescent="0.3">
      <c r="A53" s="107"/>
      <c r="B53" s="45"/>
      <c r="C53" s="31"/>
      <c r="D53" s="32"/>
      <c r="E53" s="4"/>
      <c r="F53" s="31"/>
      <c r="G53" s="32"/>
      <c r="H53" s="4"/>
      <c r="I53" s="31"/>
      <c r="J53" s="32"/>
      <c r="K53" s="38"/>
      <c r="L53" s="1"/>
      <c r="M53" s="126">
        <v>45838.625</v>
      </c>
      <c r="N53" s="54">
        <v>43.36</v>
      </c>
      <c r="O53" s="126">
        <v>45902.625</v>
      </c>
      <c r="P53" s="54">
        <v>35.195</v>
      </c>
      <c r="Q53" s="126">
        <v>45838.625</v>
      </c>
      <c r="R53" s="54">
        <v>55.210999999999999</v>
      </c>
    </row>
    <row r="54" spans="1:18" x14ac:dyDescent="0.3">
      <c r="A54" s="15"/>
      <c r="B54" s="45"/>
      <c r="C54" s="31"/>
      <c r="D54" s="32"/>
      <c r="E54" s="4"/>
      <c r="F54" s="31"/>
      <c r="G54" s="32"/>
      <c r="H54" s="4"/>
      <c r="I54" s="31"/>
      <c r="J54" s="32"/>
      <c r="K54" s="38"/>
      <c r="L54" s="1"/>
      <c r="M54" s="126">
        <v>45839.625</v>
      </c>
      <c r="N54" s="54">
        <v>42.436</v>
      </c>
      <c r="O54" s="126">
        <v>45903.625</v>
      </c>
      <c r="P54" s="54">
        <v>35.161000000000001</v>
      </c>
      <c r="Q54" s="126">
        <v>45839.625</v>
      </c>
      <c r="R54" s="54">
        <v>54.709000000000003</v>
      </c>
    </row>
    <row r="55" spans="1:18" ht="15" thickBot="1" x14ac:dyDescent="0.35">
      <c r="A55" s="16"/>
      <c r="B55" s="48"/>
      <c r="C55" s="49"/>
      <c r="D55" s="50"/>
      <c r="E55" s="11"/>
      <c r="F55" s="49"/>
      <c r="G55" s="50"/>
      <c r="H55" s="11"/>
      <c r="I55" s="49"/>
      <c r="J55" s="50"/>
      <c r="K55" s="51"/>
      <c r="L55" s="1"/>
      <c r="M55" s="126">
        <v>45840.625</v>
      </c>
      <c r="N55" s="54">
        <v>41.960999999999999</v>
      </c>
      <c r="O55" s="126">
        <v>45904.625</v>
      </c>
      <c r="P55" s="54">
        <v>34.134999999999998</v>
      </c>
      <c r="Q55" s="126">
        <v>45840.625</v>
      </c>
      <c r="R55" s="54">
        <v>54.116999999999997</v>
      </c>
    </row>
    <row r="56" spans="1:18" x14ac:dyDescent="0.3">
      <c r="B56" s="56"/>
      <c r="C56" s="56"/>
      <c r="D56" s="56"/>
      <c r="F56" s="55"/>
      <c r="G56" s="55"/>
      <c r="I56" s="55"/>
      <c r="J56" s="55"/>
      <c r="K56" s="55"/>
      <c r="M56" s="126">
        <v>45841.625</v>
      </c>
      <c r="N56" s="54">
        <v>41.48</v>
      </c>
      <c r="O56" s="126">
        <v>45908.625</v>
      </c>
      <c r="P56" s="54">
        <v>34.101999999999997</v>
      </c>
      <c r="Q56" s="126">
        <v>45841.625</v>
      </c>
      <c r="R56" s="54">
        <v>54.017000000000003</v>
      </c>
    </row>
    <row r="57" spans="1:18" x14ac:dyDescent="0.3">
      <c r="B57" s="56"/>
      <c r="C57" s="56"/>
      <c r="D57" s="56"/>
      <c r="I57" s="55"/>
      <c r="J57" s="55"/>
      <c r="K57" s="55"/>
      <c r="M57" s="126">
        <v>45842.625</v>
      </c>
      <c r="N57" s="54">
        <v>41.780999999999999</v>
      </c>
      <c r="O57" s="126">
        <v>45909.625</v>
      </c>
      <c r="P57" s="54">
        <v>33.658999999999999</v>
      </c>
      <c r="Q57" s="126">
        <v>45842.625</v>
      </c>
      <c r="R57" s="54">
        <v>54.71</v>
      </c>
    </row>
    <row r="58" spans="1:18" x14ac:dyDescent="0.3">
      <c r="B58" s="56"/>
      <c r="C58" s="56"/>
      <c r="D58" s="56"/>
      <c r="I58" s="55"/>
      <c r="J58" s="55"/>
      <c r="K58" s="55"/>
      <c r="M58" s="126">
        <v>45845.625</v>
      </c>
      <c r="N58" s="54">
        <v>41.323</v>
      </c>
      <c r="O58" s="126">
        <v>45910.625</v>
      </c>
      <c r="P58" s="54">
        <v>33.450000000000003</v>
      </c>
      <c r="Q58" s="126">
        <v>45845.625</v>
      </c>
      <c r="R58" s="54">
        <v>54.939</v>
      </c>
    </row>
    <row r="59" spans="1:18" x14ac:dyDescent="0.3">
      <c r="B59" s="56"/>
      <c r="C59" s="56"/>
      <c r="D59" s="56"/>
      <c r="I59" s="55"/>
      <c r="J59" s="55"/>
      <c r="K59" s="55"/>
      <c r="M59" s="126">
        <v>45846.625</v>
      </c>
      <c r="N59" s="54">
        <v>41.024000000000001</v>
      </c>
      <c r="O59" s="126">
        <v>45911.625</v>
      </c>
      <c r="P59" s="54">
        <v>33.253</v>
      </c>
      <c r="Q59" s="126">
        <v>45846.625</v>
      </c>
      <c r="R59" s="54">
        <v>54.756</v>
      </c>
    </row>
    <row r="60" spans="1:18" x14ac:dyDescent="0.3">
      <c r="B60" s="56"/>
      <c r="C60" s="56"/>
      <c r="D60" s="56"/>
      <c r="M60" s="126">
        <v>45847.625</v>
      </c>
      <c r="N60" s="54">
        <v>41.223999999999997</v>
      </c>
      <c r="O60" s="126">
        <v>45912.625</v>
      </c>
      <c r="P60" s="54">
        <v>33.185000000000002</v>
      </c>
      <c r="Q60" s="126">
        <v>45847.625</v>
      </c>
      <c r="R60" s="54">
        <v>54.945</v>
      </c>
    </row>
    <row r="61" spans="1:18" x14ac:dyDescent="0.3">
      <c r="B61" s="56"/>
      <c r="C61" s="56"/>
      <c r="D61" s="56"/>
      <c r="M61" s="126">
        <v>45848.625</v>
      </c>
      <c r="N61" s="54">
        <v>40.31</v>
      </c>
      <c r="O61" s="126">
        <v>45915.625</v>
      </c>
      <c r="P61" s="54">
        <v>32.991</v>
      </c>
      <c r="Q61" s="126">
        <v>45848.625</v>
      </c>
      <c r="R61" s="54">
        <v>53.68</v>
      </c>
    </row>
    <row r="62" spans="1:18" x14ac:dyDescent="0.3">
      <c r="B62" s="56"/>
      <c r="C62" s="56"/>
      <c r="D62" s="56"/>
      <c r="M62" s="126">
        <v>45849.625</v>
      </c>
      <c r="N62" s="54">
        <v>40.499000000000002</v>
      </c>
      <c r="O62" s="126">
        <v>45916.625</v>
      </c>
      <c r="P62" s="54">
        <v>33.220999999999997</v>
      </c>
      <c r="Q62" s="126">
        <v>45849.625</v>
      </c>
      <c r="R62" s="54">
        <v>55.517000000000003</v>
      </c>
    </row>
    <row r="63" spans="1:18" x14ac:dyDescent="0.3">
      <c r="B63" s="56"/>
      <c r="C63" s="56"/>
      <c r="D63" s="56"/>
      <c r="M63" s="126">
        <v>45852.625</v>
      </c>
      <c r="N63" s="54">
        <v>41.247999999999998</v>
      </c>
      <c r="O63" s="126">
        <v>45917.625</v>
      </c>
      <c r="P63" s="54">
        <v>33.203000000000003</v>
      </c>
      <c r="Q63" s="126">
        <v>45852.625</v>
      </c>
      <c r="R63" s="54">
        <v>56.43</v>
      </c>
    </row>
    <row r="64" spans="1:18" x14ac:dyDescent="0.3">
      <c r="B64" s="56"/>
      <c r="C64" s="56"/>
      <c r="D64" s="56"/>
      <c r="M64" s="126">
        <v>45853.625</v>
      </c>
      <c r="N64" s="54">
        <v>40.006</v>
      </c>
      <c r="O64" s="126">
        <v>45918.625</v>
      </c>
      <c r="P64" s="54">
        <v>32.850999999999999</v>
      </c>
      <c r="Q64" s="126">
        <v>45853.625</v>
      </c>
      <c r="R64" s="54">
        <v>55.691000000000003</v>
      </c>
    </row>
    <row r="65" spans="2:18" x14ac:dyDescent="0.3">
      <c r="B65" s="56"/>
      <c r="C65" s="56"/>
      <c r="D65" s="56"/>
      <c r="M65" s="126">
        <v>45854.625</v>
      </c>
      <c r="N65" s="54">
        <v>40.494999999999997</v>
      </c>
      <c r="O65" s="126">
        <v>45919.625</v>
      </c>
      <c r="P65" s="54">
        <v>32.515999999999998</v>
      </c>
      <c r="Q65" s="126">
        <v>45854.625</v>
      </c>
      <c r="R65" s="54">
        <v>56.423999999999999</v>
      </c>
    </row>
    <row r="66" spans="2:18" x14ac:dyDescent="0.3">
      <c r="B66" s="56"/>
      <c r="C66" s="56"/>
      <c r="D66" s="56"/>
      <c r="M66" s="126">
        <v>45855.625</v>
      </c>
      <c r="N66" s="54">
        <v>39.448999999999998</v>
      </c>
      <c r="O66" s="126">
        <v>45922.625</v>
      </c>
      <c r="P66" s="54">
        <v>35.517000000000003</v>
      </c>
      <c r="Q66" s="126">
        <v>45855.625</v>
      </c>
      <c r="R66" s="54">
        <v>56.11</v>
      </c>
    </row>
    <row r="67" spans="2:18" x14ac:dyDescent="0.3">
      <c r="B67" s="56"/>
      <c r="C67" s="56"/>
      <c r="D67" s="56"/>
      <c r="M67" s="126">
        <v>45856.625</v>
      </c>
      <c r="N67" s="54">
        <v>39.037999999999997</v>
      </c>
      <c r="O67" s="126">
        <v>45923.625</v>
      </c>
      <c r="P67" s="54">
        <v>35.253</v>
      </c>
      <c r="Q67" s="126">
        <v>45856.625</v>
      </c>
      <c r="R67" s="54">
        <v>56.037999999999997</v>
      </c>
    </row>
    <row r="68" spans="2:18" x14ac:dyDescent="0.3">
      <c r="M68" s="126">
        <v>45859.625</v>
      </c>
      <c r="N68" s="54">
        <v>38.61</v>
      </c>
      <c r="O68" s="126">
        <v>45924.625</v>
      </c>
      <c r="P68" s="54">
        <v>35.186999999999998</v>
      </c>
      <c r="Q68" s="126">
        <v>45859.625</v>
      </c>
      <c r="R68" s="54">
        <v>56.106000000000002</v>
      </c>
    </row>
    <row r="69" spans="2:18" x14ac:dyDescent="0.3">
      <c r="M69" s="126">
        <v>45860.625</v>
      </c>
      <c r="N69" s="54">
        <v>39.155999999999999</v>
      </c>
      <c r="O69" s="126">
        <v>45925.625</v>
      </c>
      <c r="P69" s="54">
        <v>35.453000000000003</v>
      </c>
      <c r="Q69" s="126">
        <v>45860.625</v>
      </c>
      <c r="R69" s="54">
        <v>56.417999999999999</v>
      </c>
    </row>
    <row r="70" spans="2:18" x14ac:dyDescent="0.3">
      <c r="M70" s="126">
        <v>45861.625</v>
      </c>
      <c r="N70" s="54">
        <v>38.594000000000001</v>
      </c>
      <c r="O70" s="126">
        <v>45926.625</v>
      </c>
      <c r="P70" s="54">
        <v>35.406999999999996</v>
      </c>
      <c r="Q70" s="126">
        <v>45861.625</v>
      </c>
      <c r="R70" s="54">
        <v>56.917000000000002</v>
      </c>
    </row>
    <row r="71" spans="2:18" x14ac:dyDescent="0.3">
      <c r="M71" s="126">
        <v>45862.625</v>
      </c>
      <c r="N71" s="54">
        <v>37.491999999999997</v>
      </c>
      <c r="O71" s="126">
        <v>45929.625</v>
      </c>
      <c r="P71" s="54">
        <v>35.353000000000002</v>
      </c>
      <c r="Q71" s="126">
        <v>45862.625</v>
      </c>
      <c r="R71" s="54">
        <v>56.223999999999997</v>
      </c>
    </row>
    <row r="72" spans="2:18" x14ac:dyDescent="0.3">
      <c r="M72" s="126">
        <v>45863.625</v>
      </c>
      <c r="N72" s="54">
        <v>37.991999999999997</v>
      </c>
      <c r="O72" s="126">
        <v>45930.625</v>
      </c>
      <c r="P72" s="54">
        <v>35.423000000000002</v>
      </c>
      <c r="Q72" s="126">
        <v>45863.625</v>
      </c>
      <c r="R72" s="54">
        <v>57.046999999999997</v>
      </c>
    </row>
    <row r="73" spans="2:18" x14ac:dyDescent="0.3">
      <c r="M73" s="126">
        <v>45866.625</v>
      </c>
      <c r="N73" s="54">
        <v>38.216000000000001</v>
      </c>
      <c r="O73" s="126">
        <v>45931.625</v>
      </c>
      <c r="P73" s="54">
        <v>34.911999999999999</v>
      </c>
      <c r="Q73" s="126">
        <v>45866.625</v>
      </c>
      <c r="R73" s="54">
        <v>57.008000000000003</v>
      </c>
    </row>
    <row r="74" spans="2:18" x14ac:dyDescent="0.3">
      <c r="M74" s="126">
        <v>45867.625</v>
      </c>
      <c r="N74" s="54">
        <v>39.076000000000001</v>
      </c>
      <c r="O74" s="126">
        <v>45932.625</v>
      </c>
      <c r="P74" s="54">
        <v>33.39</v>
      </c>
      <c r="Q74" s="126">
        <v>45867.625</v>
      </c>
      <c r="R74" s="54">
        <v>56.99</v>
      </c>
    </row>
    <row r="75" spans="2:18" x14ac:dyDescent="0.3">
      <c r="M75" s="126">
        <v>45868.625</v>
      </c>
      <c r="N75" s="54">
        <v>39.246000000000002</v>
      </c>
      <c r="O75" s="126">
        <v>45933.625</v>
      </c>
      <c r="P75" s="54">
        <v>33.387</v>
      </c>
      <c r="Q75" s="126">
        <v>45868.625</v>
      </c>
      <c r="R75" s="54">
        <v>56.664000000000001</v>
      </c>
    </row>
    <row r="76" spans="2:18" x14ac:dyDescent="0.3">
      <c r="M76" s="126">
        <v>45869.625</v>
      </c>
      <c r="N76" s="54">
        <v>40.393999999999998</v>
      </c>
      <c r="O76" s="126">
        <v>45936.625</v>
      </c>
      <c r="P76" s="54">
        <v>34.415999999999997</v>
      </c>
      <c r="Q76" s="126">
        <v>45869.625</v>
      </c>
      <c r="R76" s="54">
        <v>56.28</v>
      </c>
    </row>
    <row r="77" spans="2:18" x14ac:dyDescent="0.3">
      <c r="M77" s="126">
        <v>45870.625</v>
      </c>
      <c r="N77" s="54">
        <v>42.654000000000003</v>
      </c>
      <c r="O77" s="126">
        <v>45937.625</v>
      </c>
      <c r="P77" s="54">
        <v>34.781999999999996</v>
      </c>
      <c r="Q77" s="126">
        <v>45870.625</v>
      </c>
      <c r="R77" s="54">
        <v>58.079000000000001</v>
      </c>
    </row>
    <row r="78" spans="2:18" x14ac:dyDescent="0.3">
      <c r="M78" s="126">
        <v>45873.625</v>
      </c>
      <c r="N78" s="54">
        <v>42.503999999999998</v>
      </c>
      <c r="O78" s="126">
        <v>45938.625</v>
      </c>
      <c r="P78" s="54">
        <v>35.098999999999997</v>
      </c>
      <c r="Q78" s="126">
        <v>45873.625</v>
      </c>
      <c r="R78" s="54">
        <v>57.991</v>
      </c>
    </row>
    <row r="79" spans="2:18" x14ac:dyDescent="0.3">
      <c r="M79" s="126">
        <v>45874.625</v>
      </c>
      <c r="N79" s="54">
        <v>42.567999999999998</v>
      </c>
      <c r="O79" s="126">
        <v>45939.625</v>
      </c>
      <c r="P79" s="54">
        <v>34.442</v>
      </c>
      <c r="Q79" s="126">
        <v>45874.625</v>
      </c>
      <c r="R79" s="54">
        <v>57.472999999999999</v>
      </c>
    </row>
    <row r="80" spans="2:18" x14ac:dyDescent="0.3">
      <c r="M80" s="126">
        <v>45875.625</v>
      </c>
      <c r="N80" s="54">
        <v>42.811</v>
      </c>
      <c r="O80" s="126">
        <v>45940.625</v>
      </c>
      <c r="P80" s="54">
        <v>34.442</v>
      </c>
      <c r="Q80" s="126">
        <v>45875.625</v>
      </c>
      <c r="R80" s="54">
        <v>57.191000000000003</v>
      </c>
    </row>
    <row r="81" spans="13:18" x14ac:dyDescent="0.3">
      <c r="M81" s="126">
        <v>45876.625</v>
      </c>
      <c r="N81" s="54">
        <v>42.009</v>
      </c>
      <c r="O81" s="126">
        <v>45943.625</v>
      </c>
      <c r="P81" s="54">
        <v>36.572000000000003</v>
      </c>
      <c r="Q81" s="126">
        <v>45876.625</v>
      </c>
      <c r="R81" s="54">
        <v>56.19</v>
      </c>
    </row>
    <row r="82" spans="13:18" x14ac:dyDescent="0.3">
      <c r="M82" s="126">
        <v>45877.625</v>
      </c>
      <c r="N82" s="54">
        <v>42.15</v>
      </c>
      <c r="O82" s="126">
        <v>45944.625</v>
      </c>
      <c r="P82" s="54">
        <v>37.72</v>
      </c>
      <c r="Q82" s="126">
        <v>45877.625</v>
      </c>
      <c r="R82" s="54">
        <v>55.26</v>
      </c>
    </row>
    <row r="83" spans="13:18" x14ac:dyDescent="0.3">
      <c r="M83" s="126">
        <v>45880.625</v>
      </c>
      <c r="N83" s="54">
        <v>41.886000000000003</v>
      </c>
      <c r="O83" s="126">
        <v>45945.625</v>
      </c>
      <c r="P83" s="54">
        <v>35.18</v>
      </c>
      <c r="Q83" s="126">
        <v>45880.625</v>
      </c>
      <c r="R83" s="54">
        <v>55.061999999999998</v>
      </c>
    </row>
    <row r="84" spans="13:18" x14ac:dyDescent="0.3">
      <c r="M84" s="126">
        <v>45881.625</v>
      </c>
      <c r="N84" s="54">
        <v>42.012</v>
      </c>
      <c r="O84" s="126">
        <v>45946.625</v>
      </c>
      <c r="P84" s="54">
        <v>35.090000000000003</v>
      </c>
      <c r="Q84" s="126">
        <v>45881.625</v>
      </c>
      <c r="R84" s="54">
        <v>54.386000000000003</v>
      </c>
    </row>
    <row r="85" spans="13:18" x14ac:dyDescent="0.3">
      <c r="M85" s="126">
        <v>45882.625</v>
      </c>
      <c r="N85" s="54">
        <v>41.433999999999997</v>
      </c>
      <c r="O85" s="126">
        <v>45947.625</v>
      </c>
      <c r="P85" s="54">
        <v>35.686999999999998</v>
      </c>
      <c r="Q85" s="126">
        <v>45882.625</v>
      </c>
      <c r="R85" s="54">
        <v>53.500999999999998</v>
      </c>
    </row>
    <row r="86" spans="13:18" x14ac:dyDescent="0.3">
      <c r="M86" s="126">
        <v>45883.625</v>
      </c>
      <c r="N86" s="54">
        <v>40.765000000000001</v>
      </c>
      <c r="O86" s="126">
        <v>45950.625</v>
      </c>
      <c r="P86" s="54">
        <v>34.273000000000003</v>
      </c>
      <c r="Q86" s="126">
        <v>45883.625</v>
      </c>
      <c r="R86" s="54">
        <v>52.978000000000002</v>
      </c>
    </row>
    <row r="87" spans="13:18" x14ac:dyDescent="0.3">
      <c r="M87" s="126">
        <v>45884.625</v>
      </c>
      <c r="N87" s="54">
        <v>40.72</v>
      </c>
      <c r="O87" s="126">
        <v>45951.625</v>
      </c>
      <c r="P87" s="54">
        <v>34.064</v>
      </c>
      <c r="Q87" s="126">
        <v>45884.625</v>
      </c>
      <c r="R87" s="54">
        <v>52.999000000000002</v>
      </c>
    </row>
    <row r="88" spans="13:18" x14ac:dyDescent="0.3">
      <c r="M88" s="126">
        <v>45887.625</v>
      </c>
      <c r="N88" s="54">
        <v>40.914999999999999</v>
      </c>
      <c r="O88" s="126">
        <v>45952.625</v>
      </c>
      <c r="P88" s="54">
        <v>33.892000000000003</v>
      </c>
      <c r="Q88" s="126">
        <v>45887.625</v>
      </c>
      <c r="R88" s="54">
        <v>53.317</v>
      </c>
    </row>
    <row r="89" spans="13:18" x14ac:dyDescent="0.3">
      <c r="M89" s="126">
        <v>45888.625</v>
      </c>
      <c r="N89" s="54">
        <v>41.639000000000003</v>
      </c>
      <c r="O89" s="126">
        <v>45953.625</v>
      </c>
      <c r="P89" s="54">
        <v>34.267000000000003</v>
      </c>
      <c r="Q89" s="126">
        <v>45888.625</v>
      </c>
      <c r="R89" s="54">
        <v>53.121000000000002</v>
      </c>
    </row>
    <row r="90" spans="13:18" x14ac:dyDescent="0.3">
      <c r="M90" s="126">
        <v>45889.625</v>
      </c>
      <c r="N90" s="54">
        <v>42.988999999999997</v>
      </c>
      <c r="O90" s="126">
        <v>45954.625</v>
      </c>
      <c r="P90" s="54">
        <v>33.981999999999999</v>
      </c>
      <c r="Q90" s="126">
        <v>45889.625</v>
      </c>
      <c r="R90" s="54">
        <v>53.008000000000003</v>
      </c>
    </row>
    <row r="91" spans="13:18" x14ac:dyDescent="0.3">
      <c r="M91" s="126">
        <v>45890.625</v>
      </c>
      <c r="N91" s="54">
        <v>42.866999999999997</v>
      </c>
      <c r="O91" s="126">
        <v>45957.625</v>
      </c>
      <c r="P91" s="54">
        <v>32.850999999999999</v>
      </c>
      <c r="Q91" s="126">
        <v>45890.625</v>
      </c>
      <c r="R91" s="54">
        <v>53.393000000000001</v>
      </c>
    </row>
    <row r="92" spans="13:18" x14ac:dyDescent="0.3">
      <c r="M92" s="126">
        <v>45891.625</v>
      </c>
      <c r="N92" s="54">
        <v>43.009</v>
      </c>
      <c r="O92" s="126">
        <v>45958.625</v>
      </c>
      <c r="P92" s="54">
        <v>32.231999999999999</v>
      </c>
      <c r="Q92" s="126">
        <v>45891.625</v>
      </c>
      <c r="R92" s="54">
        <v>53.387</v>
      </c>
    </row>
    <row r="93" spans="13:18" x14ac:dyDescent="0.3">
      <c r="M93" s="126">
        <v>45894.625</v>
      </c>
      <c r="N93" s="54">
        <v>42.521999999999998</v>
      </c>
      <c r="O93" s="126">
        <v>45959.625</v>
      </c>
      <c r="P93" s="54">
        <v>32.119</v>
      </c>
      <c r="Q93" s="126">
        <v>45894.625</v>
      </c>
      <c r="R93" s="54">
        <v>52.463999999999999</v>
      </c>
    </row>
    <row r="94" spans="13:18" x14ac:dyDescent="0.3">
      <c r="M94" s="126">
        <v>45895.625</v>
      </c>
      <c r="N94" s="54">
        <v>43.627000000000002</v>
      </c>
      <c r="O94" s="126">
        <v>45960.625</v>
      </c>
      <c r="P94" s="54">
        <v>32.652999999999999</v>
      </c>
      <c r="Q94" s="126">
        <v>45895.625</v>
      </c>
      <c r="R94" s="54">
        <v>53.911999999999999</v>
      </c>
    </row>
    <row r="95" spans="13:18" x14ac:dyDescent="0.3">
      <c r="M95" s="126">
        <v>45896.625</v>
      </c>
      <c r="N95" s="54">
        <v>43.198999999999998</v>
      </c>
      <c r="O95" s="126">
        <v>45961.625</v>
      </c>
      <c r="P95" s="54">
        <v>32.923000000000002</v>
      </c>
      <c r="Q95" s="126">
        <v>45896.625</v>
      </c>
      <c r="R95" s="54">
        <v>53.225000000000001</v>
      </c>
    </row>
    <row r="96" spans="13:18" x14ac:dyDescent="0.3">
      <c r="M96" s="126">
        <v>45897.625</v>
      </c>
      <c r="N96" s="54">
        <v>43.302999999999997</v>
      </c>
      <c r="O96" s="126">
        <v>45964.625</v>
      </c>
      <c r="P96" s="54">
        <v>33.341000000000001</v>
      </c>
      <c r="Q96" s="126">
        <v>45897.625</v>
      </c>
      <c r="R96" s="54">
        <v>54.14</v>
      </c>
    </row>
    <row r="97" spans="13:18" x14ac:dyDescent="0.3">
      <c r="M97" s="126">
        <v>45898.625</v>
      </c>
      <c r="N97" s="54">
        <v>43.933</v>
      </c>
      <c r="O97" s="126"/>
      <c r="Q97" s="126">
        <v>45898.625</v>
      </c>
      <c r="R97" s="54">
        <v>54.610999999999997</v>
      </c>
    </row>
    <row r="98" spans="13:18" x14ac:dyDescent="0.3">
      <c r="M98" s="126">
        <v>45901.625</v>
      </c>
      <c r="N98" s="54">
        <v>43.805</v>
      </c>
      <c r="O98" s="126"/>
      <c r="Q98" s="126">
        <v>45901.625</v>
      </c>
      <c r="R98" s="54">
        <v>54.036999999999999</v>
      </c>
    </row>
    <row r="99" spans="13:18" x14ac:dyDescent="0.3">
      <c r="M99" s="126">
        <v>45902.625</v>
      </c>
      <c r="N99" s="54">
        <v>44.895000000000003</v>
      </c>
      <c r="O99" s="126"/>
      <c r="Q99" s="126">
        <v>45902.625</v>
      </c>
      <c r="R99" s="54">
        <v>54.703000000000003</v>
      </c>
    </row>
    <row r="100" spans="13:18" x14ac:dyDescent="0.3">
      <c r="M100" s="126">
        <v>45903.625</v>
      </c>
      <c r="N100" s="54">
        <v>44.619</v>
      </c>
      <c r="O100" s="126"/>
      <c r="Q100" s="126">
        <v>45903.625</v>
      </c>
      <c r="R100" s="54">
        <v>54.1</v>
      </c>
    </row>
    <row r="101" spans="13:18" x14ac:dyDescent="0.3">
      <c r="M101" s="126">
        <v>45904.625</v>
      </c>
      <c r="N101" s="54">
        <v>43.335000000000001</v>
      </c>
      <c r="O101" s="126"/>
      <c r="Q101" s="126">
        <v>45904.625</v>
      </c>
      <c r="R101" s="54">
        <v>53.344000000000001</v>
      </c>
    </row>
    <row r="102" spans="13:18" x14ac:dyDescent="0.3">
      <c r="M102" s="126">
        <v>45905.625</v>
      </c>
      <c r="N102" s="54">
        <v>43.165999999999997</v>
      </c>
      <c r="O102" s="126"/>
      <c r="Q102" s="126">
        <v>45905.625</v>
      </c>
      <c r="R102" s="54">
        <v>51.8</v>
      </c>
    </row>
    <row r="103" spans="13:18" x14ac:dyDescent="0.3">
      <c r="M103" s="126">
        <v>45908.625</v>
      </c>
      <c r="N103" s="54">
        <v>42.848999999999997</v>
      </c>
      <c r="O103" s="126"/>
      <c r="Q103" s="126">
        <v>45908.625</v>
      </c>
      <c r="R103" s="54">
        <v>51.392000000000003</v>
      </c>
    </row>
    <row r="104" spans="13:18" x14ac:dyDescent="0.3">
      <c r="M104" s="126">
        <v>45909.625</v>
      </c>
      <c r="N104" s="54">
        <v>42.512</v>
      </c>
      <c r="O104" s="126"/>
      <c r="Q104" s="126">
        <v>45909.625</v>
      </c>
      <c r="R104" s="54">
        <v>50.817</v>
      </c>
    </row>
    <row r="105" spans="13:18" x14ac:dyDescent="0.3">
      <c r="M105" s="126">
        <v>45910.625</v>
      </c>
      <c r="N105" s="54">
        <v>42.311999999999998</v>
      </c>
      <c r="O105" s="126"/>
      <c r="Q105" s="126">
        <v>45910.625</v>
      </c>
      <c r="R105" s="54">
        <v>49.832999999999998</v>
      </c>
    </row>
    <row r="106" spans="13:18" x14ac:dyDescent="0.3">
      <c r="M106" s="126">
        <v>45911.625</v>
      </c>
      <c r="N106" s="54">
        <v>42.148000000000003</v>
      </c>
      <c r="Q106" s="126">
        <v>45911.625</v>
      </c>
      <c r="R106" s="54">
        <v>49.048999999999999</v>
      </c>
    </row>
    <row r="107" spans="13:18" x14ac:dyDescent="0.3">
      <c r="M107" s="126">
        <v>45912.625</v>
      </c>
      <c r="N107" s="54">
        <v>42.167000000000002</v>
      </c>
      <c r="Q107" s="126">
        <v>45912.625</v>
      </c>
      <c r="R107" s="54">
        <v>48.445999999999998</v>
      </c>
    </row>
    <row r="108" spans="13:18" x14ac:dyDescent="0.3">
      <c r="M108" s="126">
        <v>45915.625</v>
      </c>
      <c r="N108" s="54">
        <v>41.593000000000004</v>
      </c>
      <c r="Q108" s="126">
        <v>45915.625</v>
      </c>
      <c r="R108" s="54">
        <v>48.027999999999999</v>
      </c>
    </row>
    <row r="109" spans="13:18" x14ac:dyDescent="0.3">
      <c r="M109" s="126">
        <v>45916.625</v>
      </c>
      <c r="N109" s="54">
        <v>41.957999999999998</v>
      </c>
      <c r="Q109" s="126">
        <v>45916.625</v>
      </c>
      <c r="R109" s="54">
        <v>46.912999999999997</v>
      </c>
    </row>
    <row r="110" spans="13:18" x14ac:dyDescent="0.3">
      <c r="M110" s="126">
        <v>45917.625</v>
      </c>
      <c r="N110" s="54">
        <v>42.527000000000001</v>
      </c>
      <c r="Q110" s="126">
        <v>45917.625</v>
      </c>
      <c r="R110" s="54">
        <v>47.116</v>
      </c>
    </row>
    <row r="111" spans="13:18" x14ac:dyDescent="0.3">
      <c r="M111" s="126">
        <v>45918.625</v>
      </c>
      <c r="N111" s="54">
        <v>42.009</v>
      </c>
      <c r="Q111" s="126">
        <v>45918.625</v>
      </c>
      <c r="R111" s="54">
        <v>46.26</v>
      </c>
    </row>
    <row r="112" spans="13:18" x14ac:dyDescent="0.3">
      <c r="M112" s="126">
        <v>45919.625</v>
      </c>
      <c r="N112" s="54">
        <v>41.935000000000002</v>
      </c>
      <c r="Q112" s="126">
        <v>45919.625</v>
      </c>
      <c r="R112" s="54">
        <v>45.433</v>
      </c>
    </row>
    <row r="113" spans="13:18" x14ac:dyDescent="0.3">
      <c r="M113" s="126">
        <v>45922.625</v>
      </c>
      <c r="N113" s="54">
        <v>46.195</v>
      </c>
      <c r="Q113" s="126">
        <v>45922.625</v>
      </c>
      <c r="R113" s="54">
        <v>50.432000000000002</v>
      </c>
    </row>
    <row r="114" spans="13:18" x14ac:dyDescent="0.3">
      <c r="M114" s="126">
        <v>45923.625</v>
      </c>
      <c r="N114" s="54">
        <v>45.677999999999997</v>
      </c>
      <c r="Q114" s="126">
        <v>45923.625</v>
      </c>
      <c r="R114" s="54">
        <v>49.762999999999998</v>
      </c>
    </row>
    <row r="115" spans="13:18" x14ac:dyDescent="0.3">
      <c r="M115" s="126">
        <v>45924.625</v>
      </c>
      <c r="N115" s="54">
        <v>45.94</v>
      </c>
      <c r="Q115" s="126">
        <v>45924.625</v>
      </c>
      <c r="R115" s="54">
        <v>49.73</v>
      </c>
    </row>
    <row r="116" spans="13:18" x14ac:dyDescent="0.3">
      <c r="M116" s="126">
        <v>45925.625</v>
      </c>
      <c r="N116" s="54">
        <v>46.070999999999998</v>
      </c>
      <c r="Q116" s="126">
        <v>45925.625</v>
      </c>
      <c r="R116" s="54">
        <v>49.83</v>
      </c>
    </row>
    <row r="117" spans="13:18" x14ac:dyDescent="0.3">
      <c r="M117" s="126">
        <v>45926.625</v>
      </c>
      <c r="N117" s="54">
        <v>45.92</v>
      </c>
      <c r="Q117" s="126">
        <v>45926.625</v>
      </c>
      <c r="R117" s="54">
        <v>49.52</v>
      </c>
    </row>
    <row r="118" spans="13:18" x14ac:dyDescent="0.3">
      <c r="M118" s="126">
        <v>45929.625</v>
      </c>
      <c r="N118" s="54">
        <v>45.886000000000003</v>
      </c>
      <c r="Q118" s="126">
        <v>45929.625</v>
      </c>
      <c r="R118" s="54">
        <v>48.94</v>
      </c>
    </row>
    <row r="119" spans="13:18" x14ac:dyDescent="0.3">
      <c r="M119" s="126">
        <v>45930.625</v>
      </c>
      <c r="N119" s="54">
        <v>46.996000000000002</v>
      </c>
      <c r="Q119" s="126">
        <v>45930.625</v>
      </c>
      <c r="R119" s="54">
        <v>49.445</v>
      </c>
    </row>
    <row r="120" spans="13:18" x14ac:dyDescent="0.3">
      <c r="M120" s="126">
        <v>45931.625</v>
      </c>
      <c r="N120" s="54">
        <v>46.935000000000002</v>
      </c>
      <c r="Q120" s="126">
        <v>45931.625</v>
      </c>
      <c r="R120" s="54">
        <v>49.313000000000002</v>
      </c>
    </row>
    <row r="121" spans="13:18" x14ac:dyDescent="0.3">
      <c r="M121" s="126">
        <v>45932.625</v>
      </c>
      <c r="N121" s="54">
        <v>46.104999999999997</v>
      </c>
      <c r="Q121" s="126">
        <v>45932.625</v>
      </c>
      <c r="R121" s="54">
        <v>49.113999999999997</v>
      </c>
    </row>
    <row r="122" spans="13:18" x14ac:dyDescent="0.3">
      <c r="M122" s="126">
        <v>45933.625</v>
      </c>
      <c r="N122" s="54">
        <v>46.1</v>
      </c>
      <c r="Q122" s="126">
        <v>45933.625</v>
      </c>
      <c r="R122" s="54">
        <v>47.597000000000001</v>
      </c>
    </row>
    <row r="123" spans="13:18" x14ac:dyDescent="0.3">
      <c r="M123" s="126">
        <v>45936.625</v>
      </c>
      <c r="N123" s="54">
        <v>46.697000000000003</v>
      </c>
      <c r="Q123" s="126">
        <v>45936.625</v>
      </c>
      <c r="R123" s="54">
        <v>49.274000000000001</v>
      </c>
    </row>
    <row r="124" spans="13:18" x14ac:dyDescent="0.3">
      <c r="M124" s="126">
        <v>45937.625</v>
      </c>
      <c r="N124" s="54">
        <v>46.832000000000001</v>
      </c>
      <c r="Q124" s="126">
        <v>45937.625</v>
      </c>
      <c r="R124" s="54">
        <v>49.777999999999999</v>
      </c>
    </row>
    <row r="125" spans="13:18" x14ac:dyDescent="0.3">
      <c r="M125" s="126">
        <v>45938.625</v>
      </c>
      <c r="N125" s="54">
        <v>47.168999999999997</v>
      </c>
      <c r="Q125" s="126">
        <v>45938.625</v>
      </c>
      <c r="R125" s="54">
        <v>49.825000000000003</v>
      </c>
    </row>
    <row r="126" spans="13:18" x14ac:dyDescent="0.3">
      <c r="M126" s="126">
        <v>45939.625</v>
      </c>
      <c r="N126" s="54">
        <v>46.902000000000001</v>
      </c>
      <c r="Q126" s="126">
        <v>45939.625</v>
      </c>
      <c r="R126" s="54">
        <v>50.210999999999999</v>
      </c>
    </row>
    <row r="127" spans="13:18" x14ac:dyDescent="0.3">
      <c r="M127" s="126">
        <v>45940.625</v>
      </c>
      <c r="N127" s="54">
        <v>48.610999999999997</v>
      </c>
      <c r="Q127" s="126">
        <v>45940.625</v>
      </c>
      <c r="R127" s="54">
        <v>50.311</v>
      </c>
    </row>
    <row r="128" spans="13:18" x14ac:dyDescent="0.3">
      <c r="M128" s="126">
        <v>45943.625</v>
      </c>
      <c r="N128" s="54">
        <v>50.231000000000002</v>
      </c>
      <c r="Q128" s="126">
        <v>45943.625</v>
      </c>
      <c r="R128" s="54">
        <v>51.667000000000002</v>
      </c>
    </row>
    <row r="129" spans="13:18" x14ac:dyDescent="0.3">
      <c r="M129" s="126">
        <v>45944.625</v>
      </c>
      <c r="N129" s="54">
        <v>50.671999999999997</v>
      </c>
      <c r="Q129" s="126">
        <v>45944.625</v>
      </c>
      <c r="R129" s="54">
        <v>53.13</v>
      </c>
    </row>
    <row r="130" spans="13:18" x14ac:dyDescent="0.3">
      <c r="M130" s="126">
        <v>45945.625</v>
      </c>
      <c r="N130" s="54">
        <v>47.665999999999997</v>
      </c>
      <c r="Q130" s="126">
        <v>45945.625</v>
      </c>
      <c r="R130" s="54">
        <v>50.527999999999999</v>
      </c>
    </row>
    <row r="131" spans="13:18" x14ac:dyDescent="0.3">
      <c r="M131" s="126">
        <v>45946.625</v>
      </c>
      <c r="N131" s="54">
        <v>47.408999999999999</v>
      </c>
      <c r="Q131" s="126">
        <v>45946.625</v>
      </c>
      <c r="R131" s="54">
        <v>50.088999999999999</v>
      </c>
    </row>
    <row r="132" spans="13:18" x14ac:dyDescent="0.3">
      <c r="M132" s="126">
        <v>45947.625</v>
      </c>
      <c r="N132" s="54">
        <v>48.587000000000003</v>
      </c>
      <c r="Q132" s="126">
        <v>45947.625</v>
      </c>
      <c r="R132" s="54">
        <v>51.423000000000002</v>
      </c>
    </row>
    <row r="133" spans="13:18" x14ac:dyDescent="0.3">
      <c r="M133" s="126">
        <v>45950.625</v>
      </c>
      <c r="N133" s="54">
        <v>47.418999999999997</v>
      </c>
      <c r="Q133" s="126">
        <v>45950.625</v>
      </c>
      <c r="R133" s="54">
        <v>50.655999999999999</v>
      </c>
    </row>
    <row r="134" spans="13:18" x14ac:dyDescent="0.3">
      <c r="M134" s="126">
        <v>45951.625</v>
      </c>
      <c r="N134" s="54">
        <v>46.823999999999998</v>
      </c>
      <c r="Q134" s="126">
        <v>45951.625</v>
      </c>
      <c r="R134" s="54">
        <v>49.837000000000003</v>
      </c>
    </row>
    <row r="135" spans="13:18" x14ac:dyDescent="0.3">
      <c r="M135" s="126">
        <v>45952.625</v>
      </c>
      <c r="N135" s="54">
        <v>46.738999999999997</v>
      </c>
      <c r="Q135" s="126">
        <v>45952.625</v>
      </c>
      <c r="R135" s="54">
        <v>50.043999999999997</v>
      </c>
    </row>
    <row r="136" spans="13:18" x14ac:dyDescent="0.3">
      <c r="M136" s="126">
        <v>45953.625</v>
      </c>
      <c r="N136" s="54">
        <v>46.947000000000003</v>
      </c>
      <c r="Q136" s="126">
        <v>45953.625</v>
      </c>
      <c r="R136" s="54">
        <v>49.984000000000002</v>
      </c>
    </row>
    <row r="137" spans="13:18" x14ac:dyDescent="0.3">
      <c r="M137" s="126">
        <v>45954.625</v>
      </c>
      <c r="N137" s="54">
        <v>46.313000000000002</v>
      </c>
      <c r="Q137" s="126">
        <v>45954.625</v>
      </c>
      <c r="R137" s="54">
        <v>49.29</v>
      </c>
    </row>
    <row r="138" spans="13:18" x14ac:dyDescent="0.3">
      <c r="M138" s="126">
        <v>45957.625</v>
      </c>
      <c r="N138" s="54">
        <v>45.597000000000001</v>
      </c>
      <c r="Q138" s="126">
        <v>45957.625</v>
      </c>
      <c r="R138" s="54">
        <v>48.558999999999997</v>
      </c>
    </row>
    <row r="139" spans="13:18" x14ac:dyDescent="0.3">
      <c r="M139" s="126">
        <v>45958.625</v>
      </c>
      <c r="N139" s="54">
        <v>45.210999999999999</v>
      </c>
      <c r="Q139" s="126">
        <v>45958.625</v>
      </c>
      <c r="R139" s="54">
        <v>47.664999999999999</v>
      </c>
    </row>
    <row r="140" spans="13:18" x14ac:dyDescent="0.3">
      <c r="M140" s="126">
        <v>45959.625</v>
      </c>
      <c r="N140" s="54">
        <v>43.238</v>
      </c>
      <c r="Q140" s="126">
        <v>45959.625</v>
      </c>
      <c r="R140" s="54">
        <v>48.319000000000003</v>
      </c>
    </row>
    <row r="141" spans="13:18" x14ac:dyDescent="0.3">
      <c r="M141" s="126">
        <v>45960.625</v>
      </c>
      <c r="N141" s="54">
        <v>44.523000000000003</v>
      </c>
      <c r="Q141" s="126">
        <v>45960.625</v>
      </c>
      <c r="R141" s="54">
        <v>48.823999999999998</v>
      </c>
    </row>
    <row r="142" spans="13:18" x14ac:dyDescent="0.3">
      <c r="M142" s="126">
        <v>45961.625</v>
      </c>
      <c r="N142" s="54">
        <v>45.018000000000001</v>
      </c>
      <c r="Q142" s="126">
        <v>45961.625</v>
      </c>
      <c r="R142" s="54">
        <v>49.536000000000001</v>
      </c>
    </row>
    <row r="143" spans="13:18" x14ac:dyDescent="0.3">
      <c r="M143" s="126">
        <v>45964.625</v>
      </c>
      <c r="N143" s="54">
        <v>45.722999999999999</v>
      </c>
      <c r="Q143" s="126">
        <v>45964.625</v>
      </c>
      <c r="R143" s="54">
        <v>49.539000000000001</v>
      </c>
    </row>
    <row r="144" spans="13:18" x14ac:dyDescent="0.3">
      <c r="M144" s="126"/>
      <c r="Q144" s="126"/>
    </row>
    <row r="145" spans="13:17" x14ac:dyDescent="0.3">
      <c r="M145" s="126"/>
      <c r="Q145" s="126"/>
    </row>
    <row r="146" spans="13:17" x14ac:dyDescent="0.3">
      <c r="M146" s="126"/>
      <c r="Q146" s="126"/>
    </row>
    <row r="147" spans="13:17" x14ac:dyDescent="0.3">
      <c r="M147" s="126"/>
      <c r="Q147" s="126"/>
    </row>
    <row r="148" spans="13:17" x14ac:dyDescent="0.3">
      <c r="M148" s="126"/>
      <c r="Q148" s="126"/>
    </row>
    <row r="149" spans="13:17" x14ac:dyDescent="0.3">
      <c r="M149" s="126"/>
      <c r="Q149" s="126"/>
    </row>
    <row r="150" spans="13:17" x14ac:dyDescent="0.3">
      <c r="M150" s="126"/>
      <c r="Q150" s="126"/>
    </row>
    <row r="151" spans="13:17" x14ac:dyDescent="0.3">
      <c r="M151" s="126"/>
      <c r="Q151" s="126"/>
    </row>
    <row r="152" spans="13:17" x14ac:dyDescent="0.3">
      <c r="M152" s="126"/>
      <c r="Q152" s="126"/>
    </row>
    <row r="153" spans="13:17" x14ac:dyDescent="0.3">
      <c r="M153" s="126"/>
      <c r="Q153" s="126"/>
    </row>
    <row r="154" spans="13:17" x14ac:dyDescent="0.3">
      <c r="M154" s="126"/>
      <c r="Q154" s="126"/>
    </row>
  </sheetData>
  <mergeCells count="3">
    <mergeCell ref="H12:J12"/>
    <mergeCell ref="B12:D12"/>
    <mergeCell ref="E12:G12"/>
  </mergeCells>
  <conditionalFormatting sqref="R1:R7 K8:K1048576">
    <cfRule type="cellIs" dxfId="17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M155"/>
  <sheetViews>
    <sheetView topLeftCell="A17" zoomScale="80" zoomScaleNormal="80" workbookViewId="0">
      <selection activeCell="A41" sqref="A41:A47"/>
    </sheetView>
  </sheetViews>
  <sheetFormatPr defaultColWidth="8.88671875" defaultRowHeight="14.4" x14ac:dyDescent="0.3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hidden="1" customWidth="1"/>
    <col min="11" max="11" width="8.88671875" style="3" hidden="1" customWidth="1"/>
    <col min="12" max="12" width="15.6640625" style="3" hidden="1" customWidth="1"/>
    <col min="13" max="13" width="8.88671875" style="3" hidden="1" customWidth="1"/>
    <col min="14" max="16384" width="8.88671875" style="3"/>
  </cols>
  <sheetData>
    <row r="1" spans="1:13" ht="15" thickBot="1" x14ac:dyDescent="0.35">
      <c r="A1" s="1"/>
      <c r="B1" s="1"/>
      <c r="C1" s="1"/>
      <c r="D1" s="1"/>
      <c r="I1" s="1"/>
      <c r="J1" s="53"/>
      <c r="L1" s="1"/>
      <c r="M1" s="1"/>
    </row>
    <row r="2" spans="1:13" ht="15" thickBot="1" x14ac:dyDescent="0.35">
      <c r="A2" s="30"/>
      <c r="B2" s="40" t="s">
        <v>0</v>
      </c>
      <c r="C2" s="28" t="s">
        <v>1</v>
      </c>
      <c r="E2" s="124" t="s">
        <v>101</v>
      </c>
      <c r="F2" s="125">
        <v>0.625</v>
      </c>
      <c r="J2" s="27" t="s">
        <v>0</v>
      </c>
      <c r="K2" s="1"/>
      <c r="L2" s="28" t="s">
        <v>1</v>
      </c>
      <c r="M2" s="2"/>
    </row>
    <row r="3" spans="1:13" x14ac:dyDescent="0.3">
      <c r="A3" s="15" t="s">
        <v>32</v>
      </c>
      <c r="B3" s="1" t="s">
        <v>36</v>
      </c>
      <c r="C3" s="5" t="s">
        <v>37</v>
      </c>
      <c r="J3" s="123" cm="1">
        <f t="array" ref="J3:K143">_xll.BDH(B4, "LAST_PRICE", "01/01/2025 15:00:00", "01/01/2035 16:00:00", "BarSize=60", "BarType=T", "RecurDaily=True", "TZ=London")</f>
        <v>45768.625</v>
      </c>
      <c r="K3" s="1">
        <v>68.281000000000006</v>
      </c>
      <c r="L3" s="123" cm="1">
        <f t="array" ref="L3:M143">_xll.BDH(C4, "LAST_PRICE", "01/01/2025 15:00:00", "01/01/2035 16:00:00", "BarSize=60", "BarType=T", "RecurDaily=True", "TZ=London")</f>
        <v>45768.625</v>
      </c>
      <c r="M3" s="46">
        <v>61.371000000000002</v>
      </c>
    </row>
    <row r="4" spans="1:13" ht="32.25" customHeight="1" x14ac:dyDescent="0.3">
      <c r="A4" s="15" t="s">
        <v>33</v>
      </c>
      <c r="B4" s="41" t="s">
        <v>38</v>
      </c>
      <c r="C4" s="42" t="s">
        <v>39</v>
      </c>
      <c r="I4" s="1"/>
      <c r="J4" s="127">
        <v>45769.625</v>
      </c>
      <c r="K4" s="1">
        <v>69.747</v>
      </c>
      <c r="L4" s="127">
        <v>45769.625</v>
      </c>
      <c r="M4" s="1">
        <v>61.530999999999999</v>
      </c>
    </row>
    <row r="5" spans="1:13" x14ac:dyDescent="0.3">
      <c r="A5" s="15" t="s">
        <v>8</v>
      </c>
      <c r="B5" s="7">
        <f>20*10^6</f>
        <v>20000000</v>
      </c>
      <c r="C5" s="8">
        <f>28*10^6</f>
        <v>28000000</v>
      </c>
      <c r="I5" s="1"/>
      <c r="J5" s="127">
        <v>45770.625</v>
      </c>
      <c r="K5" s="1">
        <v>65.537999999999997</v>
      </c>
      <c r="L5" s="127">
        <v>45770.625</v>
      </c>
      <c r="M5" s="1">
        <v>57.609000000000002</v>
      </c>
    </row>
    <row r="6" spans="1:13" x14ac:dyDescent="0.3">
      <c r="A6" s="15" t="s">
        <v>10</v>
      </c>
      <c r="B6" s="9">
        <v>0.01</v>
      </c>
      <c r="C6" s="43">
        <v>0.01</v>
      </c>
      <c r="I6" s="1"/>
      <c r="J6" s="127">
        <v>45771.625</v>
      </c>
      <c r="K6" s="1">
        <v>63.646999999999998</v>
      </c>
      <c r="L6" s="127">
        <v>45771.625</v>
      </c>
      <c r="M6" s="1">
        <v>57.097999999999999</v>
      </c>
    </row>
    <row r="7" spans="1:13" x14ac:dyDescent="0.3">
      <c r="A7" s="15" t="s">
        <v>12</v>
      </c>
      <c r="B7" s="9">
        <v>0</v>
      </c>
      <c r="C7" s="43">
        <v>0</v>
      </c>
      <c r="I7" s="1"/>
      <c r="J7" s="127">
        <v>45772.625</v>
      </c>
      <c r="K7" s="1">
        <v>62.796999999999997</v>
      </c>
      <c r="L7" s="127">
        <v>45772.625</v>
      </c>
      <c r="M7" s="1">
        <v>56.945999999999998</v>
      </c>
    </row>
    <row r="8" spans="1:13" x14ac:dyDescent="0.3">
      <c r="A8" s="15" t="s">
        <v>14</v>
      </c>
      <c r="B8" s="1">
        <v>4.96</v>
      </c>
      <c r="C8" s="5">
        <v>5.03</v>
      </c>
      <c r="E8" s="1"/>
      <c r="F8" s="1"/>
      <c r="G8" s="1"/>
      <c r="H8" s="1"/>
      <c r="I8" s="1"/>
      <c r="J8" s="123">
        <v>45775.625</v>
      </c>
      <c r="K8" s="3">
        <v>62.593000000000004</v>
      </c>
      <c r="L8" s="123">
        <v>45775.625</v>
      </c>
      <c r="M8" s="3">
        <v>55.893000000000001</v>
      </c>
    </row>
    <row r="9" spans="1:13" x14ac:dyDescent="0.3">
      <c r="A9" s="15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23">
        <v>45776.625</v>
      </c>
      <c r="K9" s="3">
        <v>62.488999999999997</v>
      </c>
      <c r="L9" s="123">
        <v>45776.625</v>
      </c>
      <c r="M9" s="3">
        <v>56.052</v>
      </c>
    </row>
    <row r="10" spans="1:13" ht="15" thickBot="1" x14ac:dyDescent="0.35">
      <c r="A10" s="16" t="s">
        <v>28</v>
      </c>
      <c r="B10" s="21" cm="1">
        <f t="array" ref="B10">_xll.BDP(B4,"px_last")</f>
        <v>57.294420000000002</v>
      </c>
      <c r="C10" s="22" cm="1">
        <f t="array" ref="C10">_xll.BDP(C4,"px_last")</f>
        <v>40.293100000000003</v>
      </c>
      <c r="E10" s="1"/>
      <c r="F10" s="1"/>
      <c r="G10" s="1"/>
      <c r="H10" s="1"/>
      <c r="I10" s="1"/>
      <c r="J10" s="123">
        <v>45777.625</v>
      </c>
      <c r="K10" s="3">
        <v>63.695</v>
      </c>
      <c r="L10" s="123">
        <v>45777.625</v>
      </c>
      <c r="M10" s="3">
        <v>57.515999999999998</v>
      </c>
    </row>
    <row r="11" spans="1:13" ht="15" thickBot="1" x14ac:dyDescent="0.35">
      <c r="C11" s="1"/>
      <c r="D11" s="1"/>
      <c r="E11" s="1"/>
      <c r="F11" s="1"/>
      <c r="G11" s="1"/>
      <c r="H11" s="1"/>
      <c r="I11" s="1"/>
      <c r="J11" s="123">
        <v>45778.625</v>
      </c>
      <c r="K11" s="3">
        <v>63.323999999999998</v>
      </c>
      <c r="L11" s="123">
        <v>45778.625</v>
      </c>
      <c r="M11" s="3">
        <v>56.442999999999998</v>
      </c>
    </row>
    <row r="12" spans="1:13" ht="15" thickBot="1" x14ac:dyDescent="0.35">
      <c r="A12" s="39" t="s">
        <v>22</v>
      </c>
      <c r="B12" s="169" t="s">
        <v>0</v>
      </c>
      <c r="C12" s="170"/>
      <c r="D12" s="171"/>
      <c r="E12" s="172" t="s">
        <v>1</v>
      </c>
      <c r="F12" s="173"/>
      <c r="G12" s="174"/>
      <c r="H12" s="39" t="s">
        <v>16</v>
      </c>
      <c r="I12" s="1"/>
      <c r="J12" s="123">
        <v>45779.625</v>
      </c>
      <c r="K12" s="3">
        <v>62.088000000000001</v>
      </c>
      <c r="L12" s="123">
        <v>45779.625</v>
      </c>
      <c r="M12" s="3">
        <v>55.758000000000003</v>
      </c>
    </row>
    <row r="13" spans="1:13" ht="15" thickBot="1" x14ac:dyDescent="0.35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94"/>
      <c r="I13" s="1"/>
      <c r="J13" s="123">
        <v>45782.625</v>
      </c>
      <c r="K13" s="3">
        <v>62.707000000000001</v>
      </c>
      <c r="L13" s="123">
        <v>45782.625</v>
      </c>
      <c r="M13" s="3">
        <v>55.198999999999998</v>
      </c>
    </row>
    <row r="14" spans="1:13" x14ac:dyDescent="0.3">
      <c r="A14" s="36">
        <v>45925</v>
      </c>
      <c r="B14" s="45">
        <v>57.5</v>
      </c>
      <c r="C14" s="46"/>
      <c r="D14" s="47"/>
      <c r="E14" s="4">
        <v>40</v>
      </c>
      <c r="F14" s="1"/>
      <c r="G14" s="5"/>
      <c r="H14" s="79">
        <v>0</v>
      </c>
      <c r="I14" s="1"/>
      <c r="J14" s="123">
        <v>45783.625</v>
      </c>
      <c r="K14" s="3">
        <v>62.177</v>
      </c>
      <c r="L14" s="123">
        <v>45783.625</v>
      </c>
      <c r="M14" s="3">
        <v>54.997999999999998</v>
      </c>
    </row>
    <row r="15" spans="1:13" x14ac:dyDescent="0.3">
      <c r="A15" s="36">
        <v>45926</v>
      </c>
      <c r="B15" s="45">
        <f t="shared" ref="B15:B39" si="0">VLOOKUP(A15+$F$2,J:K,2)</f>
        <v>58.136000000000003</v>
      </c>
      <c r="C15" s="31">
        <f t="shared" ref="C15" si="1">-1*(B15-$B$14)*10^-4*$B$8*$B$5</f>
        <v>-6309.1200000000281</v>
      </c>
      <c r="D15" s="32">
        <f t="shared" ref="D15" si="2">$B$6*(A15-$A$14)/360*$B$5</f>
        <v>555.55555555555554</v>
      </c>
      <c r="E15" s="4">
        <f t="shared" ref="E15:E39" si="3">VLOOKUP(A15+$F$2,L:M,2)</f>
        <v>40.026000000000003</v>
      </c>
      <c r="F15" s="31">
        <f t="shared" ref="F15" si="4">-1*(E15-$E$14)*10^-4*$C$8*$C$5</f>
        <v>-366.18400000004726</v>
      </c>
      <c r="G15" s="32">
        <f t="shared" ref="G15" si="5">$C$6*(A15-$A$14)/360*$C$5</f>
        <v>777.77777777777783</v>
      </c>
      <c r="H15" s="79">
        <f>C15+D15-F15-G15</f>
        <v>-6165.1582222222023</v>
      </c>
      <c r="I15" s="1"/>
      <c r="J15" s="123">
        <v>45784.625</v>
      </c>
      <c r="K15" s="3">
        <v>62.27</v>
      </c>
      <c r="L15" s="123">
        <v>45784.625</v>
      </c>
      <c r="M15" s="3">
        <v>54.741999999999997</v>
      </c>
    </row>
    <row r="16" spans="1:13" x14ac:dyDescent="0.3">
      <c r="A16" s="36">
        <v>45929</v>
      </c>
      <c r="B16" s="45">
        <f t="shared" si="0"/>
        <v>57.792000000000002</v>
      </c>
      <c r="C16" s="31">
        <f t="shared" ref="C16:C38" si="6">-1*(B16-$B$14)*10^-4*$B$8*$B$5</f>
        <v>-2896.6400000000158</v>
      </c>
      <c r="D16" s="32">
        <f t="shared" ref="D16:D38" si="7">$B$6*(A16-$A$14)/360*$B$5</f>
        <v>2222.2222222222222</v>
      </c>
      <c r="E16" s="4">
        <f t="shared" si="3"/>
        <v>39.997</v>
      </c>
      <c r="F16" s="31">
        <f t="shared" ref="F16:F38" si="8">-1*(E16-$E$14)*10^-4*$C$8*$C$5</f>
        <v>42.252000000001601</v>
      </c>
      <c r="G16" s="32">
        <f t="shared" ref="G16:G38" si="9">$C$6*(A16-$A$14)/360*$C$5</f>
        <v>3111.1111111111113</v>
      </c>
      <c r="H16" s="79">
        <f t="shared" ref="H16:H38" si="10">C16+D16-F16-G16</f>
        <v>-3827.7808888889067</v>
      </c>
      <c r="I16" s="1"/>
      <c r="J16" s="123">
        <v>45785.625</v>
      </c>
      <c r="K16" s="3">
        <v>60.957000000000001</v>
      </c>
      <c r="L16" s="123">
        <v>45785.625</v>
      </c>
      <c r="M16" s="3">
        <v>54.015000000000001</v>
      </c>
    </row>
    <row r="17" spans="1:13" x14ac:dyDescent="0.3">
      <c r="A17" s="36">
        <v>45930</v>
      </c>
      <c r="B17" s="45">
        <f t="shared" si="0"/>
        <v>57.51</v>
      </c>
      <c r="C17" s="31">
        <f t="shared" si="6"/>
        <v>-99.199999999980264</v>
      </c>
      <c r="D17" s="32">
        <f t="shared" si="7"/>
        <v>2777.7777777777778</v>
      </c>
      <c r="E17" s="4">
        <f t="shared" si="3"/>
        <v>40.194000000000003</v>
      </c>
      <c r="F17" s="31">
        <f t="shared" si="8"/>
        <v>-2732.2960000000367</v>
      </c>
      <c r="G17" s="32">
        <f t="shared" si="9"/>
        <v>3888.8888888888887</v>
      </c>
      <c r="H17" s="79">
        <f t="shared" si="10"/>
        <v>1521.9848888889455</v>
      </c>
      <c r="I17" s="1"/>
      <c r="J17" s="123">
        <v>45786.625</v>
      </c>
      <c r="K17" s="3">
        <v>59.165999999999997</v>
      </c>
      <c r="L17" s="123">
        <v>45786.625</v>
      </c>
      <c r="M17" s="3">
        <v>52.176000000000002</v>
      </c>
    </row>
    <row r="18" spans="1:13" x14ac:dyDescent="0.3">
      <c r="A18" s="36">
        <v>45931</v>
      </c>
      <c r="B18" s="45">
        <f t="shared" si="0"/>
        <v>57.616</v>
      </c>
      <c r="C18" s="31">
        <f t="shared" si="6"/>
        <v>-1150.7199999999968</v>
      </c>
      <c r="D18" s="32">
        <f t="shared" si="7"/>
        <v>3333.333333333333</v>
      </c>
      <c r="E18" s="4">
        <f t="shared" si="3"/>
        <v>40.406999999999996</v>
      </c>
      <c r="F18" s="31">
        <f t="shared" si="8"/>
        <v>-5732.1879999999501</v>
      </c>
      <c r="G18" s="32">
        <f t="shared" si="9"/>
        <v>4666.6666666666661</v>
      </c>
      <c r="H18" s="79">
        <f t="shared" si="10"/>
        <v>3248.1346666666204</v>
      </c>
      <c r="I18" s="1"/>
      <c r="J18" s="123">
        <v>45789.625</v>
      </c>
      <c r="K18" s="3">
        <v>57.408999999999999</v>
      </c>
      <c r="L18" s="123">
        <v>45789.625</v>
      </c>
      <c r="M18" s="3">
        <v>50.143999999999998</v>
      </c>
    </row>
    <row r="19" spans="1:13" x14ac:dyDescent="0.3">
      <c r="A19" s="36">
        <v>45932</v>
      </c>
      <c r="B19" s="45">
        <f t="shared" si="0"/>
        <v>57.011000000000003</v>
      </c>
      <c r="C19" s="31">
        <f t="shared" si="6"/>
        <v>4850.8799999999728</v>
      </c>
      <c r="D19" s="32">
        <f t="shared" si="7"/>
        <v>3888.8888888888891</v>
      </c>
      <c r="E19" s="4">
        <f t="shared" si="3"/>
        <v>39.887</v>
      </c>
      <c r="F19" s="31">
        <f t="shared" si="8"/>
        <v>1591.4919999999936</v>
      </c>
      <c r="G19" s="32">
        <f t="shared" si="9"/>
        <v>5444.4444444444453</v>
      </c>
      <c r="H19" s="79">
        <f t="shared" si="10"/>
        <v>1703.8324444444233</v>
      </c>
      <c r="I19" s="1"/>
      <c r="J19" s="123">
        <v>45790.625</v>
      </c>
      <c r="K19" s="3">
        <v>55.457000000000001</v>
      </c>
      <c r="L19" s="123">
        <v>45790.625</v>
      </c>
      <c r="M19" s="3">
        <v>47.427999999999997</v>
      </c>
    </row>
    <row r="20" spans="1:13" x14ac:dyDescent="0.3">
      <c r="A20" s="36">
        <v>45933</v>
      </c>
      <c r="B20" s="45">
        <f t="shared" si="0"/>
        <v>56.552</v>
      </c>
      <c r="C20" s="31">
        <f t="shared" si="6"/>
        <v>9404.1600000000053</v>
      </c>
      <c r="D20" s="32">
        <f t="shared" si="7"/>
        <v>4444.4444444444443</v>
      </c>
      <c r="E20" s="4">
        <f t="shared" si="3"/>
        <v>39.756999999999998</v>
      </c>
      <c r="F20" s="31">
        <f t="shared" si="8"/>
        <v>3422.4120000000298</v>
      </c>
      <c r="G20" s="32">
        <f t="shared" si="9"/>
        <v>6222.2222222222226</v>
      </c>
      <c r="H20" s="79">
        <f t="shared" si="10"/>
        <v>4203.9702222221968</v>
      </c>
      <c r="I20" s="1"/>
      <c r="J20" s="123">
        <v>45791.625</v>
      </c>
      <c r="K20" s="3">
        <v>54.484999999999999</v>
      </c>
      <c r="L20" s="123">
        <v>45791.625</v>
      </c>
      <c r="M20" s="3">
        <v>47.1</v>
      </c>
    </row>
    <row r="21" spans="1:13" x14ac:dyDescent="0.3">
      <c r="A21" s="36">
        <v>45936</v>
      </c>
      <c r="B21" s="45">
        <f t="shared" si="0"/>
        <v>57.633000000000003</v>
      </c>
      <c r="C21" s="31">
        <f t="shared" si="6"/>
        <v>-1319.3600000000265</v>
      </c>
      <c r="D21" s="32">
        <f t="shared" si="7"/>
        <v>6111.1111111111113</v>
      </c>
      <c r="E21" s="4">
        <f t="shared" si="3"/>
        <v>40.533999999999999</v>
      </c>
      <c r="F21" s="31">
        <f t="shared" si="8"/>
        <v>-7520.8559999999861</v>
      </c>
      <c r="G21" s="32">
        <f t="shared" si="9"/>
        <v>8555.5555555555547</v>
      </c>
      <c r="H21" s="79">
        <f t="shared" si="10"/>
        <v>3757.0515555555176</v>
      </c>
      <c r="I21" s="1"/>
      <c r="J21" s="123">
        <v>45792.625</v>
      </c>
      <c r="K21" s="3">
        <v>55.613</v>
      </c>
      <c r="L21" s="123">
        <v>45792.625</v>
      </c>
      <c r="M21" s="3">
        <v>47.670999999999999</v>
      </c>
    </row>
    <row r="22" spans="1:13" x14ac:dyDescent="0.3">
      <c r="A22" s="36">
        <v>45937</v>
      </c>
      <c r="B22" s="45">
        <f t="shared" si="0"/>
        <v>57.856000000000002</v>
      </c>
      <c r="C22" s="31">
        <f t="shared" si="6"/>
        <v>-3531.5200000000164</v>
      </c>
      <c r="D22" s="32">
        <f t="shared" si="7"/>
        <v>6666.6666666666661</v>
      </c>
      <c r="E22" s="4">
        <f t="shared" si="3"/>
        <v>40.628</v>
      </c>
      <c r="F22" s="31">
        <f t="shared" si="8"/>
        <v>-8844.7520000000022</v>
      </c>
      <c r="G22" s="32">
        <f t="shared" si="9"/>
        <v>9333.3333333333321</v>
      </c>
      <c r="H22" s="79">
        <f t="shared" si="10"/>
        <v>2646.5653333333194</v>
      </c>
      <c r="I22" s="1"/>
      <c r="J22" s="123">
        <v>45793.625</v>
      </c>
      <c r="K22" s="3">
        <v>55.064</v>
      </c>
      <c r="L22" s="123">
        <v>45793.625</v>
      </c>
      <c r="M22" s="3">
        <v>47.079000000000001</v>
      </c>
    </row>
    <row r="23" spans="1:13" x14ac:dyDescent="0.3">
      <c r="A23" s="36">
        <v>45938</v>
      </c>
      <c r="B23" s="45">
        <f t="shared" si="0"/>
        <v>57.947000000000003</v>
      </c>
      <c r="C23" s="31">
        <f t="shared" si="6"/>
        <v>-4434.2400000000271</v>
      </c>
      <c r="D23" s="32">
        <f t="shared" si="7"/>
        <v>7222.2222222222226</v>
      </c>
      <c r="E23" s="4">
        <f t="shared" si="3"/>
        <v>40.613999999999997</v>
      </c>
      <c r="F23" s="31">
        <f t="shared" si="8"/>
        <v>-8647.5759999999627</v>
      </c>
      <c r="G23" s="32">
        <f t="shared" si="9"/>
        <v>10111.111111111111</v>
      </c>
      <c r="H23" s="79">
        <f t="shared" si="10"/>
        <v>1324.447111111047</v>
      </c>
      <c r="I23" s="1"/>
      <c r="J23" s="123">
        <v>45796.625</v>
      </c>
      <c r="K23" s="3">
        <v>55.41</v>
      </c>
      <c r="L23" s="123">
        <v>45796.625</v>
      </c>
      <c r="M23" s="3">
        <v>47.253999999999998</v>
      </c>
    </row>
    <row r="24" spans="1:13" x14ac:dyDescent="0.3">
      <c r="A24" s="36">
        <v>45939</v>
      </c>
      <c r="B24" s="45">
        <f t="shared" si="0"/>
        <v>58.323999999999998</v>
      </c>
      <c r="C24" s="31">
        <f t="shared" si="6"/>
        <v>-8174.0799999999808</v>
      </c>
      <c r="D24" s="32">
        <f t="shared" si="7"/>
        <v>7777.7777777777783</v>
      </c>
      <c r="E24" s="4">
        <f t="shared" si="3"/>
        <v>40.503999999999998</v>
      </c>
      <c r="F24" s="31">
        <f t="shared" si="8"/>
        <v>-7098.3359999999702</v>
      </c>
      <c r="G24" s="32">
        <f t="shared" si="9"/>
        <v>10888.888888888891</v>
      </c>
      <c r="H24" s="79">
        <f t="shared" si="10"/>
        <v>-4186.8551111111228</v>
      </c>
      <c r="I24" s="1"/>
      <c r="J24" s="123">
        <v>45797.625</v>
      </c>
      <c r="K24" s="3">
        <v>54.796999999999997</v>
      </c>
      <c r="L24" s="123">
        <v>45797.625</v>
      </c>
      <c r="M24" s="3">
        <v>46.546999999999997</v>
      </c>
    </row>
    <row r="25" spans="1:13" x14ac:dyDescent="0.3">
      <c r="A25" s="36">
        <v>45940</v>
      </c>
      <c r="B25" s="45">
        <f t="shared" si="0"/>
        <v>58.451999999999998</v>
      </c>
      <c r="C25" s="31">
        <f t="shared" si="6"/>
        <v>-9443.839999999982</v>
      </c>
      <c r="D25" s="32">
        <f t="shared" si="7"/>
        <v>8333.3333333333321</v>
      </c>
      <c r="E25" s="4">
        <f t="shared" si="3"/>
        <v>41.215000000000003</v>
      </c>
      <c r="F25" s="31">
        <f t="shared" si="8"/>
        <v>-17112.060000000052</v>
      </c>
      <c r="G25" s="32">
        <f t="shared" si="9"/>
        <v>11666.666666666666</v>
      </c>
      <c r="H25" s="79">
        <f t="shared" si="10"/>
        <v>4334.8866666667363</v>
      </c>
      <c r="I25" s="1"/>
      <c r="J25" s="123">
        <v>45798.625</v>
      </c>
      <c r="K25" s="3">
        <v>55.066000000000003</v>
      </c>
      <c r="L25" s="123">
        <v>45798.625</v>
      </c>
      <c r="M25" s="3">
        <v>47.01</v>
      </c>
    </row>
    <row r="26" spans="1:13" x14ac:dyDescent="0.3">
      <c r="A26" s="36">
        <v>45943</v>
      </c>
      <c r="B26" s="45">
        <f t="shared" si="0"/>
        <v>59.344000000000001</v>
      </c>
      <c r="C26" s="31">
        <f t="shared" si="6"/>
        <v>-18292.48000000001</v>
      </c>
      <c r="D26" s="32">
        <f t="shared" si="7"/>
        <v>10000</v>
      </c>
      <c r="E26" s="4">
        <f t="shared" si="3"/>
        <v>42.545000000000002</v>
      </c>
      <c r="F26" s="31">
        <f t="shared" si="8"/>
        <v>-35843.780000000021</v>
      </c>
      <c r="G26" s="32">
        <f t="shared" si="9"/>
        <v>14000</v>
      </c>
      <c r="H26" s="79">
        <f t="shared" si="10"/>
        <v>13551.30000000001</v>
      </c>
      <c r="I26" s="1"/>
      <c r="J26" s="123">
        <v>45799.625</v>
      </c>
      <c r="K26" s="3">
        <v>56.084000000000003</v>
      </c>
      <c r="L26" s="123">
        <v>45799.625</v>
      </c>
      <c r="M26" s="3">
        <v>47.945</v>
      </c>
    </row>
    <row r="27" spans="1:13" x14ac:dyDescent="0.3">
      <c r="A27" s="36">
        <v>45944</v>
      </c>
      <c r="B27" s="45">
        <f t="shared" si="0"/>
        <v>60.168999999999997</v>
      </c>
      <c r="C27" s="31">
        <f t="shared" si="6"/>
        <v>-26476.479999999974</v>
      </c>
      <c r="D27" s="32">
        <f t="shared" si="7"/>
        <v>10555.555555555557</v>
      </c>
      <c r="E27" s="4">
        <f t="shared" si="3"/>
        <v>42.634</v>
      </c>
      <c r="F27" s="31">
        <f t="shared" si="8"/>
        <v>-37097.256000000008</v>
      </c>
      <c r="G27" s="32">
        <f t="shared" si="9"/>
        <v>14777.777777777779</v>
      </c>
      <c r="H27" s="79">
        <f t="shared" si="10"/>
        <v>6398.55377777781</v>
      </c>
      <c r="I27" s="1"/>
      <c r="J27" s="123">
        <v>45800.625</v>
      </c>
      <c r="K27" s="3">
        <v>56.822000000000003</v>
      </c>
      <c r="L27" s="123">
        <v>45800.625</v>
      </c>
      <c r="M27" s="3">
        <v>48.249000000000002</v>
      </c>
    </row>
    <row r="28" spans="1:13" x14ac:dyDescent="0.3">
      <c r="A28" s="36">
        <v>45945</v>
      </c>
      <c r="B28" s="45">
        <f t="shared" si="0"/>
        <v>58.076000000000001</v>
      </c>
      <c r="C28" s="31">
        <f t="shared" si="6"/>
        <v>-5713.9200000000055</v>
      </c>
      <c r="D28" s="32">
        <f t="shared" si="7"/>
        <v>11111.111111111111</v>
      </c>
      <c r="E28" s="4">
        <f t="shared" si="3"/>
        <v>40.781999999999996</v>
      </c>
      <c r="F28" s="31">
        <f t="shared" si="8"/>
        <v>-11013.687999999951</v>
      </c>
      <c r="G28" s="32">
        <f t="shared" si="9"/>
        <v>15555.555555555555</v>
      </c>
      <c r="H28" s="79">
        <f t="shared" si="10"/>
        <v>855.32355555550021</v>
      </c>
      <c r="I28" s="1"/>
      <c r="J28" s="123">
        <v>45803.625</v>
      </c>
      <c r="K28" s="3">
        <v>56.56</v>
      </c>
      <c r="L28" s="123">
        <v>45803.625</v>
      </c>
      <c r="M28" s="3">
        <v>48.801000000000002</v>
      </c>
    </row>
    <row r="29" spans="1:13" x14ac:dyDescent="0.3">
      <c r="A29" s="36">
        <v>45946</v>
      </c>
      <c r="B29" s="45">
        <f t="shared" si="0"/>
        <v>57.722999999999999</v>
      </c>
      <c r="C29" s="31">
        <f t="shared" si="6"/>
        <v>-2212.1599999999899</v>
      </c>
      <c r="D29" s="32">
        <f t="shared" si="7"/>
        <v>11666.666666666666</v>
      </c>
      <c r="E29" s="4">
        <f t="shared" si="3"/>
        <v>40.509</v>
      </c>
      <c r="F29" s="31">
        <f t="shared" si="8"/>
        <v>-7168.7560000000058</v>
      </c>
      <c r="G29" s="32">
        <f t="shared" si="9"/>
        <v>16333.333333333332</v>
      </c>
      <c r="H29" s="79">
        <f t="shared" si="10"/>
        <v>289.92933333334804</v>
      </c>
      <c r="I29" s="1"/>
      <c r="J29" s="123">
        <v>45804.625</v>
      </c>
      <c r="K29" s="3">
        <v>54.860999999999997</v>
      </c>
      <c r="L29" s="123">
        <v>45804.625</v>
      </c>
      <c r="M29" s="3">
        <v>46.593000000000004</v>
      </c>
    </row>
    <row r="30" spans="1:13" x14ac:dyDescent="0.3">
      <c r="A30" s="128">
        <v>45947</v>
      </c>
      <c r="B30" s="45">
        <f t="shared" si="0"/>
        <v>60.207000000000001</v>
      </c>
      <c r="C30" s="31">
        <f t="shared" si="6"/>
        <v>-26853.440000000006</v>
      </c>
      <c r="D30" s="32">
        <f t="shared" si="7"/>
        <v>12222.222222222223</v>
      </c>
      <c r="E30" s="4">
        <f t="shared" si="3"/>
        <v>42.573</v>
      </c>
      <c r="F30" s="31">
        <f t="shared" si="8"/>
        <v>-36238.132000000012</v>
      </c>
      <c r="G30" s="32">
        <f t="shared" si="9"/>
        <v>17111.111111111109</v>
      </c>
      <c r="H30" s="79">
        <f t="shared" si="10"/>
        <v>4495.8031111111195</v>
      </c>
      <c r="I30" s="1"/>
      <c r="J30" s="123">
        <v>45805.625</v>
      </c>
      <c r="K30" s="3">
        <v>54.534999999999997</v>
      </c>
      <c r="L30" s="123">
        <v>45805.625</v>
      </c>
      <c r="M30" s="3">
        <v>46.209000000000003</v>
      </c>
    </row>
    <row r="31" spans="1:13" x14ac:dyDescent="0.3">
      <c r="A31" s="128">
        <v>45950</v>
      </c>
      <c r="B31" s="45">
        <f t="shared" si="0"/>
        <v>58.981999999999999</v>
      </c>
      <c r="C31" s="31">
        <f t="shared" si="6"/>
        <v>-14701.439999999993</v>
      </c>
      <c r="D31" s="32">
        <f t="shared" si="7"/>
        <v>13888.888888888889</v>
      </c>
      <c r="E31" s="4">
        <f t="shared" si="3"/>
        <v>42.24</v>
      </c>
      <c r="F31" s="31">
        <f t="shared" si="8"/>
        <v>-31548.160000000033</v>
      </c>
      <c r="G31" s="32">
        <f t="shared" si="9"/>
        <v>19444.444444444445</v>
      </c>
      <c r="H31" s="79">
        <f t="shared" si="10"/>
        <v>11291.164444444483</v>
      </c>
      <c r="I31" s="1"/>
      <c r="J31" s="123">
        <v>45806.625</v>
      </c>
      <c r="K31" s="3">
        <v>53.756999999999998</v>
      </c>
      <c r="L31" s="123">
        <v>45806.625</v>
      </c>
      <c r="M31" s="3">
        <v>45.494999999999997</v>
      </c>
    </row>
    <row r="32" spans="1:13" x14ac:dyDescent="0.3">
      <c r="A32" s="128">
        <v>45951</v>
      </c>
      <c r="B32" s="45">
        <f t="shared" si="0"/>
        <v>58.771999999999998</v>
      </c>
      <c r="C32" s="31">
        <f t="shared" si="6"/>
        <v>-12618.239999999983</v>
      </c>
      <c r="D32" s="32">
        <f t="shared" si="7"/>
        <v>14444.444444444445</v>
      </c>
      <c r="E32" s="4">
        <f t="shared" si="3"/>
        <v>41.517000000000003</v>
      </c>
      <c r="F32" s="31">
        <f t="shared" si="8"/>
        <v>-21365.428000000044</v>
      </c>
      <c r="G32" s="32">
        <f t="shared" si="9"/>
        <v>20222.222222222223</v>
      </c>
      <c r="H32" s="79">
        <f t="shared" si="10"/>
        <v>2969.4102222222828</v>
      </c>
      <c r="I32" s="1"/>
      <c r="J32" s="123">
        <v>45807.625</v>
      </c>
      <c r="K32" s="3">
        <v>54.356000000000002</v>
      </c>
      <c r="L32" s="123">
        <v>45807.625</v>
      </c>
      <c r="M32" s="3">
        <v>46.136000000000003</v>
      </c>
    </row>
    <row r="33" spans="1:13" x14ac:dyDescent="0.3">
      <c r="A33" s="128">
        <v>45952</v>
      </c>
      <c r="B33" s="45">
        <f t="shared" si="0"/>
        <v>58.664999999999999</v>
      </c>
      <c r="C33" s="31">
        <f t="shared" si="6"/>
        <v>-11556.799999999992</v>
      </c>
      <c r="D33" s="32">
        <f t="shared" si="7"/>
        <v>15000</v>
      </c>
      <c r="E33" s="4">
        <f t="shared" si="3"/>
        <v>41.39</v>
      </c>
      <c r="F33" s="31">
        <f t="shared" si="8"/>
        <v>-19576.760000000009</v>
      </c>
      <c r="G33" s="32">
        <f t="shared" si="9"/>
        <v>21000</v>
      </c>
      <c r="H33" s="79">
        <f t="shared" si="10"/>
        <v>2019.9600000000173</v>
      </c>
      <c r="I33" s="1"/>
      <c r="J33" s="123">
        <v>45810.625</v>
      </c>
      <c r="K33" s="3">
        <v>54.506</v>
      </c>
      <c r="L33" s="123">
        <v>45810.625</v>
      </c>
      <c r="M33" s="3">
        <v>46.256</v>
      </c>
    </row>
    <row r="34" spans="1:13" x14ac:dyDescent="0.3">
      <c r="A34" s="128">
        <v>45953</v>
      </c>
      <c r="B34" s="45">
        <f t="shared" si="0"/>
        <v>58.655000000000001</v>
      </c>
      <c r="C34" s="31">
        <f t="shared" si="6"/>
        <v>-11457.600000000013</v>
      </c>
      <c r="D34" s="32">
        <f t="shared" si="7"/>
        <v>15555.555555555557</v>
      </c>
      <c r="E34" s="4">
        <f t="shared" si="3"/>
        <v>41.453000000000003</v>
      </c>
      <c r="F34" s="31">
        <f t="shared" si="8"/>
        <v>-20464.052000000043</v>
      </c>
      <c r="G34" s="32">
        <f t="shared" si="9"/>
        <v>21777.777777777781</v>
      </c>
      <c r="H34" s="79">
        <f t="shared" si="10"/>
        <v>2784.2297777778076</v>
      </c>
      <c r="I34" s="1"/>
      <c r="J34" s="123">
        <v>45811.625</v>
      </c>
      <c r="K34" s="3">
        <v>53.761000000000003</v>
      </c>
      <c r="L34" s="123">
        <v>45811.625</v>
      </c>
      <c r="M34" s="3">
        <v>45.429000000000002</v>
      </c>
    </row>
    <row r="35" spans="1:13" x14ac:dyDescent="0.3">
      <c r="A35" s="128">
        <v>45954</v>
      </c>
      <c r="B35" s="45">
        <f t="shared" si="0"/>
        <v>57.911000000000001</v>
      </c>
      <c r="C35" s="31">
        <f t="shared" si="6"/>
        <v>-4077.1200000000135</v>
      </c>
      <c r="D35" s="32">
        <f t="shared" si="7"/>
        <v>16111.111111111109</v>
      </c>
      <c r="E35" s="4">
        <f t="shared" si="3"/>
        <v>40.942</v>
      </c>
      <c r="F35" s="31">
        <f t="shared" si="8"/>
        <v>-13267.128000000004</v>
      </c>
      <c r="G35" s="32">
        <f t="shared" si="9"/>
        <v>22555.555555555551</v>
      </c>
      <c r="H35" s="79">
        <f t="shared" si="10"/>
        <v>2745.5635555555491</v>
      </c>
      <c r="I35" s="1"/>
      <c r="J35" s="123">
        <v>45812.625</v>
      </c>
      <c r="K35" s="3">
        <v>53.343000000000004</v>
      </c>
      <c r="L35" s="123">
        <v>45812.625</v>
      </c>
      <c r="M35" s="3">
        <v>45.515999999999998</v>
      </c>
    </row>
    <row r="36" spans="1:13" x14ac:dyDescent="0.3">
      <c r="A36" s="36">
        <v>45957</v>
      </c>
      <c r="B36" s="45">
        <f t="shared" si="0"/>
        <v>57.506999999999998</v>
      </c>
      <c r="C36" s="31">
        <f t="shared" si="6"/>
        <v>-69.439999999979136</v>
      </c>
      <c r="D36" s="32">
        <f t="shared" si="7"/>
        <v>17777.777777777777</v>
      </c>
      <c r="E36" s="4">
        <f t="shared" si="3"/>
        <v>40.350999999999999</v>
      </c>
      <c r="F36" s="31">
        <f t="shared" si="8"/>
        <v>-4943.4839999999876</v>
      </c>
      <c r="G36" s="32">
        <f t="shared" si="9"/>
        <v>24888.888888888891</v>
      </c>
      <c r="H36" s="79">
        <f t="shared" si="10"/>
        <v>-2237.0671111111078</v>
      </c>
      <c r="I36" s="1"/>
      <c r="J36" s="123">
        <v>45813.625</v>
      </c>
      <c r="K36" s="3">
        <v>53.338999999999999</v>
      </c>
      <c r="L36" s="123">
        <v>45813.625</v>
      </c>
      <c r="M36" s="3">
        <v>45.408999999999999</v>
      </c>
    </row>
    <row r="37" spans="1:13" x14ac:dyDescent="0.3">
      <c r="A37" s="36">
        <v>45958</v>
      </c>
      <c r="B37" s="45">
        <f t="shared" si="0"/>
        <v>56.545000000000002</v>
      </c>
      <c r="C37" s="31">
        <f t="shared" si="6"/>
        <v>9473.599999999984</v>
      </c>
      <c r="D37" s="32">
        <f t="shared" si="7"/>
        <v>18333.333333333336</v>
      </c>
      <c r="E37" s="4">
        <f t="shared" si="3"/>
        <v>39.662999999999997</v>
      </c>
      <c r="F37" s="31">
        <f t="shared" si="8"/>
        <v>4746.3080000000464</v>
      </c>
      <c r="G37" s="32">
        <f t="shared" si="9"/>
        <v>25666.666666666668</v>
      </c>
      <c r="H37" s="79">
        <f t="shared" si="10"/>
        <v>-2606.0413333333963</v>
      </c>
      <c r="I37" s="1"/>
      <c r="J37" s="123">
        <v>45814.625</v>
      </c>
      <c r="K37" s="3">
        <v>53.445</v>
      </c>
      <c r="L37" s="123">
        <v>45814.625</v>
      </c>
      <c r="M37" s="3">
        <v>45.503999999999998</v>
      </c>
    </row>
    <row r="38" spans="1:13" x14ac:dyDescent="0.3">
      <c r="A38" s="36">
        <v>45959</v>
      </c>
      <c r="B38" s="45">
        <f t="shared" si="0"/>
        <v>56.097000000000001</v>
      </c>
      <c r="C38" s="31">
        <f t="shared" si="6"/>
        <v>13917.759999999989</v>
      </c>
      <c r="D38" s="32">
        <f t="shared" si="7"/>
        <v>18888.888888888891</v>
      </c>
      <c r="E38" s="4">
        <f t="shared" si="3"/>
        <v>39.744999999999997</v>
      </c>
      <c r="F38" s="31">
        <f t="shared" si="8"/>
        <v>3591.420000000036</v>
      </c>
      <c r="G38" s="32">
        <f t="shared" si="9"/>
        <v>26444.444444444445</v>
      </c>
      <c r="H38" s="79">
        <f t="shared" si="10"/>
        <v>2770.7844444443981</v>
      </c>
      <c r="I38" s="1"/>
      <c r="J38" s="123">
        <v>45817.625</v>
      </c>
      <c r="K38" s="3">
        <v>52.607999999999997</v>
      </c>
      <c r="L38" s="123">
        <v>45817.625</v>
      </c>
      <c r="M38" s="3">
        <v>44.362000000000002</v>
      </c>
    </row>
    <row r="39" spans="1:13" x14ac:dyDescent="0.3">
      <c r="A39" s="36">
        <v>45960</v>
      </c>
      <c r="B39" s="45">
        <f t="shared" si="0"/>
        <v>56.645000000000003</v>
      </c>
      <c r="C39" s="31">
        <f t="shared" ref="C39:C40" si="11">-1*(B39-$B$14)*10^-4*$B$8*$B$5</f>
        <v>8481.5999999999694</v>
      </c>
      <c r="D39" s="32">
        <f t="shared" ref="D39:D40" si="12">$B$6*(A39-$A$14)/360*$B$5</f>
        <v>19444.444444444445</v>
      </c>
      <c r="E39" s="4">
        <f t="shared" si="3"/>
        <v>40.064</v>
      </c>
      <c r="F39" s="31">
        <f t="shared" ref="F39:F40" si="13">-1*(E39-$E$14)*10^-4*$C$8*$C$5</f>
        <v>-901.37600000000089</v>
      </c>
      <c r="G39" s="32">
        <f t="shared" ref="G39:G40" si="14">$C$6*(A39-$A$14)/360*$C$5</f>
        <v>27222.222222222226</v>
      </c>
      <c r="H39" s="79">
        <f t="shared" ref="H39" si="15">C39+D39-F39-G39</f>
        <v>1605.1982222221886</v>
      </c>
      <c r="I39" s="1"/>
      <c r="J39" s="123">
        <v>45818.625</v>
      </c>
      <c r="K39" s="3">
        <v>52.526000000000003</v>
      </c>
      <c r="L39" s="123">
        <v>45818.625</v>
      </c>
      <c r="M39" s="3">
        <v>44.154000000000003</v>
      </c>
    </row>
    <row r="40" spans="1:13" x14ac:dyDescent="0.3">
      <c r="A40" s="36">
        <v>45961</v>
      </c>
      <c r="B40" s="45">
        <f>$B$10</f>
        <v>57.294420000000002</v>
      </c>
      <c r="C40" s="31">
        <f t="shared" si="11"/>
        <v>2039.3535999999767</v>
      </c>
      <c r="D40" s="32">
        <f t="shared" si="12"/>
        <v>20000</v>
      </c>
      <c r="E40" s="4">
        <f>$C$10</f>
        <v>40.293100000000003</v>
      </c>
      <c r="F40" s="31">
        <f t="shared" si="13"/>
        <v>-4128.0204000000367</v>
      </c>
      <c r="G40" s="32">
        <f t="shared" si="14"/>
        <v>28000</v>
      </c>
      <c r="H40" s="79">
        <f>C40+D40-F40-G40</f>
        <v>-1832.6259999999857</v>
      </c>
      <c r="I40" s="1"/>
      <c r="J40" s="123">
        <v>45819.625</v>
      </c>
      <c r="K40" s="3">
        <v>52.320999999999998</v>
      </c>
      <c r="L40" s="123">
        <v>45819.625</v>
      </c>
      <c r="M40" s="3">
        <v>44.084000000000003</v>
      </c>
    </row>
    <row r="41" spans="1:13" x14ac:dyDescent="0.3">
      <c r="A41" s="36">
        <v>45964</v>
      </c>
      <c r="B41" s="45"/>
      <c r="C41" s="31"/>
      <c r="D41" s="32"/>
      <c r="E41" s="4"/>
      <c r="F41" s="31"/>
      <c r="G41" s="32"/>
      <c r="H41" s="79"/>
      <c r="I41" s="1"/>
      <c r="J41" s="123">
        <v>45820.625</v>
      </c>
      <c r="K41" s="3">
        <v>52.792999999999999</v>
      </c>
      <c r="L41" s="123">
        <v>45820.625</v>
      </c>
      <c r="M41" s="3">
        <v>43.744</v>
      </c>
    </row>
    <row r="42" spans="1:13" x14ac:dyDescent="0.3">
      <c r="A42" s="36">
        <v>45965</v>
      </c>
      <c r="B42" s="45"/>
      <c r="C42" s="31"/>
      <c r="D42" s="32"/>
      <c r="E42" s="4"/>
      <c r="F42" s="31"/>
      <c r="G42" s="32"/>
      <c r="H42" s="79"/>
      <c r="I42" s="1"/>
      <c r="J42" s="123">
        <v>45821.625</v>
      </c>
      <c r="K42" s="3">
        <v>54.625999999999998</v>
      </c>
      <c r="L42" s="123">
        <v>45821.625</v>
      </c>
      <c r="M42" s="3">
        <v>45.664000000000001</v>
      </c>
    </row>
    <row r="43" spans="1:13" x14ac:dyDescent="0.3">
      <c r="A43" s="36">
        <v>45966</v>
      </c>
      <c r="B43" s="45"/>
      <c r="C43" s="31"/>
      <c r="D43" s="32"/>
      <c r="E43" s="4"/>
      <c r="F43" s="31"/>
      <c r="G43" s="32"/>
      <c r="H43" s="79"/>
      <c r="I43" s="1"/>
      <c r="J43" s="123">
        <v>45824.625</v>
      </c>
      <c r="K43" s="3">
        <v>53.648000000000003</v>
      </c>
      <c r="L43" s="123">
        <v>45824.625</v>
      </c>
      <c r="M43" s="3">
        <v>44.643000000000001</v>
      </c>
    </row>
    <row r="44" spans="1:13" x14ac:dyDescent="0.3">
      <c r="A44" s="36">
        <v>45967</v>
      </c>
      <c r="B44" s="45"/>
      <c r="C44" s="31"/>
      <c r="D44" s="32"/>
      <c r="E44" s="4"/>
      <c r="F44" s="31"/>
      <c r="G44" s="32"/>
      <c r="H44" s="79"/>
      <c r="I44" s="1"/>
      <c r="J44" s="123">
        <v>45825.625</v>
      </c>
      <c r="K44" s="3">
        <v>54.304000000000002</v>
      </c>
      <c r="L44" s="123">
        <v>45825.625</v>
      </c>
      <c r="M44" s="3">
        <v>45.134999999999998</v>
      </c>
    </row>
    <row r="45" spans="1:13" x14ac:dyDescent="0.3">
      <c r="A45" s="36">
        <v>45968</v>
      </c>
      <c r="B45" s="45"/>
      <c r="C45" s="31"/>
      <c r="D45" s="32"/>
      <c r="E45" s="4"/>
      <c r="F45" s="31"/>
      <c r="G45" s="32"/>
      <c r="H45" s="79"/>
      <c r="I45" s="1"/>
      <c r="J45" s="123">
        <v>45826.625</v>
      </c>
      <c r="K45" s="3">
        <v>55.563000000000002</v>
      </c>
      <c r="L45" s="123">
        <v>45826.625</v>
      </c>
      <c r="M45" s="3">
        <v>45.765999999999998</v>
      </c>
    </row>
    <row r="46" spans="1:13" x14ac:dyDescent="0.3">
      <c r="A46" s="36">
        <v>45969</v>
      </c>
      <c r="B46" s="45"/>
      <c r="C46" s="31"/>
      <c r="D46" s="32"/>
      <c r="E46" s="4"/>
      <c r="F46" s="31"/>
      <c r="G46" s="32"/>
      <c r="H46" s="79"/>
      <c r="I46" s="1"/>
      <c r="J46" s="123">
        <v>45827.625</v>
      </c>
      <c r="K46" s="3">
        <v>56.548999999999999</v>
      </c>
      <c r="L46" s="123">
        <v>45827.625</v>
      </c>
      <c r="M46" s="3">
        <v>46.936</v>
      </c>
    </row>
    <row r="47" spans="1:13" x14ac:dyDescent="0.3">
      <c r="A47" s="36">
        <v>45970</v>
      </c>
      <c r="B47" s="45"/>
      <c r="C47" s="31"/>
      <c r="D47" s="32"/>
      <c r="E47" s="4"/>
      <c r="F47" s="31"/>
      <c r="G47" s="32"/>
      <c r="H47" s="79"/>
      <c r="I47" s="1"/>
      <c r="J47" s="123">
        <v>45828.625</v>
      </c>
      <c r="K47" s="3">
        <v>56.744999999999997</v>
      </c>
      <c r="L47" s="123">
        <v>45828.625</v>
      </c>
      <c r="M47" s="3">
        <v>47.334000000000003</v>
      </c>
    </row>
    <row r="48" spans="1:13" x14ac:dyDescent="0.3">
      <c r="A48" s="36"/>
      <c r="B48" s="45"/>
      <c r="C48" s="31"/>
      <c r="D48" s="32"/>
      <c r="E48" s="4"/>
      <c r="F48" s="31"/>
      <c r="G48" s="32"/>
      <c r="H48" s="79"/>
      <c r="I48" s="1"/>
      <c r="J48" s="123">
        <v>45831.625</v>
      </c>
      <c r="K48" s="3">
        <v>56.445999999999998</v>
      </c>
      <c r="L48" s="123">
        <v>45831.625</v>
      </c>
      <c r="M48" s="3">
        <v>47.360999999999997</v>
      </c>
    </row>
    <row r="49" spans="1:13" x14ac:dyDescent="0.3">
      <c r="A49" s="36"/>
      <c r="B49" s="45"/>
      <c r="C49" s="31"/>
      <c r="D49" s="32"/>
      <c r="E49" s="4"/>
      <c r="F49" s="31"/>
      <c r="G49" s="32"/>
      <c r="H49" s="79"/>
      <c r="I49" s="1"/>
      <c r="J49" s="123">
        <v>45832.625</v>
      </c>
      <c r="K49" s="3">
        <v>54.844000000000001</v>
      </c>
      <c r="L49" s="123">
        <v>45832.625</v>
      </c>
      <c r="M49" s="3">
        <v>44.459000000000003</v>
      </c>
    </row>
    <row r="50" spans="1:13" x14ac:dyDescent="0.3">
      <c r="A50" s="36"/>
      <c r="B50" s="45"/>
      <c r="C50" s="31"/>
      <c r="D50" s="32"/>
      <c r="E50" s="4"/>
      <c r="F50" s="31"/>
      <c r="G50" s="32"/>
      <c r="H50" s="79"/>
      <c r="I50" s="1"/>
      <c r="J50" s="123">
        <v>45833.625</v>
      </c>
      <c r="K50" s="3">
        <v>54.302999999999997</v>
      </c>
      <c r="L50" s="123">
        <v>45833.625</v>
      </c>
      <c r="M50" s="3">
        <v>44.405000000000001</v>
      </c>
    </row>
    <row r="51" spans="1:13" x14ac:dyDescent="0.3">
      <c r="A51" s="36"/>
      <c r="B51" s="45"/>
      <c r="C51" s="31"/>
      <c r="D51" s="32"/>
      <c r="E51" s="4"/>
      <c r="F51" s="31"/>
      <c r="G51" s="32"/>
      <c r="H51" s="79"/>
      <c r="I51" s="1"/>
      <c r="J51" s="123">
        <v>45834.625</v>
      </c>
      <c r="K51" s="3">
        <v>54.546999999999997</v>
      </c>
      <c r="L51" s="123">
        <v>45834.625</v>
      </c>
      <c r="M51" s="3">
        <v>44.191000000000003</v>
      </c>
    </row>
    <row r="52" spans="1:13" x14ac:dyDescent="0.3">
      <c r="B52" s="45"/>
      <c r="C52" s="31"/>
      <c r="D52" s="32"/>
      <c r="E52" s="4"/>
      <c r="F52" s="31"/>
      <c r="G52" s="32"/>
      <c r="H52" s="38"/>
      <c r="I52" s="1"/>
      <c r="J52" s="123">
        <v>45835.625</v>
      </c>
      <c r="K52" s="3">
        <v>53.935000000000002</v>
      </c>
      <c r="L52" s="123">
        <v>45835.625</v>
      </c>
      <c r="M52" s="3">
        <v>42.99</v>
      </c>
    </row>
    <row r="53" spans="1:13" ht="15" thickBot="1" x14ac:dyDescent="0.35">
      <c r="A53" s="16"/>
      <c r="B53" s="48"/>
      <c r="C53" s="49"/>
      <c r="D53" s="50"/>
      <c r="E53" s="11"/>
      <c r="F53" s="49"/>
      <c r="G53" s="50"/>
      <c r="H53" s="51"/>
      <c r="I53" s="1"/>
      <c r="J53" s="123">
        <v>45838.625</v>
      </c>
      <c r="K53" s="3">
        <v>53.621000000000002</v>
      </c>
      <c r="L53" s="123">
        <v>45838.625</v>
      </c>
      <c r="M53" s="3">
        <v>42.261000000000003</v>
      </c>
    </row>
    <row r="54" spans="1:13" x14ac:dyDescent="0.3">
      <c r="B54" s="59"/>
      <c r="C54" s="59"/>
      <c r="D54" s="59"/>
      <c r="F54" s="58"/>
      <c r="G54" s="58"/>
      <c r="H54" s="58"/>
      <c r="J54" s="123">
        <v>45839.625</v>
      </c>
      <c r="K54" s="3">
        <v>53.929000000000002</v>
      </c>
      <c r="L54" s="123">
        <v>45839.625</v>
      </c>
      <c r="M54" s="3">
        <v>42.802999999999997</v>
      </c>
    </row>
    <row r="55" spans="1:13" x14ac:dyDescent="0.3">
      <c r="B55" s="59"/>
      <c r="C55" s="59"/>
      <c r="D55" s="59"/>
      <c r="F55" s="58"/>
      <c r="G55" s="58"/>
      <c r="H55" s="58"/>
      <c r="J55" s="123">
        <v>45840.625</v>
      </c>
      <c r="K55" s="3">
        <v>53.387999999999998</v>
      </c>
      <c r="L55" s="123">
        <v>45840.625</v>
      </c>
      <c r="M55" s="3">
        <v>42.024000000000001</v>
      </c>
    </row>
    <row r="56" spans="1:13" x14ac:dyDescent="0.3">
      <c r="B56" s="59"/>
      <c r="C56" s="59"/>
      <c r="D56" s="59"/>
      <c r="F56" s="58"/>
      <c r="G56" s="58"/>
      <c r="H56" s="58"/>
      <c r="J56" s="123">
        <v>45841.625</v>
      </c>
      <c r="K56" s="3">
        <v>53.204999999999998</v>
      </c>
      <c r="L56" s="123">
        <v>45841.625</v>
      </c>
      <c r="M56" s="3">
        <v>41.826999999999998</v>
      </c>
    </row>
    <row r="57" spans="1:13" x14ac:dyDescent="0.3">
      <c r="B57" s="59"/>
      <c r="C57" s="59"/>
      <c r="D57" s="59"/>
      <c r="F57" s="58"/>
      <c r="G57" s="58"/>
      <c r="H57" s="58"/>
      <c r="J57" s="123">
        <v>45842.625</v>
      </c>
      <c r="K57" s="3">
        <v>53.658999999999999</v>
      </c>
      <c r="L57" s="123">
        <v>45842.625</v>
      </c>
      <c r="M57" s="3">
        <v>42.152000000000001</v>
      </c>
    </row>
    <row r="58" spans="1:13" x14ac:dyDescent="0.3">
      <c r="B58" s="59"/>
      <c r="C58" s="59"/>
      <c r="D58" s="59"/>
      <c r="J58" s="123">
        <v>45845.625</v>
      </c>
      <c r="K58" s="3">
        <v>53.37</v>
      </c>
      <c r="L58" s="123">
        <v>45845.625</v>
      </c>
      <c r="M58" s="3">
        <v>42.04</v>
      </c>
    </row>
    <row r="59" spans="1:13" x14ac:dyDescent="0.3">
      <c r="B59" s="59"/>
      <c r="C59" s="59"/>
      <c r="D59" s="59"/>
      <c r="J59" s="123">
        <v>45846.625</v>
      </c>
      <c r="K59" s="3">
        <v>53.279000000000003</v>
      </c>
      <c r="L59" s="123">
        <v>45846.625</v>
      </c>
      <c r="M59" s="3">
        <v>41.741</v>
      </c>
    </row>
    <row r="60" spans="1:13" x14ac:dyDescent="0.3">
      <c r="B60" s="59"/>
      <c r="C60" s="59"/>
      <c r="D60" s="59"/>
      <c r="J60" s="123">
        <v>45847.625</v>
      </c>
      <c r="K60" s="3">
        <v>53.136000000000003</v>
      </c>
      <c r="L60" s="123">
        <v>45847.625</v>
      </c>
      <c r="M60" s="3">
        <v>41.680999999999997</v>
      </c>
    </row>
    <row r="61" spans="1:13" x14ac:dyDescent="0.3">
      <c r="B61" s="59"/>
      <c r="C61" s="59"/>
      <c r="D61" s="59"/>
      <c r="J61" s="123">
        <v>45848.625</v>
      </c>
      <c r="K61" s="3">
        <v>52.456000000000003</v>
      </c>
      <c r="L61" s="123">
        <v>45848.625</v>
      </c>
      <c r="M61" s="3">
        <v>41.457999999999998</v>
      </c>
    </row>
    <row r="62" spans="1:13" x14ac:dyDescent="0.3">
      <c r="B62" s="59"/>
      <c r="C62" s="59"/>
      <c r="D62" s="59"/>
      <c r="J62" s="123">
        <v>45849.625</v>
      </c>
      <c r="K62" s="3">
        <v>53.395000000000003</v>
      </c>
      <c r="L62" s="123">
        <v>45849.625</v>
      </c>
      <c r="M62" s="3">
        <v>41.636000000000003</v>
      </c>
    </row>
    <row r="63" spans="1:13" x14ac:dyDescent="0.3">
      <c r="B63" s="59"/>
      <c r="C63" s="59"/>
      <c r="D63" s="59"/>
      <c r="J63" s="123">
        <v>45852.625</v>
      </c>
      <c r="K63" s="3">
        <v>53.255000000000003</v>
      </c>
      <c r="L63" s="123">
        <v>45852.625</v>
      </c>
      <c r="M63" s="3">
        <v>42.579000000000001</v>
      </c>
    </row>
    <row r="64" spans="1:13" x14ac:dyDescent="0.3">
      <c r="B64" s="59"/>
      <c r="C64" s="59"/>
      <c r="D64" s="59"/>
      <c r="J64" s="123">
        <v>45853.625</v>
      </c>
      <c r="K64" s="3">
        <v>52.918999999999997</v>
      </c>
      <c r="L64" s="123">
        <v>45853.625</v>
      </c>
      <c r="M64" s="3">
        <v>41.76</v>
      </c>
    </row>
    <row r="65" spans="2:13" x14ac:dyDescent="0.3">
      <c r="B65" s="59"/>
      <c r="C65" s="59"/>
      <c r="D65" s="59"/>
      <c r="J65" s="123">
        <v>45854.625</v>
      </c>
      <c r="K65" s="3">
        <v>53.899000000000001</v>
      </c>
      <c r="L65" s="123">
        <v>45854.625</v>
      </c>
      <c r="M65" s="3">
        <v>42.137</v>
      </c>
    </row>
    <row r="66" spans="2:13" x14ac:dyDescent="0.3">
      <c r="J66" s="123">
        <v>45855.625</v>
      </c>
      <c r="K66" s="3">
        <v>53.494999999999997</v>
      </c>
      <c r="L66" s="123">
        <v>45855.625</v>
      </c>
      <c r="M66" s="3">
        <v>41.612000000000002</v>
      </c>
    </row>
    <row r="67" spans="2:13" x14ac:dyDescent="0.3">
      <c r="J67" s="123">
        <v>45856.625</v>
      </c>
      <c r="K67" s="3">
        <v>52.932000000000002</v>
      </c>
      <c r="L67" s="123">
        <v>45856.625</v>
      </c>
      <c r="M67" s="3">
        <v>40.875999999999998</v>
      </c>
    </row>
    <row r="68" spans="2:13" x14ac:dyDescent="0.3">
      <c r="J68" s="123">
        <v>45859.625</v>
      </c>
      <c r="K68" s="3">
        <v>52.993000000000002</v>
      </c>
      <c r="L68" s="123">
        <v>45859.625</v>
      </c>
      <c r="M68" s="3">
        <v>40.923999999999999</v>
      </c>
    </row>
    <row r="69" spans="2:13" x14ac:dyDescent="0.3">
      <c r="J69" s="123">
        <v>45860.625</v>
      </c>
      <c r="K69" s="3">
        <v>53.313000000000002</v>
      </c>
      <c r="L69" s="123">
        <v>45860.625</v>
      </c>
      <c r="M69" s="3">
        <v>41.140999999999998</v>
      </c>
    </row>
    <row r="70" spans="2:13" x14ac:dyDescent="0.3">
      <c r="J70" s="123">
        <v>45861.625</v>
      </c>
      <c r="K70" s="3">
        <v>52.954000000000001</v>
      </c>
      <c r="L70" s="123">
        <v>45861.625</v>
      </c>
      <c r="M70" s="3">
        <v>40.151000000000003</v>
      </c>
    </row>
    <row r="71" spans="2:13" x14ac:dyDescent="0.3">
      <c r="J71" s="123">
        <v>45862.625</v>
      </c>
      <c r="K71" s="3">
        <v>52.107999999999997</v>
      </c>
      <c r="L71" s="123">
        <v>45862.625</v>
      </c>
      <c r="M71" s="3">
        <v>40.003</v>
      </c>
    </row>
    <row r="72" spans="2:13" x14ac:dyDescent="0.3">
      <c r="J72" s="123">
        <v>45863.625</v>
      </c>
      <c r="K72" s="3">
        <v>52.244999999999997</v>
      </c>
      <c r="L72" s="123">
        <v>45863.625</v>
      </c>
      <c r="M72" s="3">
        <v>39.965000000000003</v>
      </c>
    </row>
    <row r="73" spans="2:13" x14ac:dyDescent="0.3">
      <c r="J73" s="123">
        <v>45866.625</v>
      </c>
      <c r="K73" s="3">
        <v>51.534999999999997</v>
      </c>
      <c r="L73" s="123">
        <v>45866.625</v>
      </c>
      <c r="M73" s="3">
        <v>39.429000000000002</v>
      </c>
    </row>
    <row r="74" spans="2:13" x14ac:dyDescent="0.3">
      <c r="J74" s="123">
        <v>45867.625</v>
      </c>
      <c r="K74" s="3">
        <v>51.484999999999999</v>
      </c>
      <c r="L74" s="123">
        <v>45867.625</v>
      </c>
      <c r="M74" s="3">
        <v>39.277000000000001</v>
      </c>
    </row>
    <row r="75" spans="2:13" x14ac:dyDescent="0.3">
      <c r="J75" s="123">
        <v>45868.625</v>
      </c>
      <c r="K75" s="3">
        <v>51.128999999999998</v>
      </c>
      <c r="L75" s="123">
        <v>45868.625</v>
      </c>
      <c r="M75" s="3">
        <v>39.100999999999999</v>
      </c>
    </row>
    <row r="76" spans="2:13" x14ac:dyDescent="0.3">
      <c r="J76" s="123">
        <v>45869.625</v>
      </c>
      <c r="K76" s="3">
        <v>51.021000000000001</v>
      </c>
      <c r="L76" s="123">
        <v>45869.625</v>
      </c>
      <c r="M76" s="3">
        <v>39.020000000000003</v>
      </c>
    </row>
    <row r="77" spans="2:13" x14ac:dyDescent="0.3">
      <c r="J77" s="123">
        <v>45870.625</v>
      </c>
      <c r="K77" s="3">
        <v>53.116</v>
      </c>
      <c r="L77" s="123">
        <v>45870.625</v>
      </c>
      <c r="M77" s="3">
        <v>40.494999999999997</v>
      </c>
    </row>
    <row r="78" spans="2:13" x14ac:dyDescent="0.3">
      <c r="J78" s="123">
        <v>45873.625</v>
      </c>
      <c r="K78" s="3">
        <v>53.188000000000002</v>
      </c>
      <c r="L78" s="123">
        <v>45873.625</v>
      </c>
      <c r="M78" s="3">
        <v>40.552999999999997</v>
      </c>
    </row>
    <row r="79" spans="2:13" x14ac:dyDescent="0.3">
      <c r="J79" s="123">
        <v>45874.625</v>
      </c>
      <c r="K79" s="3">
        <v>53.186999999999998</v>
      </c>
      <c r="L79" s="123">
        <v>45874.625</v>
      </c>
      <c r="M79" s="3">
        <v>40.091000000000001</v>
      </c>
    </row>
    <row r="80" spans="2:13" x14ac:dyDescent="0.3">
      <c r="J80" s="123">
        <v>45875.625</v>
      </c>
      <c r="K80" s="3">
        <v>52.622</v>
      </c>
      <c r="L80" s="123">
        <v>45875.625</v>
      </c>
      <c r="M80" s="3">
        <v>39.817</v>
      </c>
    </row>
    <row r="81" spans="10:13" x14ac:dyDescent="0.3">
      <c r="J81" s="123">
        <v>45876.625</v>
      </c>
      <c r="K81" s="3">
        <v>52.198</v>
      </c>
      <c r="L81" s="123">
        <v>45876.625</v>
      </c>
      <c r="M81" s="3">
        <v>38.610999999999997</v>
      </c>
    </row>
    <row r="82" spans="10:13" x14ac:dyDescent="0.3">
      <c r="J82" s="123">
        <v>45877.625</v>
      </c>
      <c r="K82" s="3">
        <v>51.991999999999997</v>
      </c>
      <c r="L82" s="123">
        <v>45877.625</v>
      </c>
      <c r="M82" s="3">
        <v>38.204999999999998</v>
      </c>
    </row>
    <row r="83" spans="10:13" x14ac:dyDescent="0.3">
      <c r="J83" s="123">
        <v>45880.625</v>
      </c>
      <c r="K83" s="3">
        <v>51.926000000000002</v>
      </c>
      <c r="L83" s="123">
        <v>45880.625</v>
      </c>
      <c r="M83" s="3">
        <v>37.720999999999997</v>
      </c>
    </row>
    <row r="84" spans="10:13" x14ac:dyDescent="0.3">
      <c r="J84" s="123">
        <v>45881.625</v>
      </c>
      <c r="K84" s="3">
        <v>52.116</v>
      </c>
      <c r="L84" s="123">
        <v>45881.625</v>
      </c>
      <c r="M84" s="3">
        <v>37.566000000000003</v>
      </c>
    </row>
    <row r="85" spans="10:13" x14ac:dyDescent="0.3">
      <c r="J85" s="123">
        <v>45882.625</v>
      </c>
      <c r="K85" s="3">
        <v>51.146000000000001</v>
      </c>
      <c r="L85" s="123">
        <v>45882.625</v>
      </c>
      <c r="M85" s="3">
        <v>37.143000000000001</v>
      </c>
    </row>
    <row r="86" spans="10:13" x14ac:dyDescent="0.3">
      <c r="J86" s="123">
        <v>45883.625</v>
      </c>
      <c r="K86" s="3">
        <v>51.491</v>
      </c>
      <c r="L86" s="123">
        <v>45883.625</v>
      </c>
      <c r="M86" s="3">
        <v>36.136000000000003</v>
      </c>
    </row>
    <row r="87" spans="10:13" x14ac:dyDescent="0.3">
      <c r="J87" s="123">
        <v>45884.625</v>
      </c>
      <c r="K87" s="3">
        <v>51.177</v>
      </c>
      <c r="L87" s="123">
        <v>45884.625</v>
      </c>
      <c r="M87" s="3">
        <v>36.046999999999997</v>
      </c>
    </row>
    <row r="88" spans="10:13" x14ac:dyDescent="0.3">
      <c r="J88" s="123">
        <v>45887.625</v>
      </c>
      <c r="K88" s="3">
        <v>51.094000000000001</v>
      </c>
      <c r="L88" s="123">
        <v>45887.625</v>
      </c>
      <c r="M88" s="3">
        <v>35.988</v>
      </c>
    </row>
    <row r="89" spans="10:13" x14ac:dyDescent="0.3">
      <c r="J89" s="123">
        <v>45888.625</v>
      </c>
      <c r="K89" s="3">
        <v>51.646000000000001</v>
      </c>
      <c r="L89" s="123">
        <v>45888.625</v>
      </c>
      <c r="M89" s="3">
        <v>35.609000000000002</v>
      </c>
    </row>
    <row r="90" spans="10:13" x14ac:dyDescent="0.3">
      <c r="J90" s="123">
        <v>45889.625</v>
      </c>
      <c r="K90" s="3">
        <v>51.572000000000003</v>
      </c>
      <c r="L90" s="123">
        <v>45889.625</v>
      </c>
      <c r="M90" s="3">
        <v>35.808</v>
      </c>
    </row>
    <row r="91" spans="10:13" x14ac:dyDescent="0.3">
      <c r="J91" s="123">
        <v>45890.625</v>
      </c>
      <c r="K91" s="3">
        <v>52.003</v>
      </c>
      <c r="L91" s="123">
        <v>45890.625</v>
      </c>
      <c r="M91" s="3">
        <v>36.588999999999999</v>
      </c>
    </row>
    <row r="92" spans="10:13" x14ac:dyDescent="0.3">
      <c r="J92" s="123">
        <v>45891.625</v>
      </c>
      <c r="K92" s="3">
        <v>51.804000000000002</v>
      </c>
      <c r="L92" s="123">
        <v>45891.625</v>
      </c>
      <c r="M92" s="3">
        <v>36.652000000000001</v>
      </c>
    </row>
    <row r="93" spans="10:13" x14ac:dyDescent="0.3">
      <c r="J93" s="123">
        <v>45894.625</v>
      </c>
      <c r="K93" s="3">
        <v>50.963000000000001</v>
      </c>
      <c r="L93" s="123">
        <v>45894.625</v>
      </c>
      <c r="M93" s="3">
        <v>36.311999999999998</v>
      </c>
    </row>
    <row r="94" spans="10:13" x14ac:dyDescent="0.3">
      <c r="J94" s="123">
        <v>45895.625</v>
      </c>
      <c r="K94" s="3">
        <v>52.515999999999998</v>
      </c>
      <c r="L94" s="123">
        <v>45895.625</v>
      </c>
      <c r="M94" s="3">
        <v>36.866999999999997</v>
      </c>
    </row>
    <row r="95" spans="10:13" x14ac:dyDescent="0.3">
      <c r="J95" s="123">
        <v>45896.625</v>
      </c>
      <c r="K95" s="3">
        <v>52.853000000000002</v>
      </c>
      <c r="L95" s="123">
        <v>45896.625</v>
      </c>
      <c r="M95" s="3">
        <v>38.023000000000003</v>
      </c>
    </row>
    <row r="96" spans="10:13" x14ac:dyDescent="0.3">
      <c r="J96" s="123">
        <v>45897.625</v>
      </c>
      <c r="K96" s="3">
        <v>53.463000000000001</v>
      </c>
      <c r="L96" s="123">
        <v>45897.625</v>
      </c>
      <c r="M96" s="3">
        <v>39.009</v>
      </c>
    </row>
    <row r="97" spans="10:13" x14ac:dyDescent="0.3">
      <c r="J97" s="123">
        <v>45898.625</v>
      </c>
      <c r="K97" s="3">
        <v>53.823</v>
      </c>
      <c r="L97" s="123">
        <v>45898.625</v>
      </c>
      <c r="M97" s="3">
        <v>39.082999999999998</v>
      </c>
    </row>
    <row r="98" spans="10:13" x14ac:dyDescent="0.3">
      <c r="J98" s="123">
        <v>45901.625</v>
      </c>
      <c r="K98" s="3">
        <v>54.084000000000003</v>
      </c>
      <c r="L98" s="123">
        <v>45901.625</v>
      </c>
      <c r="M98" s="3">
        <v>39.572000000000003</v>
      </c>
    </row>
    <row r="99" spans="10:13" x14ac:dyDescent="0.3">
      <c r="J99" s="123">
        <v>45902.625</v>
      </c>
      <c r="K99" s="3">
        <v>54.981000000000002</v>
      </c>
      <c r="L99" s="123">
        <v>45902.625</v>
      </c>
      <c r="M99" s="3">
        <v>40.35</v>
      </c>
    </row>
    <row r="100" spans="10:13" x14ac:dyDescent="0.3">
      <c r="J100" s="123">
        <v>45903.625</v>
      </c>
      <c r="K100" s="3">
        <v>55.804000000000002</v>
      </c>
      <c r="L100" s="123">
        <v>45903.625</v>
      </c>
      <c r="M100" s="3">
        <v>39.996000000000002</v>
      </c>
    </row>
    <row r="101" spans="10:13" x14ac:dyDescent="0.3">
      <c r="J101" s="123">
        <v>45904.625</v>
      </c>
      <c r="K101" s="3">
        <v>55.631</v>
      </c>
      <c r="L101" s="123">
        <v>45904.625</v>
      </c>
      <c r="M101" s="3">
        <v>38.920999999999999</v>
      </c>
    </row>
    <row r="102" spans="10:13" x14ac:dyDescent="0.3">
      <c r="J102" s="123">
        <v>45905.625</v>
      </c>
      <c r="K102" s="3">
        <v>55.226999999999997</v>
      </c>
      <c r="L102" s="123">
        <v>45905.625</v>
      </c>
      <c r="M102" s="3">
        <v>38.055999999999997</v>
      </c>
    </row>
    <row r="103" spans="10:13" x14ac:dyDescent="0.3">
      <c r="J103" s="123">
        <v>45908.625</v>
      </c>
      <c r="K103" s="3">
        <v>54.622999999999998</v>
      </c>
      <c r="L103" s="123">
        <v>45908.625</v>
      </c>
      <c r="M103" s="3">
        <v>38.365000000000002</v>
      </c>
    </row>
    <row r="104" spans="10:13" x14ac:dyDescent="0.3">
      <c r="J104" s="123">
        <v>45909.625</v>
      </c>
      <c r="K104" s="3">
        <v>54.384999999999998</v>
      </c>
      <c r="L104" s="123">
        <v>45909.625</v>
      </c>
      <c r="M104" s="3">
        <v>37.978999999999999</v>
      </c>
    </row>
    <row r="105" spans="10:13" x14ac:dyDescent="0.3">
      <c r="J105" s="123">
        <v>45910.625</v>
      </c>
      <c r="K105" s="3">
        <v>53.143999999999998</v>
      </c>
      <c r="L105" s="123">
        <v>45910.625</v>
      </c>
      <c r="M105" s="3">
        <v>37.517000000000003</v>
      </c>
    </row>
    <row r="106" spans="10:13" x14ac:dyDescent="0.3">
      <c r="J106" s="123">
        <v>45911.625</v>
      </c>
      <c r="K106" s="3">
        <v>52.847999999999999</v>
      </c>
      <c r="L106" s="123">
        <v>45911.625</v>
      </c>
      <c r="M106" s="3">
        <v>36.485999999999997</v>
      </c>
    </row>
    <row r="107" spans="10:13" x14ac:dyDescent="0.3">
      <c r="J107" s="123">
        <v>45912.625</v>
      </c>
      <c r="K107" s="3">
        <v>51.688000000000002</v>
      </c>
      <c r="L107" s="123">
        <v>45912.625</v>
      </c>
      <c r="M107" s="3">
        <v>36.246000000000002</v>
      </c>
    </row>
    <row r="108" spans="10:13" x14ac:dyDescent="0.3">
      <c r="J108" s="123">
        <v>45915.625</v>
      </c>
      <c r="K108" s="3">
        <v>51.258000000000003</v>
      </c>
      <c r="L108" s="123">
        <v>45915.625</v>
      </c>
      <c r="M108" s="3">
        <v>36.031999999999996</v>
      </c>
    </row>
    <row r="109" spans="10:13" x14ac:dyDescent="0.3">
      <c r="J109" s="123">
        <v>45916.625</v>
      </c>
      <c r="K109" s="3">
        <v>51.31</v>
      </c>
      <c r="L109" s="123">
        <v>45916.625</v>
      </c>
      <c r="M109" s="3">
        <v>35.906999999999996</v>
      </c>
    </row>
    <row r="110" spans="10:13" x14ac:dyDescent="0.3">
      <c r="J110" s="123">
        <v>45917.625</v>
      </c>
      <c r="K110" s="3">
        <v>51.664000000000001</v>
      </c>
      <c r="L110" s="123">
        <v>45917.625</v>
      </c>
      <c r="M110" s="3">
        <v>36.252000000000002</v>
      </c>
    </row>
    <row r="111" spans="10:13" x14ac:dyDescent="0.3">
      <c r="J111" s="123">
        <v>45918.625</v>
      </c>
      <c r="K111" s="3">
        <v>51.064999999999998</v>
      </c>
      <c r="L111" s="123">
        <v>45918.625</v>
      </c>
      <c r="M111" s="3">
        <v>35.774000000000001</v>
      </c>
    </row>
    <row r="112" spans="10:13" x14ac:dyDescent="0.3">
      <c r="J112" s="123">
        <v>45919.625</v>
      </c>
      <c r="K112" s="3">
        <v>51.167000000000002</v>
      </c>
      <c r="L112" s="123">
        <v>45919.625</v>
      </c>
      <c r="M112" s="3">
        <v>35.689</v>
      </c>
    </row>
    <row r="113" spans="10:13" x14ac:dyDescent="0.3">
      <c r="J113" s="123">
        <v>45922.625</v>
      </c>
      <c r="K113" s="3">
        <v>56.96</v>
      </c>
      <c r="L113" s="123">
        <v>45922.625</v>
      </c>
      <c r="M113" s="3">
        <v>39.006999999999998</v>
      </c>
    </row>
    <row r="114" spans="10:13" x14ac:dyDescent="0.3">
      <c r="J114" s="123">
        <v>45923.625</v>
      </c>
      <c r="K114" s="3">
        <v>57.104999999999997</v>
      </c>
      <c r="L114" s="123">
        <v>45923.625</v>
      </c>
      <c r="M114" s="3">
        <v>39.052999999999997</v>
      </c>
    </row>
    <row r="115" spans="10:13" x14ac:dyDescent="0.3">
      <c r="J115" s="123">
        <v>45924.625</v>
      </c>
      <c r="K115" s="3">
        <v>57.107999999999997</v>
      </c>
      <c r="L115" s="123">
        <v>45924.625</v>
      </c>
      <c r="M115" s="3">
        <v>39.125999999999998</v>
      </c>
    </row>
    <row r="116" spans="10:13" x14ac:dyDescent="0.3">
      <c r="J116" s="123">
        <v>45925.625</v>
      </c>
      <c r="K116" s="3">
        <v>57.837000000000003</v>
      </c>
      <c r="L116" s="123">
        <v>45925.625</v>
      </c>
      <c r="M116" s="3">
        <v>39.826000000000001</v>
      </c>
    </row>
    <row r="117" spans="10:13" x14ac:dyDescent="0.3">
      <c r="J117" s="123">
        <v>45926.625</v>
      </c>
      <c r="K117" s="3">
        <v>58.136000000000003</v>
      </c>
      <c r="L117" s="123">
        <v>45926.625</v>
      </c>
      <c r="M117" s="3">
        <v>40.026000000000003</v>
      </c>
    </row>
    <row r="118" spans="10:13" x14ac:dyDescent="0.3">
      <c r="J118" s="123">
        <v>45929.625</v>
      </c>
      <c r="K118" s="3">
        <v>57.792000000000002</v>
      </c>
      <c r="L118" s="123">
        <v>45929.625</v>
      </c>
      <c r="M118" s="3">
        <v>39.997</v>
      </c>
    </row>
    <row r="119" spans="10:13" x14ac:dyDescent="0.3">
      <c r="J119" s="123">
        <v>45930.625</v>
      </c>
      <c r="K119" s="3">
        <v>57.51</v>
      </c>
      <c r="L119" s="123">
        <v>45930.625</v>
      </c>
      <c r="M119" s="3">
        <v>40.194000000000003</v>
      </c>
    </row>
    <row r="120" spans="10:13" x14ac:dyDescent="0.3">
      <c r="J120" s="123">
        <v>45931.625</v>
      </c>
      <c r="K120" s="3">
        <v>57.616</v>
      </c>
      <c r="L120" s="123">
        <v>45931.625</v>
      </c>
      <c r="M120" s="3">
        <v>40.406999999999996</v>
      </c>
    </row>
    <row r="121" spans="10:13" x14ac:dyDescent="0.3">
      <c r="J121" s="123">
        <v>45932.625</v>
      </c>
      <c r="K121" s="3">
        <v>57.011000000000003</v>
      </c>
      <c r="L121" s="123">
        <v>45932.625</v>
      </c>
      <c r="M121" s="3">
        <v>39.887</v>
      </c>
    </row>
    <row r="122" spans="10:13" x14ac:dyDescent="0.3">
      <c r="J122" s="123">
        <v>45933.625</v>
      </c>
      <c r="K122" s="3">
        <v>56.552</v>
      </c>
      <c r="L122" s="123">
        <v>45933.625</v>
      </c>
      <c r="M122" s="3">
        <v>39.756999999999998</v>
      </c>
    </row>
    <row r="123" spans="10:13" x14ac:dyDescent="0.3">
      <c r="J123" s="123">
        <v>45936.625</v>
      </c>
      <c r="K123" s="3">
        <v>57.633000000000003</v>
      </c>
      <c r="L123" s="123">
        <v>45936.625</v>
      </c>
      <c r="M123" s="3">
        <v>40.533999999999999</v>
      </c>
    </row>
    <row r="124" spans="10:13" x14ac:dyDescent="0.3">
      <c r="J124" s="123">
        <v>45937.625</v>
      </c>
      <c r="K124" s="3">
        <v>57.856000000000002</v>
      </c>
      <c r="L124" s="123">
        <v>45937.625</v>
      </c>
      <c r="M124" s="3">
        <v>40.628</v>
      </c>
    </row>
    <row r="125" spans="10:13" x14ac:dyDescent="0.3">
      <c r="J125" s="123">
        <v>45938.625</v>
      </c>
      <c r="K125" s="3">
        <v>57.947000000000003</v>
      </c>
      <c r="L125" s="123">
        <v>45938.625</v>
      </c>
      <c r="M125" s="3">
        <v>40.613999999999997</v>
      </c>
    </row>
    <row r="126" spans="10:13" x14ac:dyDescent="0.3">
      <c r="J126" s="123">
        <v>45939.625</v>
      </c>
      <c r="K126" s="3">
        <v>58.323999999999998</v>
      </c>
      <c r="L126" s="123">
        <v>45939.625</v>
      </c>
      <c r="M126" s="3">
        <v>40.503999999999998</v>
      </c>
    </row>
    <row r="127" spans="10:13" x14ac:dyDescent="0.3">
      <c r="J127" s="123">
        <v>45940.625</v>
      </c>
      <c r="K127" s="3">
        <v>58.451999999999998</v>
      </c>
      <c r="L127" s="123">
        <v>45940.625</v>
      </c>
      <c r="M127" s="3">
        <v>41.215000000000003</v>
      </c>
    </row>
    <row r="128" spans="10:13" x14ac:dyDescent="0.3">
      <c r="J128" s="123">
        <v>45943.625</v>
      </c>
      <c r="K128" s="3">
        <v>59.344000000000001</v>
      </c>
      <c r="L128" s="123">
        <v>45943.625</v>
      </c>
      <c r="M128" s="3">
        <v>42.545000000000002</v>
      </c>
    </row>
    <row r="129" spans="10:13" x14ac:dyDescent="0.3">
      <c r="J129" s="123">
        <v>45944.625</v>
      </c>
      <c r="K129" s="3">
        <v>60.168999999999997</v>
      </c>
      <c r="L129" s="123">
        <v>45944.625</v>
      </c>
      <c r="M129" s="3">
        <v>42.634</v>
      </c>
    </row>
    <row r="130" spans="10:13" x14ac:dyDescent="0.3">
      <c r="J130" s="123">
        <v>45945.625</v>
      </c>
      <c r="K130" s="3">
        <v>58.076000000000001</v>
      </c>
      <c r="L130" s="123">
        <v>45945.625</v>
      </c>
      <c r="M130" s="3">
        <v>40.781999999999996</v>
      </c>
    </row>
    <row r="131" spans="10:13" x14ac:dyDescent="0.3">
      <c r="J131" s="123">
        <v>45946.625</v>
      </c>
      <c r="K131" s="3">
        <v>57.722999999999999</v>
      </c>
      <c r="L131" s="123">
        <v>45946.625</v>
      </c>
      <c r="M131" s="3">
        <v>40.509</v>
      </c>
    </row>
    <row r="132" spans="10:13" x14ac:dyDescent="0.3">
      <c r="J132" s="123">
        <v>45947.625</v>
      </c>
      <c r="K132" s="3">
        <v>60.207000000000001</v>
      </c>
      <c r="L132" s="123">
        <v>45947.625</v>
      </c>
      <c r="M132" s="3">
        <v>42.573</v>
      </c>
    </row>
    <row r="133" spans="10:13" x14ac:dyDescent="0.3">
      <c r="J133" s="123">
        <v>45950.625</v>
      </c>
      <c r="K133" s="3">
        <v>58.981999999999999</v>
      </c>
      <c r="L133" s="123">
        <v>45950.625</v>
      </c>
      <c r="M133" s="3">
        <v>42.24</v>
      </c>
    </row>
    <row r="134" spans="10:13" x14ac:dyDescent="0.3">
      <c r="J134" s="123">
        <v>45951.625</v>
      </c>
      <c r="K134" s="3">
        <v>58.771999999999998</v>
      </c>
      <c r="L134" s="123">
        <v>45951.625</v>
      </c>
      <c r="M134" s="3">
        <v>41.517000000000003</v>
      </c>
    </row>
    <row r="135" spans="10:13" x14ac:dyDescent="0.3">
      <c r="J135" s="123">
        <v>45952.625</v>
      </c>
      <c r="K135" s="3">
        <v>58.664999999999999</v>
      </c>
      <c r="L135" s="123">
        <v>45952.625</v>
      </c>
      <c r="M135" s="3">
        <v>41.39</v>
      </c>
    </row>
    <row r="136" spans="10:13" x14ac:dyDescent="0.3">
      <c r="J136" s="123">
        <v>45953.625</v>
      </c>
      <c r="K136" s="3">
        <v>58.655000000000001</v>
      </c>
      <c r="L136" s="123">
        <v>45953.625</v>
      </c>
      <c r="M136" s="3">
        <v>41.453000000000003</v>
      </c>
    </row>
    <row r="137" spans="10:13" x14ac:dyDescent="0.3">
      <c r="J137" s="123">
        <v>45954.625</v>
      </c>
      <c r="K137" s="3">
        <v>57.911000000000001</v>
      </c>
      <c r="L137" s="123">
        <v>45954.625</v>
      </c>
      <c r="M137" s="3">
        <v>40.942</v>
      </c>
    </row>
    <row r="138" spans="10:13" x14ac:dyDescent="0.3">
      <c r="J138" s="123">
        <v>45957.625</v>
      </c>
      <c r="K138" s="3">
        <v>57.506999999999998</v>
      </c>
      <c r="L138" s="123">
        <v>45957.625</v>
      </c>
      <c r="M138" s="3">
        <v>40.350999999999999</v>
      </c>
    </row>
    <row r="139" spans="10:13" x14ac:dyDescent="0.3">
      <c r="J139" s="123">
        <v>45958.625</v>
      </c>
      <c r="K139" s="3">
        <v>56.545000000000002</v>
      </c>
      <c r="L139" s="123">
        <v>45958.625</v>
      </c>
      <c r="M139" s="3">
        <v>39.662999999999997</v>
      </c>
    </row>
    <row r="140" spans="10:13" x14ac:dyDescent="0.3">
      <c r="J140" s="123">
        <v>45959.625</v>
      </c>
      <c r="K140" s="3">
        <v>56.097000000000001</v>
      </c>
      <c r="L140" s="123">
        <v>45959.625</v>
      </c>
      <c r="M140" s="3">
        <v>39.744999999999997</v>
      </c>
    </row>
    <row r="141" spans="10:13" x14ac:dyDescent="0.3">
      <c r="J141" s="123">
        <v>45960.625</v>
      </c>
      <c r="K141" s="3">
        <v>56.645000000000003</v>
      </c>
      <c r="L141" s="123">
        <v>45960.625</v>
      </c>
      <c r="M141" s="3">
        <v>40.064</v>
      </c>
    </row>
    <row r="142" spans="10:13" x14ac:dyDescent="0.3">
      <c r="J142" s="123">
        <v>45961.625</v>
      </c>
      <c r="K142" s="3">
        <v>56.57</v>
      </c>
      <c r="L142" s="123">
        <v>45961.625</v>
      </c>
      <c r="M142" s="3">
        <v>39.96</v>
      </c>
    </row>
    <row r="143" spans="10:13" x14ac:dyDescent="0.3">
      <c r="J143" s="123">
        <v>45964.625</v>
      </c>
      <c r="K143" s="3">
        <v>57.293999999999997</v>
      </c>
      <c r="L143" s="123">
        <v>45964.625</v>
      </c>
      <c r="M143" s="3">
        <v>40.292999999999999</v>
      </c>
    </row>
    <row r="144" spans="10:13" x14ac:dyDescent="0.3">
      <c r="J144" s="123"/>
      <c r="L144" s="123"/>
    </row>
    <row r="145" spans="10:12" x14ac:dyDescent="0.3">
      <c r="J145" s="123"/>
      <c r="L145" s="123"/>
    </row>
    <row r="146" spans="10:12" x14ac:dyDescent="0.3">
      <c r="J146" s="123"/>
      <c r="L146" s="123"/>
    </row>
    <row r="147" spans="10:12" x14ac:dyDescent="0.3">
      <c r="J147" s="123"/>
      <c r="L147" s="123"/>
    </row>
    <row r="148" spans="10:12" x14ac:dyDescent="0.3">
      <c r="J148" s="123"/>
      <c r="L148" s="123"/>
    </row>
    <row r="149" spans="10:12" x14ac:dyDescent="0.3">
      <c r="J149" s="123"/>
      <c r="L149" s="123"/>
    </row>
    <row r="150" spans="10:12" x14ac:dyDescent="0.3">
      <c r="J150" s="123"/>
      <c r="L150" s="123"/>
    </row>
    <row r="151" spans="10:12" x14ac:dyDescent="0.3">
      <c r="J151" s="123"/>
      <c r="L151" s="123"/>
    </row>
    <row r="152" spans="10:12" x14ac:dyDescent="0.3">
      <c r="J152" s="123"/>
      <c r="L152" s="123"/>
    </row>
    <row r="153" spans="10:12" x14ac:dyDescent="0.3">
      <c r="J153" s="123"/>
      <c r="L153" s="123"/>
    </row>
    <row r="154" spans="10:12" x14ac:dyDescent="0.3">
      <c r="J154" s="123"/>
      <c r="L154" s="123"/>
    </row>
    <row r="155" spans="10:12" x14ac:dyDescent="0.3">
      <c r="J155" s="123"/>
      <c r="L155" s="123"/>
    </row>
  </sheetData>
  <mergeCells count="2">
    <mergeCell ref="B12:D12"/>
    <mergeCell ref="E12:G12"/>
  </mergeCells>
  <conditionalFormatting sqref="M1:M7 H8:H1048576">
    <cfRule type="cellIs" dxfId="16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07A-A306-493C-9741-6E1F9D9D790F}">
  <dimension ref="A1:M143"/>
  <sheetViews>
    <sheetView topLeftCell="D16" zoomScale="80" zoomScaleNormal="80" workbookViewId="0">
      <selection activeCell="A38" sqref="A38:A44"/>
    </sheetView>
  </sheetViews>
  <sheetFormatPr defaultColWidth="8.88671875" defaultRowHeight="14.4" x14ac:dyDescent="0.3"/>
  <cols>
    <col min="1" max="1" width="15.44140625" style="3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hidden="1" customWidth="1"/>
    <col min="11" max="11" width="10.33203125" style="59" hidden="1" customWidth="1"/>
    <col min="12" max="12" width="12.33203125" style="3" hidden="1" customWidth="1"/>
    <col min="13" max="13" width="8.88671875" style="59" hidden="1" customWidth="1"/>
    <col min="14" max="16384" width="8.88671875" style="3"/>
  </cols>
  <sheetData>
    <row r="1" spans="1:13" ht="15" thickBot="1" x14ac:dyDescent="0.35">
      <c r="A1" s="1"/>
      <c r="B1" s="1"/>
      <c r="C1" s="1"/>
      <c r="D1" s="1"/>
      <c r="I1" s="1"/>
      <c r="J1" s="53"/>
      <c r="L1" s="1"/>
      <c r="M1" s="46"/>
    </row>
    <row r="2" spans="1:13" ht="15" thickBot="1" x14ac:dyDescent="0.35">
      <c r="A2" s="30"/>
      <c r="B2" s="40" t="s">
        <v>0</v>
      </c>
      <c r="C2" s="28" t="s">
        <v>1</v>
      </c>
      <c r="E2" s="124" t="s">
        <v>101</v>
      </c>
      <c r="F2" s="125">
        <v>0.625</v>
      </c>
      <c r="J2" s="27" t="s">
        <v>0</v>
      </c>
      <c r="K2" s="46"/>
      <c r="L2" s="28" t="s">
        <v>1</v>
      </c>
      <c r="M2" s="46"/>
    </row>
    <row r="3" spans="1:13" x14ac:dyDescent="0.3">
      <c r="A3" s="15" t="s">
        <v>32</v>
      </c>
      <c r="B3" s="61" t="s">
        <v>40</v>
      </c>
      <c r="C3" s="62" t="s">
        <v>41</v>
      </c>
      <c r="J3" s="123" cm="1">
        <f t="array" ref="J3:K137">_xll.BDH(B4, "LAST_PRICE", "01/01/2025 15:00:00", "01/01/2035 16:00:00", "BarSize=60", "BarType=T", "RecurDaily=True", "TZ=London")</f>
        <v>45768.625</v>
      </c>
      <c r="K3" s="46">
        <v>88.53</v>
      </c>
      <c r="L3" s="123" cm="1">
        <f t="array" ref="L3:M75">_xll.BDH(C4, "LAST_PRICE", "01/01/2025 15:00:00", "01/01/2035 16:00:00", "BarSize=60", "BarType=T", "RecurDaily=True", "TZ=London")</f>
        <v>45859.625</v>
      </c>
      <c r="M3" s="46">
        <v>101.462</v>
      </c>
    </row>
    <row r="4" spans="1:13" ht="32.25" customHeight="1" x14ac:dyDescent="0.3">
      <c r="A4" s="15" t="s">
        <v>33</v>
      </c>
      <c r="B4" s="63" t="s">
        <v>42</v>
      </c>
      <c r="C4" s="42" t="s">
        <v>43</v>
      </c>
      <c r="I4" s="1"/>
      <c r="J4" s="127">
        <v>45769.625</v>
      </c>
      <c r="K4" s="46">
        <v>88.399000000000001</v>
      </c>
      <c r="L4" s="127">
        <v>45860.625</v>
      </c>
      <c r="M4" s="46">
        <v>101.461</v>
      </c>
    </row>
    <row r="5" spans="1:13" x14ac:dyDescent="0.3">
      <c r="A5" s="15" t="s">
        <v>8</v>
      </c>
      <c r="B5" s="64">
        <f>18*10^6</f>
        <v>18000000</v>
      </c>
      <c r="C5" s="8">
        <f>10*10^6</f>
        <v>10000000</v>
      </c>
      <c r="I5" s="1"/>
      <c r="J5" s="127">
        <v>45770.625</v>
      </c>
      <c r="K5" s="46">
        <v>89.498999999999995</v>
      </c>
      <c r="L5" s="127">
        <v>45861.625</v>
      </c>
      <c r="M5" s="46">
        <v>101.749</v>
      </c>
    </row>
    <row r="6" spans="1:13" x14ac:dyDescent="0.3">
      <c r="A6" s="15" t="s">
        <v>10</v>
      </c>
      <c r="B6" s="65">
        <v>4.3749999999999997E-2</v>
      </c>
      <c r="C6" s="60">
        <v>7.6249999999999998E-2</v>
      </c>
      <c r="I6" s="1"/>
      <c r="J6" s="127">
        <v>45771.625</v>
      </c>
      <c r="K6" s="46">
        <v>89.617000000000004</v>
      </c>
      <c r="L6" s="127">
        <v>45862.625</v>
      </c>
      <c r="M6" s="46">
        <v>101.851</v>
      </c>
    </row>
    <row r="7" spans="1:13" x14ac:dyDescent="0.3">
      <c r="A7" s="15" t="s">
        <v>12</v>
      </c>
      <c r="B7" s="66">
        <v>4.2299999999999997E-2</v>
      </c>
      <c r="C7" s="10">
        <v>4.2299999999999997E-2</v>
      </c>
      <c r="I7" s="1"/>
      <c r="J7" s="127">
        <v>45772.625</v>
      </c>
      <c r="K7" s="46">
        <v>89.903000000000006</v>
      </c>
      <c r="L7" s="127">
        <v>45863.625</v>
      </c>
      <c r="M7" s="46">
        <v>101.883</v>
      </c>
    </row>
    <row r="8" spans="1:13" x14ac:dyDescent="0.3">
      <c r="A8" s="15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23">
        <v>45775.625</v>
      </c>
      <c r="K8" s="59">
        <v>90.022999999999996</v>
      </c>
      <c r="L8" s="123">
        <v>45866.625</v>
      </c>
      <c r="M8" s="59">
        <v>102.01300000000001</v>
      </c>
    </row>
    <row r="9" spans="1:13" x14ac:dyDescent="0.3">
      <c r="A9" s="15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23">
        <v>45776.625</v>
      </c>
      <c r="K9" s="59">
        <v>89.804000000000002</v>
      </c>
      <c r="L9" s="123">
        <v>45867.625</v>
      </c>
      <c r="M9" s="59">
        <v>102.40600000000001</v>
      </c>
    </row>
    <row r="10" spans="1:13" ht="15" thickBot="1" x14ac:dyDescent="0.35">
      <c r="A10" s="16" t="s">
        <v>28</v>
      </c>
      <c r="B10" s="11" cm="1">
        <f t="array" ref="B10">_xll.BDP(B4,"px_last")</f>
        <v>95.506</v>
      </c>
      <c r="C10" s="22" cm="1">
        <f t="array" ref="C10">_xll.BDP(C4,"px_last")</f>
        <v>105.786</v>
      </c>
      <c r="E10" s="1"/>
      <c r="F10" s="1"/>
      <c r="G10" s="1"/>
      <c r="H10" s="1"/>
      <c r="I10" s="1"/>
      <c r="J10" s="123">
        <v>45777.625</v>
      </c>
      <c r="K10" s="59">
        <v>89.712999999999994</v>
      </c>
      <c r="L10" s="123">
        <v>45868.625</v>
      </c>
      <c r="M10" s="59">
        <v>102.268</v>
      </c>
    </row>
    <row r="11" spans="1:13" ht="15" thickBot="1" x14ac:dyDescent="0.35">
      <c r="C11" s="1"/>
      <c r="D11" s="1"/>
      <c r="E11" s="1"/>
      <c r="F11" s="1"/>
      <c r="G11" s="1"/>
      <c r="H11" s="1"/>
      <c r="I11" s="1"/>
      <c r="J11" s="123">
        <v>45778.625</v>
      </c>
      <c r="K11" s="59">
        <v>89.786000000000001</v>
      </c>
      <c r="L11" s="123">
        <v>45869.625</v>
      </c>
      <c r="M11" s="59">
        <v>102.7</v>
      </c>
    </row>
    <row r="12" spans="1:13" ht="15" thickBot="1" x14ac:dyDescent="0.35">
      <c r="A12" s="39" t="s">
        <v>22</v>
      </c>
      <c r="B12" s="169" t="s">
        <v>0</v>
      </c>
      <c r="C12" s="170"/>
      <c r="D12" s="171"/>
      <c r="E12" s="172" t="s">
        <v>1</v>
      </c>
      <c r="F12" s="173"/>
      <c r="G12" s="174"/>
      <c r="H12" s="39" t="s">
        <v>16</v>
      </c>
      <c r="I12" s="1"/>
      <c r="J12" s="123">
        <v>45779.625</v>
      </c>
      <c r="K12" s="59">
        <v>90.061000000000007</v>
      </c>
      <c r="L12" s="123">
        <v>45870.625</v>
      </c>
      <c r="M12" s="59">
        <v>102.351</v>
      </c>
    </row>
    <row r="13" spans="1:13" ht="15" thickBot="1" x14ac:dyDescent="0.35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6"/>
      <c r="I13" s="1"/>
      <c r="J13" s="123">
        <v>45782.625</v>
      </c>
      <c r="K13" s="59">
        <v>90.048000000000002</v>
      </c>
      <c r="L13" s="123">
        <v>45873.625</v>
      </c>
      <c r="M13" s="59">
        <v>102.357</v>
      </c>
    </row>
    <row r="14" spans="1:13" x14ac:dyDescent="0.3">
      <c r="A14" s="36">
        <v>45930</v>
      </c>
      <c r="B14" s="45">
        <v>94.875</v>
      </c>
      <c r="C14" s="46"/>
      <c r="D14" s="47"/>
      <c r="E14" s="4">
        <v>105.75</v>
      </c>
      <c r="F14" s="1"/>
      <c r="G14" s="5"/>
      <c r="H14" s="78">
        <v>0</v>
      </c>
      <c r="I14" s="1"/>
      <c r="J14" s="123">
        <v>45783.625</v>
      </c>
      <c r="K14" s="59">
        <v>90.156000000000006</v>
      </c>
      <c r="L14" s="123">
        <v>45874.625</v>
      </c>
      <c r="M14" s="59">
        <v>102.56</v>
      </c>
    </row>
    <row r="15" spans="1:13" x14ac:dyDescent="0.3">
      <c r="A15" s="36">
        <v>45931</v>
      </c>
      <c r="B15" s="45">
        <f t="shared" ref="B15:B36" si="0">VLOOKUP(A15+$F$2,J:K,2)</f>
        <v>94.775999999999996</v>
      </c>
      <c r="C15" s="31">
        <f t="shared" ref="C15" si="1">(B15-$B$14)/100*$B$5</f>
        <v>-17820.000000000677</v>
      </c>
      <c r="D15" s="32">
        <f t="shared" ref="D15" si="2">(A15-$A$14)/360*$B$6*$B$5-(A15-$A$14)/360*$B$7*$B$5*$B$14/100</f>
        <v>180.89374999999995</v>
      </c>
      <c r="E15" s="4">
        <f t="shared" ref="E15:E36" si="3">VLOOKUP(A15+$F$2,L:M,2)</f>
        <v>105.97199999999999</v>
      </c>
      <c r="F15" s="31">
        <f t="shared" ref="F15" si="4">(E15-$E$14)/100*$C$5</f>
        <v>22199.999999999422</v>
      </c>
      <c r="G15" s="32">
        <f t="shared" ref="G15" si="5">(A15-$A$14)/360*$C$6*$C$5-(A15-$A$14)/360*$C$7*$C$5*$E$14/100</f>
        <v>875.49305555555566</v>
      </c>
      <c r="H15" s="79">
        <f t="shared" ref="H15:H20" si="6">C15+D15-F15-G15</f>
        <v>-40714.599305555654</v>
      </c>
      <c r="I15" s="1"/>
      <c r="J15" s="123">
        <v>45784.625</v>
      </c>
      <c r="K15" s="59">
        <v>90.430999999999997</v>
      </c>
      <c r="L15" s="123">
        <v>45875.625</v>
      </c>
      <c r="M15" s="59">
        <v>102.556</v>
      </c>
    </row>
    <row r="16" spans="1:13" x14ac:dyDescent="0.3">
      <c r="A16" s="36">
        <v>45932</v>
      </c>
      <c r="B16" s="45">
        <f t="shared" si="0"/>
        <v>94.875</v>
      </c>
      <c r="C16" s="31">
        <f t="shared" ref="C16:C32" si="7">(B16-$B$14)/100*$B$5</f>
        <v>0</v>
      </c>
      <c r="D16" s="32">
        <f t="shared" ref="D16:D32" si="8">(A16-$A$14)/360*$B$6*$B$5-(A16-$A$14)/360*$B$7*$B$5*$B$14/100</f>
        <v>361.78749999999991</v>
      </c>
      <c r="E16" s="4">
        <f t="shared" si="3"/>
        <v>106.182</v>
      </c>
      <c r="F16" s="31">
        <f t="shared" ref="F16:F32" si="9">(E16-$E$14)/100*$C$5</f>
        <v>43200.000000000218</v>
      </c>
      <c r="G16" s="32">
        <f t="shared" ref="G16:G32" si="10">(A16-$A$14)/360*$C$6*$C$5-(A16-$A$14)/360*$C$7*$C$5*$E$14/100</f>
        <v>1750.9861111111113</v>
      </c>
      <c r="H16" s="79">
        <f t="shared" si="6"/>
        <v>-44589.198611111329</v>
      </c>
      <c r="I16" s="1"/>
      <c r="J16" s="123">
        <v>45785.625</v>
      </c>
      <c r="K16" s="59">
        <v>90.667000000000002</v>
      </c>
      <c r="L16" s="123">
        <v>45876.625</v>
      </c>
      <c r="M16" s="59">
        <v>102.75700000000001</v>
      </c>
    </row>
    <row r="17" spans="1:13" x14ac:dyDescent="0.3">
      <c r="A17" s="36">
        <v>45933</v>
      </c>
      <c r="B17" s="45">
        <f t="shared" si="0"/>
        <v>94.998000000000005</v>
      </c>
      <c r="C17" s="31">
        <f t="shared" si="7"/>
        <v>22140.00000000084</v>
      </c>
      <c r="D17" s="32">
        <f t="shared" si="8"/>
        <v>542.68125000000055</v>
      </c>
      <c r="E17" s="4">
        <f t="shared" si="3"/>
        <v>106.56399999999999</v>
      </c>
      <c r="F17" s="31">
        <f t="shared" si="9"/>
        <v>81399.999999999302</v>
      </c>
      <c r="G17" s="32">
        <f t="shared" si="10"/>
        <v>2626.4791666666665</v>
      </c>
      <c r="H17" s="79">
        <f t="shared" si="6"/>
        <v>-61343.797916665128</v>
      </c>
      <c r="I17" s="1"/>
      <c r="J17" s="123">
        <v>45786.625</v>
      </c>
      <c r="K17" s="59">
        <v>91.271000000000001</v>
      </c>
      <c r="L17" s="123">
        <v>45877.625</v>
      </c>
      <c r="M17" s="59">
        <v>103.453</v>
      </c>
    </row>
    <row r="18" spans="1:13" x14ac:dyDescent="0.3">
      <c r="A18" s="36">
        <v>45936</v>
      </c>
      <c r="B18" s="45">
        <f t="shared" si="0"/>
        <v>94.927999999999997</v>
      </c>
      <c r="C18" s="31">
        <f t="shared" si="7"/>
        <v>9539.9999999995107</v>
      </c>
      <c r="D18" s="32">
        <f t="shared" si="8"/>
        <v>1085.3625000000011</v>
      </c>
      <c r="E18" s="4">
        <f t="shared" si="3"/>
        <v>106.185</v>
      </c>
      <c r="F18" s="31">
        <f t="shared" si="9"/>
        <v>43500.000000000233</v>
      </c>
      <c r="G18" s="32">
        <f t="shared" si="10"/>
        <v>5252.958333333333</v>
      </c>
      <c r="H18" s="79">
        <f t="shared" si="6"/>
        <v>-38127.59583333406</v>
      </c>
      <c r="I18" s="1"/>
      <c r="J18" s="123">
        <v>45789.625</v>
      </c>
      <c r="K18" s="59">
        <v>91.808000000000007</v>
      </c>
      <c r="L18" s="123">
        <v>45880.625</v>
      </c>
      <c r="M18" s="59">
        <v>103.404</v>
      </c>
    </row>
    <row r="19" spans="1:13" x14ac:dyDescent="0.3">
      <c r="A19" s="36">
        <v>45937</v>
      </c>
      <c r="B19" s="45">
        <f t="shared" si="0"/>
        <v>94.911000000000001</v>
      </c>
      <c r="C19" s="31">
        <f t="shared" si="7"/>
        <v>6480.0000000002456</v>
      </c>
      <c r="D19" s="32">
        <f t="shared" si="8"/>
        <v>1266.2562499999985</v>
      </c>
      <c r="E19" s="4">
        <f t="shared" si="3"/>
        <v>106.161</v>
      </c>
      <c r="F19" s="31">
        <f t="shared" si="9"/>
        <v>41100.000000000138</v>
      </c>
      <c r="G19" s="32">
        <f t="shared" si="10"/>
        <v>6128.4513888888887</v>
      </c>
      <c r="H19" s="79">
        <f t="shared" si="6"/>
        <v>-39482.195138888783</v>
      </c>
      <c r="I19" s="1"/>
      <c r="J19" s="123">
        <v>45790.625</v>
      </c>
      <c r="K19" s="59">
        <v>91.846999999999994</v>
      </c>
      <c r="L19" s="123">
        <v>45881.625</v>
      </c>
      <c r="M19" s="59">
        <v>103.584</v>
      </c>
    </row>
    <row r="20" spans="1:13" x14ac:dyDescent="0.3">
      <c r="A20" s="36">
        <v>45938</v>
      </c>
      <c r="B20" s="45">
        <f t="shared" si="0"/>
        <v>94.834000000000003</v>
      </c>
      <c r="C20" s="31">
        <f t="shared" si="7"/>
        <v>-7379.999999999427</v>
      </c>
      <c r="D20" s="32">
        <f t="shared" si="8"/>
        <v>1447.1499999999996</v>
      </c>
      <c r="E20" s="4">
        <f t="shared" si="3"/>
        <v>106.06399999999999</v>
      </c>
      <c r="F20" s="31">
        <f t="shared" si="9"/>
        <v>31399.999999999294</v>
      </c>
      <c r="G20" s="32">
        <f t="shared" si="10"/>
        <v>7003.9444444444453</v>
      </c>
      <c r="H20" s="79">
        <f t="shared" si="6"/>
        <v>-44336.794444443171</v>
      </c>
      <c r="I20" s="1"/>
      <c r="J20" s="123">
        <v>45791.625</v>
      </c>
      <c r="K20" s="59">
        <v>91.81</v>
      </c>
      <c r="L20" s="123">
        <v>45882.625</v>
      </c>
      <c r="M20" s="59">
        <v>103.68600000000001</v>
      </c>
    </row>
    <row r="21" spans="1:13" x14ac:dyDescent="0.3">
      <c r="A21" s="36">
        <v>45939</v>
      </c>
      <c r="B21" s="45">
        <f t="shared" si="0"/>
        <v>94.65</v>
      </c>
      <c r="C21" s="31">
        <f t="shared" si="7"/>
        <v>-40499.999999998974</v>
      </c>
      <c r="D21" s="32">
        <f t="shared" si="8"/>
        <v>1628.0437499999971</v>
      </c>
      <c r="E21" s="4">
        <f t="shared" si="3"/>
        <v>105.71299999999999</v>
      </c>
      <c r="F21" s="31">
        <f t="shared" si="9"/>
        <v>-3700.0000000006144</v>
      </c>
      <c r="G21" s="32">
        <f t="shared" si="10"/>
        <v>7879.4375</v>
      </c>
      <c r="H21" s="79">
        <f t="shared" ref="H21" si="11">C21+D21-F21-G21</f>
        <v>-43051.393749998366</v>
      </c>
      <c r="I21" s="1"/>
      <c r="J21" s="123">
        <v>45792.625</v>
      </c>
      <c r="K21" s="59">
        <v>91.201999999999998</v>
      </c>
      <c r="L21" s="123">
        <v>45883.625</v>
      </c>
      <c r="M21" s="59">
        <v>103.584</v>
      </c>
    </row>
    <row r="22" spans="1:13" x14ac:dyDescent="0.3">
      <c r="A22" s="36">
        <v>45940</v>
      </c>
      <c r="B22" s="45">
        <f t="shared" si="0"/>
        <v>94.65</v>
      </c>
      <c r="C22" s="31">
        <f t="shared" si="7"/>
        <v>-40499.999999998974</v>
      </c>
      <c r="D22" s="32">
        <f t="shared" si="8"/>
        <v>1808.9375</v>
      </c>
      <c r="E22" s="4">
        <f t="shared" si="3"/>
        <v>105.71299999999999</v>
      </c>
      <c r="F22" s="31">
        <f t="shared" si="9"/>
        <v>-3700.0000000006144</v>
      </c>
      <c r="G22" s="32">
        <f t="shared" si="10"/>
        <v>8754.9305555555566</v>
      </c>
      <c r="H22" s="79">
        <f t="shared" ref="H22" si="12">C22+D22-F22-G22</f>
        <v>-43745.993055553918</v>
      </c>
      <c r="I22" s="1"/>
      <c r="J22" s="123">
        <v>45793.625</v>
      </c>
      <c r="K22" s="59">
        <v>91.384</v>
      </c>
      <c r="L22" s="123">
        <v>45884.625</v>
      </c>
      <c r="M22" s="59">
        <v>103.661</v>
      </c>
    </row>
    <row r="23" spans="1:13" x14ac:dyDescent="0.3">
      <c r="A23" s="36">
        <v>45943</v>
      </c>
      <c r="B23" s="45">
        <f t="shared" si="0"/>
        <v>94.65</v>
      </c>
      <c r="C23" s="31">
        <f t="shared" si="7"/>
        <v>-40499.999999998974</v>
      </c>
      <c r="D23" s="32">
        <f t="shared" si="8"/>
        <v>2351.6187500000015</v>
      </c>
      <c r="E23" s="4">
        <f t="shared" si="3"/>
        <v>105.71299999999999</v>
      </c>
      <c r="F23" s="31">
        <f t="shared" si="9"/>
        <v>-3700.0000000006144</v>
      </c>
      <c r="G23" s="32">
        <f t="shared" si="10"/>
        <v>11381.409722222221</v>
      </c>
      <c r="H23" s="79">
        <f t="shared" ref="H23" si="13">C23+D23-F23-G23</f>
        <v>-45829.79097222058</v>
      </c>
      <c r="I23" s="1"/>
      <c r="J23" s="123">
        <v>45796.625</v>
      </c>
      <c r="K23" s="59">
        <v>90.736000000000004</v>
      </c>
      <c r="L23" s="123">
        <v>45887.625</v>
      </c>
      <c r="M23" s="59">
        <v>103.56100000000001</v>
      </c>
    </row>
    <row r="24" spans="1:13" x14ac:dyDescent="0.3">
      <c r="A24" s="36">
        <v>45944</v>
      </c>
      <c r="B24" s="45">
        <f t="shared" si="0"/>
        <v>94.346999999999994</v>
      </c>
      <c r="C24" s="31">
        <f t="shared" si="7"/>
        <v>-95040.000000001048</v>
      </c>
      <c r="D24" s="32">
        <f t="shared" si="8"/>
        <v>2532.5124999999971</v>
      </c>
      <c r="E24" s="4">
        <f t="shared" si="3"/>
        <v>104.839</v>
      </c>
      <c r="F24" s="31">
        <f t="shared" si="9"/>
        <v>-91100.000000000146</v>
      </c>
      <c r="G24" s="32">
        <f t="shared" si="10"/>
        <v>12256.902777777777</v>
      </c>
      <c r="H24" s="79">
        <f t="shared" ref="H24" si="14">C24+D24-F24-G24</f>
        <v>-13664.390277778683</v>
      </c>
      <c r="I24" s="1"/>
      <c r="J24" s="123">
        <v>45797.625</v>
      </c>
      <c r="K24" s="59">
        <v>91.295000000000002</v>
      </c>
      <c r="L24" s="123">
        <v>45888.625</v>
      </c>
      <c r="M24" s="59">
        <v>103.69799999999999</v>
      </c>
    </row>
    <row r="25" spans="1:13" x14ac:dyDescent="0.3">
      <c r="A25" s="36">
        <v>45945</v>
      </c>
      <c r="B25" s="45">
        <f t="shared" si="0"/>
        <v>94.986999999999995</v>
      </c>
      <c r="C25" s="31">
        <f t="shared" si="7"/>
        <v>20159.999999999058</v>
      </c>
      <c r="D25" s="32">
        <f t="shared" si="8"/>
        <v>2713.4062500000036</v>
      </c>
      <c r="E25" s="4">
        <f t="shared" si="3"/>
        <v>106.086</v>
      </c>
      <c r="F25" s="31">
        <f t="shared" si="9"/>
        <v>33599.999999999854</v>
      </c>
      <c r="G25" s="32">
        <f t="shared" si="10"/>
        <v>13132.395833333332</v>
      </c>
      <c r="H25" s="79">
        <f t="shared" ref="H25" si="15">C25+D25-F25-G25</f>
        <v>-23858.989583334125</v>
      </c>
      <c r="I25" s="1"/>
      <c r="J25" s="123">
        <v>45798.625</v>
      </c>
      <c r="K25" s="59">
        <v>91.424999999999997</v>
      </c>
      <c r="L25" s="123">
        <v>45889.625</v>
      </c>
      <c r="M25" s="59">
        <v>103.352</v>
      </c>
    </row>
    <row r="26" spans="1:13" x14ac:dyDescent="0.3">
      <c r="A26" s="36">
        <v>45946</v>
      </c>
      <c r="B26" s="45">
        <f t="shared" si="0"/>
        <v>95.355000000000004</v>
      </c>
      <c r="C26" s="31">
        <f t="shared" si="7"/>
        <v>86400.000000000713</v>
      </c>
      <c r="D26" s="32">
        <f t="shared" si="8"/>
        <v>2894.2999999999993</v>
      </c>
      <c r="E26" s="4">
        <f t="shared" si="3"/>
        <v>105.911</v>
      </c>
      <c r="F26" s="31">
        <f t="shared" si="9"/>
        <v>16100.000000000135</v>
      </c>
      <c r="G26" s="32">
        <f t="shared" si="10"/>
        <v>14007.888888888891</v>
      </c>
      <c r="H26" s="79">
        <f t="shared" ref="H26" si="16">C26+D26-F26-G26</f>
        <v>59186.411111111694</v>
      </c>
      <c r="I26" s="1"/>
      <c r="J26" s="123">
        <v>45799.625</v>
      </c>
      <c r="K26" s="59">
        <v>90.965999999999994</v>
      </c>
      <c r="L26" s="123">
        <v>45890.625</v>
      </c>
      <c r="M26" s="59">
        <v>103.078</v>
      </c>
    </row>
    <row r="27" spans="1:13" x14ac:dyDescent="0.3">
      <c r="A27" s="128">
        <v>45947</v>
      </c>
      <c r="B27" s="45">
        <f t="shared" si="0"/>
        <v>95.215000000000003</v>
      </c>
      <c r="C27" s="31">
        <f t="shared" si="7"/>
        <v>61200.000000000611</v>
      </c>
      <c r="D27" s="32">
        <f t="shared" si="8"/>
        <v>3075.1937500000058</v>
      </c>
      <c r="E27" s="4">
        <f t="shared" si="3"/>
        <v>105.65300000000001</v>
      </c>
      <c r="F27" s="31">
        <f t="shared" si="9"/>
        <v>-9699.9999999994197</v>
      </c>
      <c r="G27" s="32">
        <f t="shared" si="10"/>
        <v>14883.381944444442</v>
      </c>
      <c r="H27" s="79">
        <f t="shared" ref="H27:H28" si="17">C27+D27-F27-G27</f>
        <v>59091.811805555597</v>
      </c>
      <c r="I27" s="1"/>
      <c r="J27" s="123">
        <v>45800.625</v>
      </c>
      <c r="K27" s="59">
        <v>90.989000000000004</v>
      </c>
      <c r="L27" s="123">
        <v>45891.625</v>
      </c>
      <c r="M27" s="59">
        <v>103.32899999999999</v>
      </c>
    </row>
    <row r="28" spans="1:13" x14ac:dyDescent="0.3">
      <c r="A28" s="128">
        <v>45950</v>
      </c>
      <c r="B28" s="45">
        <f t="shared" si="0"/>
        <v>95.445999999999998</v>
      </c>
      <c r="C28" s="31">
        <f t="shared" si="7"/>
        <v>102779.99999999964</v>
      </c>
      <c r="D28" s="32">
        <f t="shared" si="8"/>
        <v>3617.875</v>
      </c>
      <c r="E28" s="4">
        <f t="shared" si="3"/>
        <v>105.88200000000001</v>
      </c>
      <c r="F28" s="31">
        <f t="shared" si="9"/>
        <v>13200.0000000005</v>
      </c>
      <c r="G28" s="32">
        <f t="shared" si="10"/>
        <v>17509.861111111113</v>
      </c>
      <c r="H28" s="79">
        <f t="shared" si="17"/>
        <v>75688.013888888032</v>
      </c>
      <c r="I28" s="1"/>
      <c r="J28" s="123">
        <v>45804.625</v>
      </c>
      <c r="K28" s="59">
        <v>91.275000000000006</v>
      </c>
      <c r="L28" s="123">
        <v>45894.625</v>
      </c>
      <c r="M28" s="59">
        <v>103.706</v>
      </c>
    </row>
    <row r="29" spans="1:13" x14ac:dyDescent="0.3">
      <c r="A29" s="128">
        <v>45951</v>
      </c>
      <c r="B29" s="45">
        <f t="shared" si="0"/>
        <v>95.558999999999997</v>
      </c>
      <c r="C29" s="31">
        <f t="shared" si="7"/>
        <v>123119.99999999955</v>
      </c>
      <c r="D29" s="32">
        <f t="shared" si="8"/>
        <v>3798.7687500000029</v>
      </c>
      <c r="E29" s="4">
        <f t="shared" si="3"/>
        <v>106.151</v>
      </c>
      <c r="F29" s="31">
        <f t="shared" si="9"/>
        <v>40099.999999999622</v>
      </c>
      <c r="G29" s="32">
        <f t="shared" si="10"/>
        <v>18385.354166666672</v>
      </c>
      <c r="H29" s="79">
        <f t="shared" ref="H29" si="18">C29+D29-F29-G29</f>
        <v>68433.414583333259</v>
      </c>
      <c r="I29" s="1"/>
      <c r="J29" s="123">
        <v>45805.625</v>
      </c>
      <c r="K29" s="59">
        <v>91.344999999999999</v>
      </c>
      <c r="L29" s="123">
        <v>45895.625</v>
      </c>
      <c r="M29" s="59">
        <v>103.366</v>
      </c>
    </row>
    <row r="30" spans="1:13" x14ac:dyDescent="0.3">
      <c r="A30" s="128">
        <v>45952</v>
      </c>
      <c r="B30" s="45">
        <f t="shared" si="0"/>
        <v>95.542000000000002</v>
      </c>
      <c r="C30" s="31">
        <f t="shared" si="7"/>
        <v>120060.00000000029</v>
      </c>
      <c r="D30" s="32">
        <f t="shared" si="8"/>
        <v>3979.6625000000058</v>
      </c>
      <c r="E30" s="4">
        <f t="shared" si="3"/>
        <v>105.9</v>
      </c>
      <c r="F30" s="31">
        <f t="shared" si="9"/>
        <v>15000.000000000568</v>
      </c>
      <c r="G30" s="32">
        <f t="shared" si="10"/>
        <v>19260.847222222223</v>
      </c>
      <c r="H30" s="79">
        <f t="shared" ref="H30" si="19">C30+D30-F30-G30</f>
        <v>89778.81527777751</v>
      </c>
      <c r="I30" s="1"/>
      <c r="J30" s="123">
        <v>45806.625</v>
      </c>
      <c r="K30" s="59">
        <v>91.444999999999993</v>
      </c>
      <c r="L30" s="123">
        <v>45896.625</v>
      </c>
      <c r="M30" s="59">
        <v>103.446</v>
      </c>
    </row>
    <row r="31" spans="1:13" x14ac:dyDescent="0.3">
      <c r="A31" s="128">
        <v>45953</v>
      </c>
      <c r="B31" s="45">
        <f t="shared" si="0"/>
        <v>95.227999999999994</v>
      </c>
      <c r="C31" s="31">
        <f t="shared" si="7"/>
        <v>63539.999999998996</v>
      </c>
      <c r="D31" s="32">
        <f t="shared" si="8"/>
        <v>4160.5562500000015</v>
      </c>
      <c r="E31" s="4">
        <f t="shared" si="3"/>
        <v>105.767</v>
      </c>
      <c r="F31" s="31">
        <f t="shared" si="9"/>
        <v>1699.9999999995907</v>
      </c>
      <c r="G31" s="32">
        <f t="shared" si="10"/>
        <v>20136.340277777777</v>
      </c>
      <c r="H31" s="79">
        <f t="shared" ref="H31" si="20">C31+D31-F31-G31</f>
        <v>45864.215972221631</v>
      </c>
      <c r="I31" s="1"/>
      <c r="J31" s="123">
        <v>45807.625</v>
      </c>
      <c r="K31" s="59">
        <v>91.534000000000006</v>
      </c>
      <c r="L31" s="123">
        <v>45897.625</v>
      </c>
      <c r="M31" s="59">
        <v>103.749</v>
      </c>
    </row>
    <row r="32" spans="1:13" x14ac:dyDescent="0.3">
      <c r="A32" s="128">
        <v>45954</v>
      </c>
      <c r="B32" s="45">
        <f t="shared" si="0"/>
        <v>95.394999999999996</v>
      </c>
      <c r="C32" s="31">
        <f t="shared" si="7"/>
        <v>93599.999999999272</v>
      </c>
      <c r="D32" s="32">
        <f t="shared" si="8"/>
        <v>4341.4500000000044</v>
      </c>
      <c r="E32" s="4">
        <f t="shared" si="3"/>
        <v>106.066</v>
      </c>
      <c r="F32" s="31">
        <f t="shared" si="9"/>
        <v>31600.000000000251</v>
      </c>
      <c r="G32" s="32">
        <f t="shared" si="10"/>
        <v>21011.833333333332</v>
      </c>
      <c r="H32" s="79">
        <f t="shared" ref="H32" si="21">C32+D32-F32-G32</f>
        <v>45329.616666665708</v>
      </c>
      <c r="I32" s="1"/>
      <c r="J32" s="123">
        <v>45810.625</v>
      </c>
      <c r="K32" s="59">
        <v>91.498000000000005</v>
      </c>
      <c r="L32" s="123">
        <v>45898.625</v>
      </c>
      <c r="M32" s="59">
        <v>103.458</v>
      </c>
    </row>
    <row r="33" spans="1:13" x14ac:dyDescent="0.3">
      <c r="A33" s="36">
        <v>45957</v>
      </c>
      <c r="B33" s="45">
        <f t="shared" si="0"/>
        <v>95.512</v>
      </c>
      <c r="C33" s="31">
        <f t="shared" ref="C33:C35" si="22">(B33-$B$14)/100*$B$5</f>
        <v>114660.00000000007</v>
      </c>
      <c r="D33" s="32">
        <f t="shared" ref="D33:D35" si="23">(A33-$A$14)/360*$B$6*$B$5-(A33-$A$14)/360*$B$7*$B$5*$B$14/100</f>
        <v>4884.1312500000058</v>
      </c>
      <c r="E33" s="4">
        <f t="shared" si="3"/>
        <v>106.47</v>
      </c>
      <c r="F33" s="31">
        <f t="shared" ref="F33:F35" si="24">(E33-$E$14)/100*$C$5</f>
        <v>71999.999999999884</v>
      </c>
      <c r="G33" s="32">
        <f t="shared" ref="G33:G35" si="25">(A33-$A$14)/360*$C$6*$C$5-(A33-$A$14)/360*$C$7*$C$5*$E$14/100</f>
        <v>23638.312500000007</v>
      </c>
      <c r="H33" s="79">
        <f t="shared" ref="H33" si="26">C33+D33-F33-G33</f>
        <v>23905.818750000188</v>
      </c>
      <c r="I33" s="1"/>
      <c r="J33" s="123">
        <v>45811.625</v>
      </c>
      <c r="K33" s="59">
        <v>91.686000000000007</v>
      </c>
      <c r="L33" s="123">
        <v>45902.625</v>
      </c>
      <c r="M33" s="59">
        <v>102.735</v>
      </c>
    </row>
    <row r="34" spans="1:13" x14ac:dyDescent="0.3">
      <c r="A34" s="36">
        <v>45958</v>
      </c>
      <c r="B34" s="45">
        <f t="shared" si="0"/>
        <v>95.64</v>
      </c>
      <c r="C34" s="31">
        <f t="shared" si="22"/>
        <v>137700.00000000012</v>
      </c>
      <c r="D34" s="32">
        <f t="shared" si="23"/>
        <v>5065.0249999999942</v>
      </c>
      <c r="E34" s="4">
        <f t="shared" si="3"/>
        <v>106.438</v>
      </c>
      <c r="F34" s="31">
        <f t="shared" si="24"/>
        <v>68800.000000000247</v>
      </c>
      <c r="G34" s="32">
        <f t="shared" si="25"/>
        <v>24513.805555555555</v>
      </c>
      <c r="H34" s="79">
        <f t="shared" ref="H34" si="27">C34+D34-F34-G34</f>
        <v>49451.219444444308</v>
      </c>
      <c r="I34" s="1"/>
      <c r="J34" s="123">
        <v>45812.625</v>
      </c>
      <c r="K34" s="59">
        <v>91.866</v>
      </c>
      <c r="L34" s="123">
        <v>45903.625</v>
      </c>
      <c r="M34" s="59">
        <v>102.913</v>
      </c>
    </row>
    <row r="35" spans="1:13" x14ac:dyDescent="0.3">
      <c r="A35" s="36">
        <v>45959</v>
      </c>
      <c r="B35" s="45">
        <f t="shared" si="0"/>
        <v>95.855000000000004</v>
      </c>
      <c r="C35" s="31">
        <f t="shared" si="22"/>
        <v>176400.0000000007</v>
      </c>
      <c r="D35" s="32">
        <f t="shared" si="23"/>
        <v>5245.9187499999971</v>
      </c>
      <c r="E35" s="4">
        <f t="shared" si="3"/>
        <v>106.494</v>
      </c>
      <c r="F35" s="31">
        <f t="shared" si="24"/>
        <v>74399.999999999985</v>
      </c>
      <c r="G35" s="32">
        <f t="shared" si="25"/>
        <v>25389.298611111117</v>
      </c>
      <c r="H35" s="79">
        <f t="shared" ref="H35" si="28">C35+D35-F35-G35</f>
        <v>81856.620138889615</v>
      </c>
      <c r="I35" s="1"/>
      <c r="J35" s="123">
        <v>45813.625</v>
      </c>
      <c r="K35" s="59">
        <v>92.236000000000004</v>
      </c>
      <c r="L35" s="123">
        <v>45904.625</v>
      </c>
      <c r="M35" s="59">
        <v>102.804</v>
      </c>
    </row>
    <row r="36" spans="1:13" x14ac:dyDescent="0.3">
      <c r="A36" s="36">
        <v>45960</v>
      </c>
      <c r="B36" s="45">
        <f t="shared" si="0"/>
        <v>95.501000000000005</v>
      </c>
      <c r="C36" s="31">
        <f t="shared" ref="C36:C37" si="29">(B36-$B$14)/100*$B$5</f>
        <v>112680.00000000086</v>
      </c>
      <c r="D36" s="32">
        <f t="shared" ref="D36:D37" si="30">(A36-$A$14)/360*$B$6*$B$5-(A36-$A$14)/360*$B$7*$B$5*$B$14/100</f>
        <v>5426.8125000000073</v>
      </c>
      <c r="E36" s="4">
        <f t="shared" si="3"/>
        <v>105.86799999999999</v>
      </c>
      <c r="F36" s="31">
        <f t="shared" ref="F36:F37" si="31">(E36-$E$14)/100*$C$5</f>
        <v>11799.9999999995</v>
      </c>
      <c r="G36" s="32">
        <f t="shared" ref="G36:G37" si="32">(A36-$A$14)/360*$C$6*$C$5-(A36-$A$14)/360*$C$7*$C$5*$E$14/100</f>
        <v>26264.791666666664</v>
      </c>
      <c r="H36" s="79">
        <f t="shared" ref="H36:H37" si="33">C36+D36-F36-G36</f>
        <v>80042.020833334711</v>
      </c>
      <c r="I36" s="1"/>
      <c r="J36" s="123">
        <v>45814.625</v>
      </c>
      <c r="K36" s="59">
        <v>92.4</v>
      </c>
      <c r="L36" s="123">
        <v>45905.625</v>
      </c>
      <c r="M36" s="59">
        <v>103.672</v>
      </c>
    </row>
    <row r="37" spans="1:13" x14ac:dyDescent="0.3">
      <c r="A37" s="36">
        <v>45961</v>
      </c>
      <c r="B37" s="45">
        <f>$B$10</f>
        <v>95.506</v>
      </c>
      <c r="C37" s="31">
        <f t="shared" si="29"/>
        <v>113580.00000000004</v>
      </c>
      <c r="D37" s="32">
        <f t="shared" si="30"/>
        <v>5607.7062499999884</v>
      </c>
      <c r="E37" s="4">
        <f>$C$10</f>
        <v>105.786</v>
      </c>
      <c r="F37" s="31">
        <f t="shared" si="31"/>
        <v>3600.0000000001364</v>
      </c>
      <c r="G37" s="32">
        <f t="shared" si="32"/>
        <v>27140.284722222219</v>
      </c>
      <c r="H37" s="79">
        <f t="shared" si="33"/>
        <v>88447.421527777682</v>
      </c>
      <c r="I37" s="1"/>
      <c r="J37" s="123">
        <v>45817.625</v>
      </c>
      <c r="K37" s="59">
        <v>92.602000000000004</v>
      </c>
      <c r="L37" s="123">
        <v>45908.625</v>
      </c>
      <c r="M37" s="59">
        <v>103.732</v>
      </c>
    </row>
    <row r="38" spans="1:13" x14ac:dyDescent="0.3">
      <c r="A38" s="36">
        <v>45964</v>
      </c>
      <c r="B38" s="45"/>
      <c r="C38" s="31"/>
      <c r="D38" s="32"/>
      <c r="E38" s="4"/>
      <c r="F38" s="31"/>
      <c r="G38" s="32"/>
      <c r="H38" s="79"/>
      <c r="I38" s="1"/>
      <c r="J38" s="123">
        <v>45818.625</v>
      </c>
      <c r="K38" s="59">
        <v>92.813999999999993</v>
      </c>
      <c r="L38" s="123">
        <v>45909.625</v>
      </c>
      <c r="M38" s="59">
        <v>103.703</v>
      </c>
    </row>
    <row r="39" spans="1:13" x14ac:dyDescent="0.3">
      <c r="A39" s="36">
        <v>45965</v>
      </c>
      <c r="B39" s="45"/>
      <c r="C39" s="31"/>
      <c r="D39" s="32"/>
      <c r="E39" s="4"/>
      <c r="F39" s="31"/>
      <c r="G39" s="32"/>
      <c r="H39" s="79"/>
      <c r="I39" s="1"/>
      <c r="J39" s="123">
        <v>45819.625</v>
      </c>
      <c r="K39" s="59">
        <v>92.998000000000005</v>
      </c>
      <c r="L39" s="123">
        <v>45910.625</v>
      </c>
      <c r="M39" s="59">
        <v>104.074</v>
      </c>
    </row>
    <row r="40" spans="1:13" x14ac:dyDescent="0.3">
      <c r="A40" s="36">
        <v>45966</v>
      </c>
      <c r="B40" s="45"/>
      <c r="C40" s="31"/>
      <c r="D40" s="32"/>
      <c r="E40" s="4"/>
      <c r="F40" s="31"/>
      <c r="G40" s="32"/>
      <c r="H40" s="79"/>
      <c r="I40" s="1"/>
      <c r="J40" s="123">
        <v>45820.625</v>
      </c>
      <c r="K40" s="59">
        <v>92.992999999999995</v>
      </c>
      <c r="L40" s="123">
        <v>45911.625</v>
      </c>
      <c r="M40" s="59">
        <v>104.438</v>
      </c>
    </row>
    <row r="41" spans="1:13" x14ac:dyDescent="0.3">
      <c r="A41" s="36">
        <v>45967</v>
      </c>
      <c r="B41" s="45"/>
      <c r="C41" s="31"/>
      <c r="D41" s="32"/>
      <c r="E41" s="4"/>
      <c r="F41" s="31"/>
      <c r="G41" s="32"/>
      <c r="H41" s="79"/>
      <c r="I41" s="1"/>
      <c r="J41" s="123">
        <v>45821.625</v>
      </c>
      <c r="K41" s="59">
        <v>92.897000000000006</v>
      </c>
      <c r="L41" s="123">
        <v>45912.625</v>
      </c>
      <c r="M41" s="59">
        <v>104.88</v>
      </c>
    </row>
    <row r="42" spans="1:13" x14ac:dyDescent="0.3">
      <c r="A42" s="36">
        <v>45968</v>
      </c>
      <c r="B42" s="45"/>
      <c r="C42" s="31"/>
      <c r="D42" s="32"/>
      <c r="E42" s="4"/>
      <c r="F42" s="31"/>
      <c r="G42" s="32"/>
      <c r="H42" s="79"/>
      <c r="I42" s="1"/>
      <c r="J42" s="123">
        <v>45824.625</v>
      </c>
      <c r="K42" s="59">
        <v>92.980999999999995</v>
      </c>
      <c r="L42" s="123">
        <v>45915.625</v>
      </c>
      <c r="M42" s="59">
        <v>105.64</v>
      </c>
    </row>
    <row r="43" spans="1:13" x14ac:dyDescent="0.3">
      <c r="A43" s="36">
        <v>45969</v>
      </c>
      <c r="B43" s="45"/>
      <c r="C43" s="31"/>
      <c r="D43" s="32"/>
      <c r="E43" s="4"/>
      <c r="F43" s="31"/>
      <c r="G43" s="32"/>
      <c r="H43" s="79"/>
      <c r="I43" s="1"/>
      <c r="J43" s="123">
        <v>45825.625</v>
      </c>
      <c r="K43" s="59">
        <v>92.956999999999994</v>
      </c>
      <c r="L43" s="123">
        <v>45916.625</v>
      </c>
      <c r="M43" s="59">
        <v>105.506</v>
      </c>
    </row>
    <row r="44" spans="1:13" x14ac:dyDescent="0.3">
      <c r="A44" s="36">
        <v>45970</v>
      </c>
      <c r="B44" s="45"/>
      <c r="C44" s="31"/>
      <c r="D44" s="32"/>
      <c r="E44" s="4"/>
      <c r="F44" s="31"/>
      <c r="G44" s="32"/>
      <c r="H44" s="38"/>
      <c r="I44" s="1"/>
      <c r="J44" s="123">
        <v>45826.625</v>
      </c>
      <c r="K44" s="59">
        <v>92.912000000000006</v>
      </c>
      <c r="L44" s="123">
        <v>45917.625</v>
      </c>
      <c r="M44" s="59">
        <v>105.589</v>
      </c>
    </row>
    <row r="45" spans="1:13" x14ac:dyDescent="0.3">
      <c r="A45" s="15"/>
      <c r="B45" s="45"/>
      <c r="C45" s="31"/>
      <c r="D45" s="32"/>
      <c r="E45" s="4"/>
      <c r="F45" s="31"/>
      <c r="G45" s="32"/>
      <c r="H45" s="38"/>
      <c r="I45" s="1"/>
      <c r="J45" s="123">
        <v>45828.625</v>
      </c>
      <c r="K45" s="59">
        <v>92.826999999999998</v>
      </c>
      <c r="L45" s="123">
        <v>45918.625</v>
      </c>
      <c r="M45" s="59">
        <v>105.7</v>
      </c>
    </row>
    <row r="46" spans="1:13" x14ac:dyDescent="0.3">
      <c r="A46" s="15"/>
      <c r="B46" s="45"/>
      <c r="C46" s="31"/>
      <c r="D46" s="32"/>
      <c r="E46" s="4"/>
      <c r="F46" s="31"/>
      <c r="G46" s="32"/>
      <c r="H46" s="38"/>
      <c r="I46" s="1"/>
      <c r="J46" s="123">
        <v>45831.625</v>
      </c>
      <c r="K46" s="59">
        <v>92.81</v>
      </c>
      <c r="L46" s="123">
        <v>45919.625</v>
      </c>
      <c r="M46" s="59">
        <v>105.929</v>
      </c>
    </row>
    <row r="47" spans="1:13" x14ac:dyDescent="0.3">
      <c r="A47" s="15"/>
      <c r="B47" s="45"/>
      <c r="C47" s="31"/>
      <c r="D47" s="32"/>
      <c r="E47" s="4"/>
      <c r="F47" s="31"/>
      <c r="G47" s="32"/>
      <c r="H47" s="38"/>
      <c r="I47" s="1"/>
      <c r="J47" s="123">
        <v>45832.625</v>
      </c>
      <c r="K47" s="59">
        <v>93.058000000000007</v>
      </c>
      <c r="L47" s="123">
        <v>45922.625</v>
      </c>
      <c r="M47" s="59">
        <v>105.965</v>
      </c>
    </row>
    <row r="48" spans="1:13" ht="15" thickBot="1" x14ac:dyDescent="0.35">
      <c r="A48" s="16"/>
      <c r="B48" s="48"/>
      <c r="C48" s="49"/>
      <c r="D48" s="50"/>
      <c r="E48" s="11"/>
      <c r="F48" s="49"/>
      <c r="G48" s="50"/>
      <c r="H48" s="51"/>
      <c r="I48" s="1"/>
      <c r="J48" s="123">
        <v>45833.625</v>
      </c>
      <c r="K48" s="59">
        <v>93.129000000000005</v>
      </c>
      <c r="L48" s="123">
        <v>45923.625</v>
      </c>
      <c r="M48" s="59">
        <v>106.09099999999999</v>
      </c>
    </row>
    <row r="49" spans="2:13" x14ac:dyDescent="0.3">
      <c r="B49" s="59"/>
      <c r="C49" s="59"/>
      <c r="D49" s="59"/>
      <c r="F49" s="58"/>
      <c r="G49" s="58"/>
      <c r="H49" s="58"/>
      <c r="J49" s="123">
        <v>45834.625</v>
      </c>
      <c r="K49" s="59">
        <v>93.075999999999993</v>
      </c>
      <c r="L49" s="123">
        <v>45924.625</v>
      </c>
      <c r="M49" s="59">
        <v>106.227</v>
      </c>
    </row>
    <row r="50" spans="2:13" x14ac:dyDescent="0.3">
      <c r="B50" s="59"/>
      <c r="C50" s="59"/>
      <c r="D50" s="59"/>
      <c r="F50" s="58"/>
      <c r="G50" s="58"/>
      <c r="H50" s="58"/>
      <c r="J50" s="123">
        <v>45835.625</v>
      </c>
      <c r="K50" s="59">
        <v>93.183999999999997</v>
      </c>
      <c r="L50" s="123">
        <v>45925.625</v>
      </c>
      <c r="M50" s="59">
        <v>105.794</v>
      </c>
    </row>
    <row r="51" spans="2:13" x14ac:dyDescent="0.3">
      <c r="B51" s="59"/>
      <c r="C51" s="59"/>
      <c r="D51" s="59"/>
      <c r="F51" s="58"/>
      <c r="G51" s="58"/>
      <c r="H51" s="58"/>
      <c r="J51" s="123">
        <v>45838.625</v>
      </c>
      <c r="K51" s="59">
        <v>93.289000000000001</v>
      </c>
      <c r="L51" s="123">
        <v>45926.625</v>
      </c>
      <c r="M51" s="59">
        <v>105.94499999999999</v>
      </c>
    </row>
    <row r="52" spans="2:13" x14ac:dyDescent="0.3">
      <c r="B52" s="59"/>
      <c r="C52" s="59"/>
      <c r="D52" s="59"/>
      <c r="F52" s="58"/>
      <c r="G52" s="58"/>
      <c r="H52" s="58"/>
      <c r="J52" s="123">
        <v>45839.625</v>
      </c>
      <c r="K52" s="59">
        <v>93.647999999999996</v>
      </c>
      <c r="L52" s="123">
        <v>45929.625</v>
      </c>
      <c r="M52" s="59">
        <v>105.934</v>
      </c>
    </row>
    <row r="53" spans="2:13" x14ac:dyDescent="0.3">
      <c r="B53" s="59"/>
      <c r="C53" s="59"/>
      <c r="D53" s="59"/>
      <c r="J53" s="123">
        <v>45840.625</v>
      </c>
      <c r="K53" s="59">
        <v>93.677000000000007</v>
      </c>
      <c r="L53" s="123">
        <v>45930.625</v>
      </c>
      <c r="M53" s="59">
        <v>105.986</v>
      </c>
    </row>
    <row r="54" spans="2:13" x14ac:dyDescent="0.3">
      <c r="B54" s="59"/>
      <c r="C54" s="59"/>
      <c r="D54" s="59"/>
      <c r="J54" s="123">
        <v>45841.625</v>
      </c>
      <c r="K54" s="59">
        <v>93.95</v>
      </c>
      <c r="L54" s="123">
        <v>45931.625</v>
      </c>
      <c r="M54" s="59">
        <v>105.97199999999999</v>
      </c>
    </row>
    <row r="55" spans="2:13" x14ac:dyDescent="0.3">
      <c r="B55" s="59"/>
      <c r="C55" s="59"/>
      <c r="D55" s="59"/>
      <c r="J55" s="123">
        <v>45845.625</v>
      </c>
      <c r="K55" s="59">
        <v>94.081000000000003</v>
      </c>
      <c r="L55" s="123">
        <v>45932.625</v>
      </c>
      <c r="M55" s="59">
        <v>106.182</v>
      </c>
    </row>
    <row r="56" spans="2:13" x14ac:dyDescent="0.3">
      <c r="B56" s="59"/>
      <c r="C56" s="59"/>
      <c r="D56" s="59"/>
      <c r="J56" s="123">
        <v>45846.625</v>
      </c>
      <c r="K56" s="59">
        <v>94.171000000000006</v>
      </c>
      <c r="L56" s="123">
        <v>45933.625</v>
      </c>
      <c r="M56" s="59">
        <v>106.56399999999999</v>
      </c>
    </row>
    <row r="57" spans="2:13" x14ac:dyDescent="0.3">
      <c r="B57" s="59"/>
      <c r="C57" s="59"/>
      <c r="D57" s="59"/>
      <c r="J57" s="123">
        <v>45847.625</v>
      </c>
      <c r="K57" s="59">
        <v>94.325999999999993</v>
      </c>
      <c r="L57" s="123">
        <v>45936.625</v>
      </c>
      <c r="M57" s="59">
        <v>106.185</v>
      </c>
    </row>
    <row r="58" spans="2:13" x14ac:dyDescent="0.3">
      <c r="B58" s="59"/>
      <c r="C58" s="59"/>
      <c r="D58" s="59"/>
      <c r="J58" s="123">
        <v>45848.625</v>
      </c>
      <c r="K58" s="59">
        <v>94.418999999999997</v>
      </c>
      <c r="L58" s="123">
        <v>45937.625</v>
      </c>
      <c r="M58" s="59">
        <v>106.161</v>
      </c>
    </row>
    <row r="59" spans="2:13" x14ac:dyDescent="0.3">
      <c r="B59" s="59"/>
      <c r="C59" s="59"/>
      <c r="D59" s="59"/>
      <c r="J59" s="123">
        <v>45849.625</v>
      </c>
      <c r="K59" s="59">
        <v>94.393000000000001</v>
      </c>
      <c r="L59" s="123">
        <v>45938.625</v>
      </c>
      <c r="M59" s="59">
        <v>106.06399999999999</v>
      </c>
    </row>
    <row r="60" spans="2:13" x14ac:dyDescent="0.3">
      <c r="B60" s="59"/>
      <c r="C60" s="59"/>
      <c r="D60" s="59"/>
      <c r="J60" s="123">
        <v>45852.625</v>
      </c>
      <c r="K60" s="59">
        <v>94.340999999999994</v>
      </c>
      <c r="L60" s="123">
        <v>45939.625</v>
      </c>
      <c r="M60" s="59">
        <v>105.71299999999999</v>
      </c>
    </row>
    <row r="61" spans="2:13" x14ac:dyDescent="0.3">
      <c r="J61" s="123">
        <v>45853.625</v>
      </c>
      <c r="K61" s="59">
        <v>94.376999999999995</v>
      </c>
      <c r="L61" s="123">
        <v>45944.625</v>
      </c>
      <c r="M61" s="59">
        <v>104.839</v>
      </c>
    </row>
    <row r="62" spans="2:13" x14ac:dyDescent="0.3">
      <c r="J62" s="123">
        <v>45854.625</v>
      </c>
      <c r="K62" s="59">
        <v>94.259</v>
      </c>
      <c r="L62" s="123">
        <v>45945.625</v>
      </c>
      <c r="M62" s="59">
        <v>106.086</v>
      </c>
    </row>
    <row r="63" spans="2:13" x14ac:dyDescent="0.3">
      <c r="J63" s="123">
        <v>45855.625</v>
      </c>
      <c r="K63" s="59">
        <v>94.277000000000001</v>
      </c>
      <c r="L63" s="123">
        <v>45946.625</v>
      </c>
      <c r="M63" s="59">
        <v>105.911</v>
      </c>
    </row>
    <row r="64" spans="2:13" x14ac:dyDescent="0.3">
      <c r="J64" s="123">
        <v>45856.625</v>
      </c>
      <c r="K64" s="59">
        <v>94.381</v>
      </c>
      <c r="L64" s="123">
        <v>45947.625</v>
      </c>
      <c r="M64" s="59">
        <v>105.65300000000001</v>
      </c>
    </row>
    <row r="65" spans="10:13" x14ac:dyDescent="0.3">
      <c r="J65" s="123">
        <v>45859.625</v>
      </c>
      <c r="K65" s="59">
        <v>94.393000000000001</v>
      </c>
      <c r="L65" s="123">
        <v>45950.625</v>
      </c>
      <c r="M65" s="59">
        <v>105.88200000000001</v>
      </c>
    </row>
    <row r="66" spans="10:13" x14ac:dyDescent="0.3">
      <c r="J66" s="123">
        <v>45860.625</v>
      </c>
      <c r="K66" s="59">
        <v>94.63</v>
      </c>
      <c r="L66" s="123">
        <v>45951.625</v>
      </c>
      <c r="M66" s="59">
        <v>106.151</v>
      </c>
    </row>
    <row r="67" spans="10:13" x14ac:dyDescent="0.3">
      <c r="J67" s="123">
        <v>45861.625</v>
      </c>
      <c r="K67" s="59">
        <v>94.623000000000005</v>
      </c>
      <c r="L67" s="123">
        <v>45952.625</v>
      </c>
      <c r="M67" s="59">
        <v>105.9</v>
      </c>
    </row>
    <row r="68" spans="10:13" x14ac:dyDescent="0.3">
      <c r="J68" s="123">
        <v>45862.625</v>
      </c>
      <c r="K68" s="59">
        <v>94.912000000000006</v>
      </c>
      <c r="L68" s="123">
        <v>45953.625</v>
      </c>
      <c r="M68" s="59">
        <v>105.767</v>
      </c>
    </row>
    <row r="69" spans="10:13" x14ac:dyDescent="0.3">
      <c r="J69" s="123">
        <v>45863.625</v>
      </c>
      <c r="K69" s="59">
        <v>94.930999999999997</v>
      </c>
      <c r="L69" s="123">
        <v>45954.625</v>
      </c>
      <c r="M69" s="59">
        <v>106.066</v>
      </c>
    </row>
    <row r="70" spans="10:13" x14ac:dyDescent="0.3">
      <c r="J70" s="123">
        <v>45866.625</v>
      </c>
      <c r="K70" s="59">
        <v>95.052999999999997</v>
      </c>
      <c r="L70" s="123">
        <v>45957.625</v>
      </c>
      <c r="M70" s="59">
        <v>106.47</v>
      </c>
    </row>
    <row r="71" spans="10:13" x14ac:dyDescent="0.3">
      <c r="J71" s="123">
        <v>45867.625</v>
      </c>
      <c r="K71" s="59">
        <v>95.07</v>
      </c>
      <c r="L71" s="123">
        <v>45958.625</v>
      </c>
      <c r="M71" s="59">
        <v>106.438</v>
      </c>
    </row>
    <row r="72" spans="10:13" x14ac:dyDescent="0.3">
      <c r="J72" s="123">
        <v>45868.625</v>
      </c>
      <c r="K72" s="59">
        <v>95.052999999999997</v>
      </c>
      <c r="L72" s="123">
        <v>45959.625</v>
      </c>
      <c r="M72" s="59">
        <v>106.494</v>
      </c>
    </row>
    <row r="73" spans="10:13" x14ac:dyDescent="0.3">
      <c r="J73" s="123">
        <v>45869.625</v>
      </c>
      <c r="K73" s="59">
        <v>95.078000000000003</v>
      </c>
      <c r="L73" s="123">
        <v>45960.625</v>
      </c>
      <c r="M73" s="59">
        <v>105.86799999999999</v>
      </c>
    </row>
    <row r="74" spans="10:13" x14ac:dyDescent="0.3">
      <c r="J74" s="123">
        <v>45870.625</v>
      </c>
      <c r="K74" s="59">
        <v>94.99</v>
      </c>
      <c r="L74" s="123">
        <v>45961.625</v>
      </c>
      <c r="M74" s="59">
        <v>105.877</v>
      </c>
    </row>
    <row r="75" spans="10:13" x14ac:dyDescent="0.3">
      <c r="J75" s="123">
        <v>45873.625</v>
      </c>
      <c r="K75" s="59">
        <v>94.972999999999999</v>
      </c>
      <c r="L75" s="123">
        <v>45964.625</v>
      </c>
      <c r="M75" s="59">
        <v>105.786</v>
      </c>
    </row>
    <row r="76" spans="10:13" x14ac:dyDescent="0.3">
      <c r="J76" s="123">
        <v>45874.625</v>
      </c>
      <c r="K76" s="59">
        <v>95.025999999999996</v>
      </c>
      <c r="L76" s="123"/>
    </row>
    <row r="77" spans="10:13" x14ac:dyDescent="0.3">
      <c r="J77" s="123">
        <v>45875.625</v>
      </c>
      <c r="K77" s="59">
        <v>95.06</v>
      </c>
      <c r="L77" s="123"/>
    </row>
    <row r="78" spans="10:13" x14ac:dyDescent="0.3">
      <c r="J78" s="123">
        <v>45876.625</v>
      </c>
      <c r="K78" s="59">
        <v>95.17</v>
      </c>
      <c r="L78" s="123"/>
    </row>
    <row r="79" spans="10:13" x14ac:dyDescent="0.3">
      <c r="J79" s="123">
        <v>45877.625</v>
      </c>
      <c r="K79" s="59">
        <v>95.186999999999998</v>
      </c>
      <c r="L79" s="123"/>
    </row>
    <row r="80" spans="10:13" x14ac:dyDescent="0.3">
      <c r="J80" s="123">
        <v>45880.625</v>
      </c>
      <c r="K80" s="59">
        <v>95.293999999999997</v>
      </c>
      <c r="L80" s="123"/>
    </row>
    <row r="81" spans="10:11" x14ac:dyDescent="0.3">
      <c r="J81" s="123">
        <v>45881.625</v>
      </c>
      <c r="K81" s="59">
        <v>95.337000000000003</v>
      </c>
    </row>
    <row r="82" spans="10:11" x14ac:dyDescent="0.3">
      <c r="J82" s="123">
        <v>45882.625</v>
      </c>
      <c r="K82" s="59">
        <v>95.337000000000003</v>
      </c>
    </row>
    <row r="83" spans="10:11" x14ac:dyDescent="0.3">
      <c r="J83" s="123">
        <v>45883.625</v>
      </c>
      <c r="K83" s="59">
        <v>95.251000000000005</v>
      </c>
    </row>
    <row r="84" spans="10:11" x14ac:dyDescent="0.3">
      <c r="J84" s="123">
        <v>45884.625</v>
      </c>
      <c r="K84" s="59">
        <v>95.251000000000005</v>
      </c>
    </row>
    <row r="85" spans="10:11" x14ac:dyDescent="0.3">
      <c r="J85" s="123">
        <v>45887.625</v>
      </c>
      <c r="K85" s="59">
        <v>95.216999999999999</v>
      </c>
    </row>
    <row r="86" spans="10:11" x14ac:dyDescent="0.3">
      <c r="J86" s="123">
        <v>45888.625</v>
      </c>
      <c r="K86" s="59">
        <v>95.19</v>
      </c>
    </row>
    <row r="87" spans="10:11" x14ac:dyDescent="0.3">
      <c r="J87" s="123">
        <v>45889.625</v>
      </c>
      <c r="K87" s="59">
        <v>94.927000000000007</v>
      </c>
    </row>
    <row r="88" spans="10:11" x14ac:dyDescent="0.3">
      <c r="J88" s="123">
        <v>45890.625</v>
      </c>
      <c r="K88" s="59">
        <v>94.682000000000002</v>
      </c>
    </row>
    <row r="89" spans="10:11" x14ac:dyDescent="0.3">
      <c r="J89" s="123">
        <v>45891.625</v>
      </c>
      <c r="K89" s="59">
        <v>94.811999999999998</v>
      </c>
    </row>
    <row r="90" spans="10:11" x14ac:dyDescent="0.3">
      <c r="J90" s="123">
        <v>45894.625</v>
      </c>
      <c r="K90" s="59">
        <v>94.853999999999999</v>
      </c>
    </row>
    <row r="91" spans="10:11" x14ac:dyDescent="0.3">
      <c r="J91" s="123">
        <v>45895.625</v>
      </c>
      <c r="K91" s="59">
        <v>94.569000000000003</v>
      </c>
    </row>
    <row r="92" spans="10:11" x14ac:dyDescent="0.3">
      <c r="J92" s="123">
        <v>45896.625</v>
      </c>
      <c r="K92" s="59">
        <v>94.542000000000002</v>
      </c>
    </row>
    <row r="93" spans="10:11" x14ac:dyDescent="0.3">
      <c r="J93" s="123">
        <v>45897.625</v>
      </c>
      <c r="K93" s="59">
        <v>94.539000000000001</v>
      </c>
    </row>
    <row r="94" spans="10:11" x14ac:dyDescent="0.3">
      <c r="J94" s="123">
        <v>45898.625</v>
      </c>
      <c r="K94" s="59">
        <v>94.376000000000005</v>
      </c>
    </row>
    <row r="95" spans="10:11" x14ac:dyDescent="0.3">
      <c r="J95" s="123">
        <v>45902.625</v>
      </c>
      <c r="K95" s="59">
        <v>94.259</v>
      </c>
    </row>
    <row r="96" spans="10:11" x14ac:dyDescent="0.3">
      <c r="J96" s="123">
        <v>45903.625</v>
      </c>
      <c r="K96" s="59">
        <v>94.162999999999997</v>
      </c>
    </row>
    <row r="97" spans="10:11" x14ac:dyDescent="0.3">
      <c r="J97" s="123">
        <v>45904.625</v>
      </c>
      <c r="K97" s="59">
        <v>94.207999999999998</v>
      </c>
    </row>
    <row r="98" spans="10:11" x14ac:dyDescent="0.3">
      <c r="J98" s="123">
        <v>45905.625</v>
      </c>
      <c r="K98" s="59">
        <v>94.412000000000006</v>
      </c>
    </row>
    <row r="99" spans="10:11" x14ac:dyDescent="0.3">
      <c r="J99" s="123">
        <v>45908.625</v>
      </c>
      <c r="K99" s="59">
        <v>94.566000000000003</v>
      </c>
    </row>
    <row r="100" spans="10:11" x14ac:dyDescent="0.3">
      <c r="J100" s="123">
        <v>45909.625</v>
      </c>
      <c r="K100" s="59">
        <v>94.63</v>
      </c>
    </row>
    <row r="101" spans="10:11" x14ac:dyDescent="0.3">
      <c r="J101" s="123">
        <v>45910.625</v>
      </c>
      <c r="K101" s="59">
        <v>94.74</v>
      </c>
    </row>
    <row r="102" spans="10:11" x14ac:dyDescent="0.3">
      <c r="J102" s="123">
        <v>45911.625</v>
      </c>
      <c r="K102" s="59">
        <v>94.674999999999997</v>
      </c>
    </row>
    <row r="103" spans="10:11" x14ac:dyDescent="0.3">
      <c r="J103" s="123">
        <v>45912.625</v>
      </c>
      <c r="K103" s="59">
        <v>94.858999999999995</v>
      </c>
    </row>
    <row r="104" spans="10:11" x14ac:dyDescent="0.3">
      <c r="J104" s="123">
        <v>45915.625</v>
      </c>
      <c r="K104" s="59">
        <v>94.914000000000001</v>
      </c>
    </row>
    <row r="105" spans="10:11" x14ac:dyDescent="0.3">
      <c r="J105" s="123">
        <v>45916.625</v>
      </c>
      <c r="K105" s="59">
        <v>94.938000000000002</v>
      </c>
    </row>
    <row r="106" spans="10:11" x14ac:dyDescent="0.3">
      <c r="J106" s="123">
        <v>45917.625</v>
      </c>
      <c r="K106" s="59">
        <v>94.878</v>
      </c>
    </row>
    <row r="107" spans="10:11" x14ac:dyDescent="0.3">
      <c r="J107" s="123">
        <v>45918.625</v>
      </c>
      <c r="K107" s="59">
        <v>94.921999999999997</v>
      </c>
    </row>
    <row r="108" spans="10:11" x14ac:dyDescent="0.3">
      <c r="J108" s="123">
        <v>45919.625</v>
      </c>
      <c r="K108" s="59">
        <v>94.891999999999996</v>
      </c>
    </row>
    <row r="109" spans="10:11" x14ac:dyDescent="0.3">
      <c r="J109" s="123">
        <v>45922.625</v>
      </c>
      <c r="K109" s="59">
        <v>94.825999999999993</v>
      </c>
    </row>
    <row r="110" spans="10:11" x14ac:dyDescent="0.3">
      <c r="J110" s="123">
        <v>45923.625</v>
      </c>
      <c r="K110" s="59">
        <v>94.789000000000001</v>
      </c>
    </row>
    <row r="111" spans="10:11" x14ac:dyDescent="0.3">
      <c r="J111" s="123">
        <v>45924.625</v>
      </c>
      <c r="K111" s="59">
        <v>94.733999999999995</v>
      </c>
    </row>
    <row r="112" spans="10:11" x14ac:dyDescent="0.3">
      <c r="J112" s="123">
        <v>45925.625</v>
      </c>
      <c r="K112" s="59">
        <v>94.597999999999999</v>
      </c>
    </row>
    <row r="113" spans="10:11" x14ac:dyDescent="0.3">
      <c r="J113" s="123">
        <v>45926.625</v>
      </c>
      <c r="K113" s="59">
        <v>94.596000000000004</v>
      </c>
    </row>
    <row r="114" spans="10:11" x14ac:dyDescent="0.3">
      <c r="J114" s="123">
        <v>45929.625</v>
      </c>
      <c r="K114" s="59">
        <v>94.68</v>
      </c>
    </row>
    <row r="115" spans="10:11" x14ac:dyDescent="0.3">
      <c r="J115" s="123">
        <v>45930.625</v>
      </c>
      <c r="K115" s="59">
        <v>94.614999999999995</v>
      </c>
    </row>
    <row r="116" spans="10:11" x14ac:dyDescent="0.3">
      <c r="J116" s="123">
        <v>45931.625</v>
      </c>
      <c r="K116" s="59">
        <v>94.775999999999996</v>
      </c>
    </row>
    <row r="117" spans="10:11" x14ac:dyDescent="0.3">
      <c r="J117" s="123">
        <v>45932.625</v>
      </c>
      <c r="K117" s="59">
        <v>94.875</v>
      </c>
    </row>
    <row r="118" spans="10:11" x14ac:dyDescent="0.3">
      <c r="J118" s="123">
        <v>45933.625</v>
      </c>
      <c r="K118" s="59">
        <v>94.998000000000005</v>
      </c>
    </row>
    <row r="119" spans="10:11" x14ac:dyDescent="0.3">
      <c r="J119" s="123">
        <v>45936.625</v>
      </c>
      <c r="K119" s="59">
        <v>94.927999999999997</v>
      </c>
    </row>
    <row r="120" spans="10:11" x14ac:dyDescent="0.3">
      <c r="J120" s="123">
        <v>45937.625</v>
      </c>
      <c r="K120" s="59">
        <v>94.911000000000001</v>
      </c>
    </row>
    <row r="121" spans="10:11" x14ac:dyDescent="0.3">
      <c r="J121" s="123">
        <v>45938.625</v>
      </c>
      <c r="K121" s="59">
        <v>94.834000000000003</v>
      </c>
    </row>
    <row r="122" spans="10:11" x14ac:dyDescent="0.3">
      <c r="J122" s="123">
        <v>45939.625</v>
      </c>
      <c r="K122" s="59">
        <v>94.65</v>
      </c>
    </row>
    <row r="123" spans="10:11" x14ac:dyDescent="0.3">
      <c r="J123" s="123">
        <v>45944.625</v>
      </c>
      <c r="K123" s="59">
        <v>94.346999999999994</v>
      </c>
    </row>
    <row r="124" spans="10:11" x14ac:dyDescent="0.3">
      <c r="J124" s="123">
        <v>45945.625</v>
      </c>
      <c r="K124" s="59">
        <v>94.986999999999995</v>
      </c>
    </row>
    <row r="125" spans="10:11" x14ac:dyDescent="0.3">
      <c r="J125" s="123">
        <v>45946.625</v>
      </c>
      <c r="K125" s="59">
        <v>95.355000000000004</v>
      </c>
    </row>
    <row r="126" spans="10:11" x14ac:dyDescent="0.3">
      <c r="J126" s="123">
        <v>45947.625</v>
      </c>
      <c r="K126" s="59">
        <v>95.215000000000003</v>
      </c>
    </row>
    <row r="127" spans="10:11" x14ac:dyDescent="0.3">
      <c r="J127" s="123">
        <v>45950.625</v>
      </c>
      <c r="K127" s="59">
        <v>95.445999999999998</v>
      </c>
    </row>
    <row r="128" spans="10:11" x14ac:dyDescent="0.3">
      <c r="J128" s="123">
        <v>45951.625</v>
      </c>
      <c r="K128" s="59">
        <v>95.558999999999997</v>
      </c>
    </row>
    <row r="129" spans="10:11" x14ac:dyDescent="0.3">
      <c r="J129" s="123">
        <v>45952.625</v>
      </c>
      <c r="K129" s="59">
        <v>95.542000000000002</v>
      </c>
    </row>
    <row r="130" spans="10:11" x14ac:dyDescent="0.3">
      <c r="J130" s="123">
        <v>45953.625</v>
      </c>
      <c r="K130" s="59">
        <v>95.227999999999994</v>
      </c>
    </row>
    <row r="131" spans="10:11" x14ac:dyDescent="0.3">
      <c r="J131" s="123">
        <v>45954.625</v>
      </c>
      <c r="K131" s="59">
        <v>95.394999999999996</v>
      </c>
    </row>
    <row r="132" spans="10:11" x14ac:dyDescent="0.3">
      <c r="J132" s="123">
        <v>45957.625</v>
      </c>
      <c r="K132" s="59">
        <v>95.512</v>
      </c>
    </row>
    <row r="133" spans="10:11" x14ac:dyDescent="0.3">
      <c r="J133" s="123">
        <v>45958.625</v>
      </c>
      <c r="K133" s="59">
        <v>95.64</v>
      </c>
    </row>
    <row r="134" spans="10:11" x14ac:dyDescent="0.3">
      <c r="J134" s="123">
        <v>45959.625</v>
      </c>
      <c r="K134" s="59">
        <v>95.855000000000004</v>
      </c>
    </row>
    <row r="135" spans="10:11" x14ac:dyDescent="0.3">
      <c r="J135" s="123">
        <v>45960.625</v>
      </c>
      <c r="K135" s="59">
        <v>95.501000000000005</v>
      </c>
    </row>
    <row r="136" spans="10:11" x14ac:dyDescent="0.3">
      <c r="J136" s="123">
        <v>45961.625</v>
      </c>
      <c r="K136" s="59">
        <v>95.555999999999997</v>
      </c>
    </row>
    <row r="137" spans="10:11" x14ac:dyDescent="0.3">
      <c r="J137" s="123">
        <v>45964.625</v>
      </c>
      <c r="K137" s="59">
        <v>95.506</v>
      </c>
    </row>
    <row r="138" spans="10:11" x14ac:dyDescent="0.3">
      <c r="J138" s="123"/>
    </row>
    <row r="139" spans="10:11" x14ac:dyDescent="0.3">
      <c r="J139" s="123"/>
    </row>
    <row r="140" spans="10:11" x14ac:dyDescent="0.3">
      <c r="J140" s="123"/>
    </row>
    <row r="141" spans="10:11" x14ac:dyDescent="0.3">
      <c r="J141" s="123"/>
    </row>
    <row r="142" spans="10:11" x14ac:dyDescent="0.3">
      <c r="J142" s="123"/>
    </row>
    <row r="143" spans="10:11" x14ac:dyDescent="0.3">
      <c r="J143" s="123"/>
    </row>
  </sheetData>
  <mergeCells count="2">
    <mergeCell ref="B12:D12"/>
    <mergeCell ref="E12:G12"/>
  </mergeCells>
  <conditionalFormatting sqref="M1:M7 H8:H1048576">
    <cfRule type="cellIs" dxfId="15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558-2182-4AF5-B3B3-E5912781804D}">
  <dimension ref="A1:W141"/>
  <sheetViews>
    <sheetView topLeftCell="G13" zoomScale="80" zoomScaleNormal="80" workbookViewId="0">
      <selection activeCell="A37" sqref="A37:A43"/>
    </sheetView>
  </sheetViews>
  <sheetFormatPr defaultColWidth="8.88671875" defaultRowHeight="14.4" x14ac:dyDescent="0.3"/>
  <cols>
    <col min="1" max="1" width="15.44140625" style="54" bestFit="1" customWidth="1"/>
    <col min="2" max="5" width="16.88671875" style="54" customWidth="1"/>
    <col min="6" max="6" width="10.5546875" style="54" bestFit="1" customWidth="1"/>
    <col min="7" max="7" width="11.5546875" style="54" bestFit="1" customWidth="1"/>
    <col min="8" max="8" width="10.44140625" style="54" bestFit="1" customWidth="1"/>
    <col min="9" max="9" width="11.5546875" style="54" bestFit="1" customWidth="1"/>
    <col min="10" max="10" width="13.33203125" style="54" bestFit="1" customWidth="1"/>
    <col min="11" max="12" width="11.5546875" style="54" bestFit="1" customWidth="1"/>
    <col min="13" max="13" width="13.33203125" style="54" bestFit="1" customWidth="1"/>
    <col min="14" max="14" width="11.88671875" style="54" bestFit="1" customWidth="1"/>
    <col min="15" max="15" width="9.109375"/>
    <col min="16" max="16" width="15.6640625" style="54" hidden="1" customWidth="1"/>
    <col min="17" max="17" width="8.88671875" style="54" hidden="1" customWidth="1"/>
    <col min="18" max="18" width="15.6640625" style="54" hidden="1" customWidth="1"/>
    <col min="19" max="19" width="8.88671875" style="54" hidden="1" customWidth="1"/>
    <col min="20" max="20" width="15.6640625" style="54" hidden="1" customWidth="1"/>
    <col min="21" max="21" width="8.88671875" style="54" hidden="1" customWidth="1"/>
    <col min="22" max="22" width="15.6640625" style="54" hidden="1" customWidth="1"/>
    <col min="23" max="23" width="8.88671875" style="54" hidden="1" customWidth="1"/>
    <col min="24" max="16384" width="8.88671875" style="54"/>
  </cols>
  <sheetData>
    <row r="1" spans="1:23" ht="15" thickBot="1" x14ac:dyDescent="0.35">
      <c r="A1" s="1"/>
      <c r="B1" s="1"/>
      <c r="C1" s="1"/>
      <c r="D1" s="1"/>
      <c r="E1" s="1"/>
      <c r="P1" s="53"/>
      <c r="Q1" s="1"/>
      <c r="R1" s="1"/>
      <c r="S1" s="1"/>
      <c r="T1" s="1"/>
      <c r="U1" s="1"/>
      <c r="V1" s="1"/>
    </row>
    <row r="2" spans="1:23" ht="15" thickBot="1" x14ac:dyDescent="0.35">
      <c r="A2" s="30"/>
      <c r="B2" s="40" t="s">
        <v>0</v>
      </c>
      <c r="C2" s="44" t="s">
        <v>1</v>
      </c>
      <c r="D2" s="68" t="s">
        <v>1</v>
      </c>
      <c r="E2" s="69" t="s">
        <v>0</v>
      </c>
      <c r="G2" s="124" t="s">
        <v>101</v>
      </c>
      <c r="H2" s="125">
        <v>0.625</v>
      </c>
      <c r="P2" s="27" t="s">
        <v>0</v>
      </c>
      <c r="Q2" s="1"/>
      <c r="R2" s="44" t="s">
        <v>1</v>
      </c>
      <c r="S2" s="2"/>
      <c r="T2" s="28" t="s">
        <v>1</v>
      </c>
      <c r="U2" s="1"/>
      <c r="V2" s="69" t="s">
        <v>0</v>
      </c>
    </row>
    <row r="3" spans="1:23" x14ac:dyDescent="0.3">
      <c r="A3" s="15" t="s">
        <v>32</v>
      </c>
      <c r="B3" s="61" t="s">
        <v>44</v>
      </c>
      <c r="C3" s="70" t="s">
        <v>45</v>
      </c>
      <c r="D3" s="70" t="s">
        <v>46</v>
      </c>
      <c r="E3" s="62" t="s">
        <v>47</v>
      </c>
      <c r="P3" s="123" cm="1">
        <f t="array" ref="P3:Q44">_xll.BDH(B4, "LAST_PRICE", "01/01/2025 15:00:00", "01/01/2035 16:00:00", "BarSize=60", "BarType=T", "RecurDaily=True", "TZ=New_York")</f>
        <v>45903.625</v>
      </c>
      <c r="Q3" s="46">
        <v>99.248999999999995</v>
      </c>
      <c r="R3" s="123" cm="1">
        <f t="array" ref="R3:S128">_xll.BDH(C4, "LAST_PRICE", "01/01/2025 15:00:00", "01/01/2035 16:00:00", "BarSize=60", "BarType=T", "RecurDaily=True", "TZ=New_York")</f>
        <v>45783.625</v>
      </c>
      <c r="S3" s="46">
        <v>99.515625</v>
      </c>
      <c r="T3" s="123" cm="1">
        <f t="array" ref="T3:U135">_xll.BDH(D4, "LAST_PRICE", "01/01/2025 15:00:00", "01/01/2035 16:00:00", "BarSize=60", "BarType=T", "RecurDaily=True", "TZ=New_York")</f>
        <v>45768.625</v>
      </c>
      <c r="U3" s="1">
        <v>85.063999999999993</v>
      </c>
      <c r="V3" s="123" cm="1">
        <f t="array" ref="V3:W126">_xll.BDH(E4, "LAST_PRICE", "01/01/2025 15:00:00", "01/01/2035 16:00:00", "BarSize=60", "BarType=T", "RecurDaily=True", "TZ=New_York")</f>
        <v>45785.625</v>
      </c>
      <c r="W3" s="54">
        <v>98.578125</v>
      </c>
    </row>
    <row r="4" spans="1:23" ht="32.25" customHeight="1" x14ac:dyDescent="0.3">
      <c r="A4" s="15" t="s">
        <v>33</v>
      </c>
      <c r="B4" s="63" t="s">
        <v>48</v>
      </c>
      <c r="C4" s="41" t="s">
        <v>49</v>
      </c>
      <c r="D4" s="41" t="s">
        <v>50</v>
      </c>
      <c r="E4" s="42" t="s">
        <v>51</v>
      </c>
      <c r="P4" s="126">
        <v>45904.625</v>
      </c>
      <c r="Q4" s="1">
        <v>99.715000000000003</v>
      </c>
      <c r="R4" s="127">
        <v>45784.625</v>
      </c>
      <c r="S4" s="1">
        <v>99.796875</v>
      </c>
      <c r="T4" s="127">
        <v>45769.625</v>
      </c>
      <c r="U4" s="1">
        <v>85.619</v>
      </c>
      <c r="V4" s="127">
        <v>45786.625</v>
      </c>
      <c r="W4" s="54">
        <v>98.65625</v>
      </c>
    </row>
    <row r="5" spans="1:23" x14ac:dyDescent="0.3">
      <c r="A5" s="15" t="s">
        <v>8</v>
      </c>
      <c r="B5" s="64">
        <f>14*10^6</f>
        <v>14000000</v>
      </c>
      <c r="C5" s="7">
        <f>13.6*10^6</f>
        <v>13600000</v>
      </c>
      <c r="D5" s="7">
        <f>5*10^6</f>
        <v>5000000</v>
      </c>
      <c r="E5" s="8">
        <f>4.2*10^6</f>
        <v>4200000</v>
      </c>
      <c r="P5" s="126">
        <v>45905.625</v>
      </c>
      <c r="Q5" s="1">
        <v>100.001</v>
      </c>
      <c r="R5" s="127">
        <v>45785.625</v>
      </c>
      <c r="S5" s="1">
        <v>98.921875</v>
      </c>
      <c r="T5" s="127">
        <v>45770.625</v>
      </c>
      <c r="U5" s="1">
        <v>87.418000000000006</v>
      </c>
      <c r="V5" s="127">
        <v>45789.625</v>
      </c>
      <c r="W5" s="54">
        <v>97.703125</v>
      </c>
    </row>
    <row r="6" spans="1:23" x14ac:dyDescent="0.3">
      <c r="A6" s="15" t="s">
        <v>10</v>
      </c>
      <c r="B6" s="66">
        <v>4.8750000000000002E-2</v>
      </c>
      <c r="C6" s="71">
        <v>4.2500000000000003E-2</v>
      </c>
      <c r="D6" s="71">
        <v>5.3749999999999999E-2</v>
      </c>
      <c r="E6" s="10">
        <v>4.7500000000000001E-2</v>
      </c>
      <c r="P6" s="126">
        <v>45908.625</v>
      </c>
      <c r="Q6" s="1">
        <v>100.20399999999999</v>
      </c>
      <c r="R6" s="127">
        <v>45786.625</v>
      </c>
      <c r="S6" s="1">
        <v>98.984375</v>
      </c>
      <c r="T6" s="127">
        <v>45771.625</v>
      </c>
      <c r="U6" s="1">
        <v>87.713999999999999</v>
      </c>
      <c r="V6" s="127">
        <v>45790.625</v>
      </c>
      <c r="W6" s="54">
        <v>97.296875</v>
      </c>
    </row>
    <row r="7" spans="1:23" x14ac:dyDescent="0.3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10">
        <v>4.2299999999999997E-2</v>
      </c>
      <c r="P7" s="127">
        <v>45909.625</v>
      </c>
      <c r="Q7" s="1">
        <v>100.259</v>
      </c>
      <c r="R7" s="127">
        <v>45789.625</v>
      </c>
      <c r="S7" s="1">
        <v>98.28125</v>
      </c>
      <c r="T7" s="127">
        <v>45772.625</v>
      </c>
      <c r="U7" s="1">
        <v>88.004999999999995</v>
      </c>
      <c r="V7" s="127">
        <v>45791.625</v>
      </c>
      <c r="W7" s="1">
        <v>96.65625</v>
      </c>
    </row>
    <row r="8" spans="1:23" x14ac:dyDescent="0.3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126">
        <v>45910.625</v>
      </c>
      <c r="Q8" s="54">
        <v>100.4</v>
      </c>
      <c r="R8" s="126">
        <v>45790.625</v>
      </c>
      <c r="S8" s="54">
        <v>98.15625</v>
      </c>
      <c r="T8" s="126">
        <v>45775.625</v>
      </c>
      <c r="U8" s="54">
        <v>87.984999999999999</v>
      </c>
      <c r="V8" s="126">
        <v>45792.625</v>
      </c>
      <c r="W8" s="54">
        <v>97.46875</v>
      </c>
    </row>
    <row r="9" spans="1:23" x14ac:dyDescent="0.3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126">
        <v>45911.625</v>
      </c>
      <c r="Q9" s="54">
        <v>100.831</v>
      </c>
      <c r="R9" s="126">
        <v>45791.625</v>
      </c>
      <c r="S9" s="54">
        <v>97.75</v>
      </c>
      <c r="T9" s="126">
        <v>45776.625</v>
      </c>
      <c r="U9" s="54">
        <v>88.3</v>
      </c>
      <c r="V9" s="126">
        <v>45793.625</v>
      </c>
      <c r="W9" s="54">
        <v>97.65625</v>
      </c>
    </row>
    <row r="10" spans="1:23" ht="15" thickBot="1" x14ac:dyDescent="0.35">
      <c r="A10" s="16" t="s">
        <v>28</v>
      </c>
      <c r="B10" s="11" cm="1">
        <f t="array" ref="B10">_xll.BDP(B4,"px_last")</f>
        <v>101.203</v>
      </c>
      <c r="C10" s="21" cm="1">
        <f t="array" ref="C10">_xll.BDP(C4,"px_last")</f>
        <v>101.25</v>
      </c>
      <c r="D10" s="21" cm="1">
        <f t="array" ref="D10">_xll.BDP(D4,"px_last")</f>
        <v>95.65</v>
      </c>
      <c r="E10" s="22" cm="1">
        <f t="array" ref="E10">_xll.BDP(E4,"px_last")</f>
        <v>100.859375</v>
      </c>
      <c r="F10" s="1"/>
      <c r="G10" s="1"/>
      <c r="H10" s="1"/>
      <c r="I10" s="1"/>
      <c r="J10" s="1"/>
      <c r="K10" s="1"/>
      <c r="L10" s="1"/>
      <c r="M10" s="1"/>
      <c r="N10" s="1"/>
      <c r="P10" s="126">
        <v>45912.625</v>
      </c>
      <c r="Q10" s="54">
        <v>100.739</v>
      </c>
      <c r="R10" s="126">
        <v>45792.625</v>
      </c>
      <c r="S10" s="54">
        <v>98.421875</v>
      </c>
      <c r="T10" s="126">
        <v>45777.625</v>
      </c>
      <c r="U10" s="54">
        <v>88.176000000000002</v>
      </c>
      <c r="V10" s="126">
        <v>45796.625</v>
      </c>
      <c r="W10" s="54">
        <v>97.3125</v>
      </c>
    </row>
    <row r="11" spans="1:23" ht="15" thickBot="1" x14ac:dyDescent="0.3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26">
        <v>45915.625</v>
      </c>
      <c r="Q11" s="54">
        <v>100.795</v>
      </c>
      <c r="R11" s="126">
        <v>45793.625</v>
      </c>
      <c r="S11" s="54">
        <v>98.453125</v>
      </c>
      <c r="T11" s="126">
        <v>45778.625</v>
      </c>
      <c r="U11" s="54">
        <v>87.49</v>
      </c>
      <c r="V11" s="126">
        <v>45797.625</v>
      </c>
      <c r="W11" s="54">
        <v>96.609375</v>
      </c>
    </row>
    <row r="12" spans="1:23" ht="15" thickBot="1" x14ac:dyDescent="0.35">
      <c r="A12" s="39" t="s">
        <v>22</v>
      </c>
      <c r="B12" s="169" t="s">
        <v>0</v>
      </c>
      <c r="C12" s="170"/>
      <c r="D12" s="170"/>
      <c r="E12" s="175" t="s">
        <v>1</v>
      </c>
      <c r="F12" s="176"/>
      <c r="G12" s="177"/>
      <c r="H12" s="172" t="s">
        <v>1</v>
      </c>
      <c r="I12" s="173"/>
      <c r="J12" s="174"/>
      <c r="K12" s="178" t="s">
        <v>0</v>
      </c>
      <c r="L12" s="179"/>
      <c r="M12" s="180"/>
      <c r="N12" s="39" t="s">
        <v>16</v>
      </c>
      <c r="P12" s="126">
        <v>45916.625</v>
      </c>
      <c r="Q12" s="54">
        <v>101.098</v>
      </c>
      <c r="R12" s="126">
        <v>45796.625</v>
      </c>
      <c r="S12" s="54">
        <v>98.34375</v>
      </c>
      <c r="T12" s="126">
        <v>45779.625</v>
      </c>
      <c r="U12" s="54">
        <v>87.135999999999996</v>
      </c>
      <c r="V12" s="126">
        <v>45798.625</v>
      </c>
      <c r="W12" s="54">
        <v>94.953125</v>
      </c>
    </row>
    <row r="13" spans="1:23" ht="15" thickBot="1" x14ac:dyDescent="0.35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6"/>
      <c r="P13" s="126">
        <v>45917.625</v>
      </c>
      <c r="Q13" s="54">
        <v>100.999</v>
      </c>
      <c r="R13" s="126">
        <v>45797.625</v>
      </c>
      <c r="S13" s="54">
        <v>98.140625</v>
      </c>
      <c r="T13" s="126">
        <v>45782.625</v>
      </c>
      <c r="U13" s="54">
        <v>86.95</v>
      </c>
      <c r="V13" s="126">
        <v>45799.625</v>
      </c>
      <c r="W13" s="54">
        <v>95.421875</v>
      </c>
    </row>
    <row r="14" spans="1:23" x14ac:dyDescent="0.3">
      <c r="A14" s="36">
        <v>45931</v>
      </c>
      <c r="B14" s="45">
        <v>100.65</v>
      </c>
      <c r="C14" s="46"/>
      <c r="D14" s="47"/>
      <c r="E14" s="45">
        <v>100.898</v>
      </c>
      <c r="F14" s="46"/>
      <c r="G14" s="47"/>
      <c r="H14" s="45">
        <v>94.375</v>
      </c>
      <c r="I14" s="46"/>
      <c r="J14" s="47"/>
      <c r="K14" s="45">
        <v>100.297</v>
      </c>
      <c r="L14" s="1"/>
      <c r="M14" s="5"/>
      <c r="N14" s="79">
        <v>0</v>
      </c>
      <c r="P14" s="126">
        <v>45918.625</v>
      </c>
      <c r="Q14" s="54">
        <v>101.124</v>
      </c>
      <c r="R14" s="126">
        <v>45798.625</v>
      </c>
      <c r="S14" s="54">
        <v>97.34375</v>
      </c>
      <c r="T14" s="126">
        <v>45783.625</v>
      </c>
      <c r="U14" s="54">
        <v>86.616</v>
      </c>
      <c r="V14" s="126">
        <v>45804.625</v>
      </c>
      <c r="W14" s="54">
        <v>96.921875</v>
      </c>
    </row>
    <row r="15" spans="1:23" x14ac:dyDescent="0.3">
      <c r="A15" s="36">
        <v>45932</v>
      </c>
      <c r="B15" s="45">
        <f t="shared" ref="B15:B35" si="0">VLOOKUP(A15+$H$2,P:Q,2)</f>
        <v>100.93300000000001</v>
      </c>
      <c r="C15" s="31">
        <f t="shared" ref="C15" si="1">(B15-$B$14)/100*$B$5</f>
        <v>39620.000000000175</v>
      </c>
      <c r="D15" s="32">
        <f t="shared" ref="D15" si="2">(A15-$A$14)/360*$B$6*$B$5-(A15-$A$14)/360*$B$7*$B$5*$B$14/100</f>
        <v>240.1408333333336</v>
      </c>
      <c r="E15" s="73">
        <f t="shared" ref="E15:E35" si="3">VLOOKUP(A15+$H$2,R:S,2)</f>
        <v>101.421875</v>
      </c>
      <c r="F15" s="31">
        <f t="shared" ref="F15" si="4">(E15-$E$14)/100*$C$5</f>
        <v>71247.000000000524</v>
      </c>
      <c r="G15" s="32">
        <f t="shared" ref="G15" si="5">(A15-$A$14)/360*$C$6*$C$5-(A15-$A$14)/360*$C$7*$C$5*$E$14/100</f>
        <v>-6.7944844444439241</v>
      </c>
      <c r="H15" s="4">
        <f t="shared" ref="H15:H35" si="6">VLOOKUP(A15+$H$2,T:U,2)</f>
        <v>94.884</v>
      </c>
      <c r="I15" s="31">
        <f t="shared" ref="I15" si="7">(H15-$H$14)/100*$D$5</f>
        <v>25450.000000000018</v>
      </c>
      <c r="J15" s="32">
        <f t="shared" ref="J15" si="8">(A15-$A$14)/360*$D$6*$D$5-(A15-$A$14)/360*$D$7*$D$5*$H$14/100</f>
        <v>192.07465277777771</v>
      </c>
      <c r="K15" s="73">
        <f t="shared" ref="K15:K35" si="9">VLOOKUP(A15+$H$2,V:W,2)</f>
        <v>100.84375</v>
      </c>
      <c r="L15" s="31">
        <f t="shared" ref="L15" si="10">(K15-$K$14)/100*$E$5</f>
        <v>22963.500000000124</v>
      </c>
      <c r="M15" s="32">
        <f t="shared" ref="M15" si="11">(A15-$A$14)/360*$E$6*$E$5-(A15-$A$14)/360*$E$7*$E$5*$K$14/100</f>
        <v>59.20097166666676</v>
      </c>
      <c r="N15" s="79">
        <f t="shared" ref="N15:N20" si="12">C15+D15-F15-G15-I15-J15+L15+M15</f>
        <v>-33999.438363333589</v>
      </c>
      <c r="P15" s="126">
        <v>45919.625</v>
      </c>
      <c r="Q15" s="54">
        <v>101.01</v>
      </c>
      <c r="R15" s="126">
        <v>45799.625</v>
      </c>
      <c r="S15" s="54">
        <v>97.71875</v>
      </c>
      <c r="T15" s="126">
        <v>45784.625</v>
      </c>
      <c r="U15" s="54">
        <v>86.994</v>
      </c>
      <c r="V15" s="126">
        <v>45805.625</v>
      </c>
      <c r="W15" s="54">
        <v>96.484375</v>
      </c>
    </row>
    <row r="16" spans="1:23" x14ac:dyDescent="0.3">
      <c r="A16" s="36">
        <v>45933</v>
      </c>
      <c r="B16" s="45">
        <f t="shared" si="0"/>
        <v>100.828</v>
      </c>
      <c r="C16" s="31">
        <f t="shared" ref="C16:C33" si="13">(B16-$B$14)/100*$B$5</f>
        <v>24919.999999999618</v>
      </c>
      <c r="D16" s="32">
        <f t="shared" ref="D16:D33" si="14">(A16-$A$14)/360*$B$6*$B$5-(A16-$A$14)/360*$B$7*$B$5*$B$14/100</f>
        <v>480.28166666666721</v>
      </c>
      <c r="E16" s="73">
        <f t="shared" si="3"/>
        <v>101.15625</v>
      </c>
      <c r="F16" s="31">
        <f t="shared" ref="F16:F33" si="15">(E16-$E$14)/100*$C$5</f>
        <v>35122.000000000524</v>
      </c>
      <c r="G16" s="32">
        <f t="shared" ref="G16:G33" si="16">(A16-$A$14)/360*$C$6*$C$5-(A16-$A$14)/360*$C$7*$C$5*$E$14/100</f>
        <v>-13.588968888887848</v>
      </c>
      <c r="H16" s="4">
        <f t="shared" si="6"/>
        <v>94.835999999999999</v>
      </c>
      <c r="I16" s="31">
        <f t="shared" ref="I16:I33" si="17">(H16-$H$14)/100*$D$5</f>
        <v>23049.999999999927</v>
      </c>
      <c r="J16" s="32">
        <f t="shared" ref="J16:J33" si="18">(A16-$A$14)/360*$D$6*$D$5-(A16-$A$14)/360*$D$7*$D$5*$H$14/100</f>
        <v>384.14930555555543</v>
      </c>
      <c r="K16" s="73">
        <f t="shared" si="9"/>
        <v>100.5625</v>
      </c>
      <c r="L16" s="31">
        <f t="shared" ref="L16:L33" si="19">(K16-$K$14)/100*$E$5</f>
        <v>11151.000000000126</v>
      </c>
      <c r="M16" s="32">
        <f t="shared" ref="M16:M33" si="20">(A16-$A$14)/360*$E$6*$E$5-(A16-$A$14)/360*$E$7*$E$5*$K$14/100</f>
        <v>118.40194333333352</v>
      </c>
      <c r="N16" s="79">
        <f t="shared" si="12"/>
        <v>-21872.876726667379</v>
      </c>
      <c r="P16" s="126">
        <v>45922.625</v>
      </c>
      <c r="Q16" s="54">
        <v>100.876</v>
      </c>
      <c r="R16" s="126">
        <v>45804.625</v>
      </c>
      <c r="S16" s="54">
        <v>98.46875</v>
      </c>
      <c r="T16" s="126">
        <v>45785.625</v>
      </c>
      <c r="U16" s="54">
        <v>86.653999999999996</v>
      </c>
      <c r="V16" s="126">
        <v>45806.625</v>
      </c>
      <c r="W16" s="54">
        <v>97.28125</v>
      </c>
    </row>
    <row r="17" spans="1:23" x14ac:dyDescent="0.3">
      <c r="A17" s="36">
        <v>45936</v>
      </c>
      <c r="B17" s="45">
        <f t="shared" si="0"/>
        <v>100.62</v>
      </c>
      <c r="C17" s="31">
        <f t="shared" si="13"/>
        <v>-4200.0000000001592</v>
      </c>
      <c r="D17" s="32">
        <f t="shared" si="14"/>
        <v>1200.7041666666682</v>
      </c>
      <c r="E17" s="73">
        <f t="shared" si="3"/>
        <v>100.8125</v>
      </c>
      <c r="F17" s="31">
        <f t="shared" si="15"/>
        <v>-11627.999999999474</v>
      </c>
      <c r="G17" s="32">
        <f t="shared" si="16"/>
        <v>-33.972422222220303</v>
      </c>
      <c r="H17" s="4">
        <f t="shared" si="6"/>
        <v>94.5</v>
      </c>
      <c r="I17" s="31">
        <f t="shared" si="17"/>
        <v>6250</v>
      </c>
      <c r="J17" s="32">
        <f t="shared" si="18"/>
        <v>960.37326388888914</v>
      </c>
      <c r="K17" s="73">
        <f t="shared" si="9"/>
        <v>99.8125</v>
      </c>
      <c r="L17" s="31">
        <f t="shared" si="19"/>
        <v>-20348.999999999876</v>
      </c>
      <c r="M17" s="32">
        <f t="shared" si="20"/>
        <v>296.00485833333414</v>
      </c>
      <c r="N17" s="79">
        <f t="shared" si="12"/>
        <v>-18600.691816667229</v>
      </c>
      <c r="P17" s="126">
        <v>45923.625</v>
      </c>
      <c r="Q17" s="54">
        <v>101.107</v>
      </c>
      <c r="R17" s="126">
        <v>45805.625</v>
      </c>
      <c r="S17" s="54">
        <v>98.171875</v>
      </c>
      <c r="T17" s="126">
        <v>45786.625</v>
      </c>
      <c r="U17" s="54">
        <v>86.421999999999997</v>
      </c>
      <c r="V17" s="126">
        <v>45807.625</v>
      </c>
      <c r="W17" s="54">
        <v>97.484375</v>
      </c>
    </row>
    <row r="18" spans="1:23" x14ac:dyDescent="0.3">
      <c r="A18" s="36">
        <v>45937</v>
      </c>
      <c r="B18" s="45">
        <f t="shared" si="0"/>
        <v>100.702</v>
      </c>
      <c r="C18" s="31">
        <f t="shared" si="13"/>
        <v>7279.9999999989486</v>
      </c>
      <c r="D18" s="32">
        <f t="shared" si="14"/>
        <v>1440.8450000000012</v>
      </c>
      <c r="E18" s="73">
        <f t="shared" si="3"/>
        <v>101.078125</v>
      </c>
      <c r="F18" s="31">
        <f t="shared" si="15"/>
        <v>24497.000000000528</v>
      </c>
      <c r="G18" s="32">
        <f t="shared" si="16"/>
        <v>-40.766906666663999</v>
      </c>
      <c r="H18" s="4">
        <f t="shared" si="6"/>
        <v>94.43</v>
      </c>
      <c r="I18" s="31">
        <f t="shared" si="17"/>
        <v>2750.0000000003411</v>
      </c>
      <c r="J18" s="32">
        <f t="shared" si="18"/>
        <v>1152.4479166666674</v>
      </c>
      <c r="K18" s="73">
        <f t="shared" si="9"/>
        <v>100.34375</v>
      </c>
      <c r="L18" s="31">
        <f t="shared" si="19"/>
        <v>1963.5000000001241</v>
      </c>
      <c r="M18" s="32">
        <f t="shared" si="20"/>
        <v>355.20583000000033</v>
      </c>
      <c r="N18" s="79">
        <f t="shared" si="12"/>
        <v>-17319.130180001801</v>
      </c>
      <c r="P18" s="126">
        <v>45924.625</v>
      </c>
      <c r="Q18" s="54">
        <v>100.976</v>
      </c>
      <c r="R18" s="126">
        <v>45806.625</v>
      </c>
      <c r="S18" s="54">
        <v>98.578125</v>
      </c>
      <c r="T18" s="126">
        <v>45789.625</v>
      </c>
      <c r="U18" s="54">
        <v>86.483000000000004</v>
      </c>
      <c r="V18" s="126">
        <v>45810.625</v>
      </c>
      <c r="W18" s="54">
        <v>96.5</v>
      </c>
    </row>
    <row r="19" spans="1:23" x14ac:dyDescent="0.3">
      <c r="A19" s="36">
        <v>45938</v>
      </c>
      <c r="B19" s="45">
        <f t="shared" si="0"/>
        <v>100.80800000000001</v>
      </c>
      <c r="C19" s="31">
        <f t="shared" si="13"/>
        <v>22120.000000000175</v>
      </c>
      <c r="D19" s="32">
        <f t="shared" si="14"/>
        <v>1680.9858333333341</v>
      </c>
      <c r="E19" s="73">
        <f t="shared" si="3"/>
        <v>101.0625</v>
      </c>
      <c r="F19" s="31">
        <f t="shared" si="15"/>
        <v>22372.000000000524</v>
      </c>
      <c r="G19" s="32">
        <f t="shared" si="16"/>
        <v>-47.561391111108605</v>
      </c>
      <c r="H19" s="4">
        <f t="shared" si="6"/>
        <v>94.516999999999996</v>
      </c>
      <c r="I19" s="31">
        <f t="shared" si="17"/>
        <v>7099.9999999997954</v>
      </c>
      <c r="J19" s="32">
        <f t="shared" si="18"/>
        <v>1344.5225694444443</v>
      </c>
      <c r="K19" s="73">
        <f t="shared" si="9"/>
        <v>100.390625</v>
      </c>
      <c r="L19" s="31">
        <f t="shared" si="19"/>
        <v>3932.2500000001241</v>
      </c>
      <c r="M19" s="32">
        <f t="shared" si="20"/>
        <v>414.40680166666698</v>
      </c>
      <c r="N19" s="79">
        <f t="shared" si="12"/>
        <v>-2621.318543333357</v>
      </c>
      <c r="P19" s="126">
        <v>45925.625</v>
      </c>
      <c r="Q19" s="54">
        <v>100.703</v>
      </c>
      <c r="R19" s="126">
        <v>45807.625</v>
      </c>
      <c r="S19" s="54">
        <v>98.921875</v>
      </c>
      <c r="T19" s="126">
        <v>45790.625</v>
      </c>
      <c r="U19" s="54">
        <v>86.486000000000004</v>
      </c>
      <c r="V19" s="126">
        <v>45811.625</v>
      </c>
      <c r="W19" s="54">
        <v>96.390625</v>
      </c>
    </row>
    <row r="20" spans="1:23" x14ac:dyDescent="0.3">
      <c r="A20" s="36">
        <v>45939</v>
      </c>
      <c r="B20" s="45">
        <f t="shared" si="0"/>
        <v>100.664</v>
      </c>
      <c r="C20" s="31">
        <f t="shared" si="13"/>
        <v>1959.9999999994113</v>
      </c>
      <c r="D20" s="32">
        <f t="shared" si="14"/>
        <v>1921.1266666666688</v>
      </c>
      <c r="E20" s="73">
        <f t="shared" si="3"/>
        <v>100.984375</v>
      </c>
      <c r="F20" s="31">
        <f t="shared" si="15"/>
        <v>11747.000000000526</v>
      </c>
      <c r="G20" s="32">
        <f t="shared" si="16"/>
        <v>-54.355875555551393</v>
      </c>
      <c r="H20" s="4">
        <f t="shared" si="6"/>
        <v>94.284000000000006</v>
      </c>
      <c r="I20" s="31">
        <f t="shared" si="17"/>
        <v>-4549.999999999699</v>
      </c>
      <c r="J20" s="32">
        <f t="shared" si="18"/>
        <v>1536.5972222222217</v>
      </c>
      <c r="K20" s="73">
        <f t="shared" si="9"/>
        <v>100.359375</v>
      </c>
      <c r="L20" s="31">
        <f t="shared" si="19"/>
        <v>2619.7500000001241</v>
      </c>
      <c r="M20" s="32">
        <f t="shared" si="20"/>
        <v>473.60777333333408</v>
      </c>
      <c r="N20" s="79">
        <f t="shared" si="12"/>
        <v>-1704.7569066679584</v>
      </c>
      <c r="P20" s="126">
        <v>45926.625</v>
      </c>
      <c r="Q20" s="54">
        <v>100.732</v>
      </c>
      <c r="R20" s="126">
        <v>45810.625</v>
      </c>
      <c r="S20" s="54">
        <v>98.453125</v>
      </c>
      <c r="T20" s="126">
        <v>45791.625</v>
      </c>
      <c r="U20" s="54">
        <v>86.606999999999999</v>
      </c>
      <c r="V20" s="126">
        <v>45812.625</v>
      </c>
      <c r="W20" s="54">
        <v>97.890625</v>
      </c>
    </row>
    <row r="21" spans="1:23" x14ac:dyDescent="0.3">
      <c r="A21" s="36">
        <v>45940</v>
      </c>
      <c r="B21" s="45">
        <f t="shared" si="0"/>
        <v>100.752</v>
      </c>
      <c r="C21" s="31">
        <f t="shared" si="13"/>
        <v>14279.999999998552</v>
      </c>
      <c r="D21" s="32">
        <f t="shared" si="14"/>
        <v>2161.2675000000036</v>
      </c>
      <c r="E21" s="73">
        <f t="shared" si="3"/>
        <v>101.6875</v>
      </c>
      <c r="F21" s="31">
        <f t="shared" si="15"/>
        <v>107372.00000000054</v>
      </c>
      <c r="G21" s="32">
        <f t="shared" si="16"/>
        <v>-61.150359999995999</v>
      </c>
      <c r="H21" s="4">
        <f t="shared" si="6"/>
        <v>94.251000000000005</v>
      </c>
      <c r="I21" s="31">
        <f t="shared" si="17"/>
        <v>-6199.9999999997617</v>
      </c>
      <c r="J21" s="32">
        <f t="shared" si="18"/>
        <v>1728.6718750000009</v>
      </c>
      <c r="K21" s="73">
        <f t="shared" si="9"/>
        <v>101.828125</v>
      </c>
      <c r="L21" s="31">
        <f t="shared" si="19"/>
        <v>64307.250000000124</v>
      </c>
      <c r="M21" s="32">
        <f t="shared" si="20"/>
        <v>532.80874500000118</v>
      </c>
      <c r="N21" s="79">
        <f t="shared" ref="N21" si="21">C21+D21-F21-G21-I21-J21+L21+M21</f>
        <v>-21558.195270002099</v>
      </c>
      <c r="P21" s="126">
        <v>45929.625</v>
      </c>
      <c r="Q21" s="54">
        <v>100.789</v>
      </c>
      <c r="R21" s="126">
        <v>45811.625</v>
      </c>
      <c r="S21" s="54">
        <v>98.34375</v>
      </c>
      <c r="T21" s="126">
        <v>45792.625</v>
      </c>
      <c r="U21" s="54">
        <v>86.656999999999996</v>
      </c>
      <c r="V21" s="126">
        <v>45813.625</v>
      </c>
      <c r="W21" s="54">
        <v>97.953125</v>
      </c>
    </row>
    <row r="22" spans="1:23" x14ac:dyDescent="0.3">
      <c r="A22" s="36">
        <v>45943</v>
      </c>
      <c r="B22" s="45">
        <f t="shared" si="0"/>
        <v>100.752</v>
      </c>
      <c r="C22" s="31">
        <f t="shared" si="13"/>
        <v>14279.999999998552</v>
      </c>
      <c r="D22" s="32">
        <f t="shared" si="14"/>
        <v>2881.6900000000023</v>
      </c>
      <c r="E22" s="73">
        <f t="shared" si="3"/>
        <v>101.84375</v>
      </c>
      <c r="F22" s="31">
        <f t="shared" si="15"/>
        <v>128622.00000000052</v>
      </c>
      <c r="G22" s="32">
        <f t="shared" si="16"/>
        <v>-81.533813333327998</v>
      </c>
      <c r="H22" s="4">
        <f t="shared" si="6"/>
        <v>94.251000000000005</v>
      </c>
      <c r="I22" s="31">
        <f t="shared" si="17"/>
        <v>-6199.9999999997617</v>
      </c>
      <c r="J22" s="32">
        <f t="shared" si="18"/>
        <v>2304.8958333333348</v>
      </c>
      <c r="K22" s="73">
        <f t="shared" si="9"/>
        <v>102.0625</v>
      </c>
      <c r="L22" s="31">
        <f t="shared" si="19"/>
        <v>74151.000000000116</v>
      </c>
      <c r="M22" s="32">
        <f t="shared" si="20"/>
        <v>710.41166000000067</v>
      </c>
      <c r="N22" s="79">
        <f t="shared" ref="N22" si="22">C22+D22-F22-G22-I22-J22+L22+M22</f>
        <v>-32622.260360002092</v>
      </c>
      <c r="P22" s="126">
        <v>45930.625</v>
      </c>
      <c r="Q22" s="54">
        <v>100.753</v>
      </c>
      <c r="R22" s="126">
        <v>45812.625</v>
      </c>
      <c r="S22" s="54">
        <v>99.125</v>
      </c>
      <c r="T22" s="126">
        <v>45793.625</v>
      </c>
      <c r="U22" s="54">
        <v>87.087000000000003</v>
      </c>
      <c r="V22" s="126">
        <v>45814.625</v>
      </c>
      <c r="W22" s="54">
        <v>96.71875</v>
      </c>
    </row>
    <row r="23" spans="1:23" x14ac:dyDescent="0.3">
      <c r="A23" s="36">
        <v>45944</v>
      </c>
      <c r="B23" s="45">
        <f t="shared" si="0"/>
        <v>101.08</v>
      </c>
      <c r="C23" s="31">
        <f t="shared" si="13"/>
        <v>60199.999999998967</v>
      </c>
      <c r="D23" s="32">
        <f t="shared" si="14"/>
        <v>3121.8308333333371</v>
      </c>
      <c r="E23" s="73">
        <f t="shared" si="3"/>
        <v>101.953125</v>
      </c>
      <c r="F23" s="31">
        <f t="shared" si="15"/>
        <v>143497.00000000052</v>
      </c>
      <c r="G23" s="32">
        <f t="shared" si="16"/>
        <v>-88.328297777770786</v>
      </c>
      <c r="H23" s="4">
        <f t="shared" si="6"/>
        <v>94.539000000000001</v>
      </c>
      <c r="I23" s="31">
        <f t="shared" si="17"/>
        <v>8200.0000000000728</v>
      </c>
      <c r="J23" s="32">
        <f t="shared" si="18"/>
        <v>2496.9704861111104</v>
      </c>
      <c r="K23" s="73">
        <f t="shared" si="9"/>
        <v>102.109375</v>
      </c>
      <c r="L23" s="31">
        <f t="shared" si="19"/>
        <v>76119.750000000116</v>
      </c>
      <c r="M23" s="32">
        <f t="shared" si="20"/>
        <v>769.61263166666686</v>
      </c>
      <c r="N23" s="79">
        <f t="shared" ref="N23" si="23">C23+D23-F23-G23-I23-J23+L23+M23</f>
        <v>-13894.448723334845</v>
      </c>
      <c r="P23" s="126">
        <v>45931.625</v>
      </c>
      <c r="Q23" s="54">
        <v>100.90300000000001</v>
      </c>
      <c r="R23" s="126">
        <v>45813.625</v>
      </c>
      <c r="S23" s="54">
        <v>98.859375</v>
      </c>
      <c r="T23" s="126">
        <v>45796.625</v>
      </c>
      <c r="U23" s="54">
        <v>86.361000000000004</v>
      </c>
      <c r="V23" s="126">
        <v>45817.625</v>
      </c>
      <c r="W23" s="54">
        <v>96.8125</v>
      </c>
    </row>
    <row r="24" spans="1:23" x14ac:dyDescent="0.3">
      <c r="A24" s="36">
        <v>45945</v>
      </c>
      <c r="B24" s="45">
        <f t="shared" si="0"/>
        <v>101.08</v>
      </c>
      <c r="C24" s="31">
        <f t="shared" si="13"/>
        <v>60199.999999998967</v>
      </c>
      <c r="D24" s="32">
        <f t="shared" si="14"/>
        <v>3361.9716666666682</v>
      </c>
      <c r="E24" s="73">
        <f t="shared" si="3"/>
        <v>101.828125</v>
      </c>
      <c r="F24" s="31">
        <f t="shared" si="15"/>
        <v>126497.00000000052</v>
      </c>
      <c r="G24" s="32">
        <f t="shared" si="16"/>
        <v>-95.122782222217211</v>
      </c>
      <c r="H24" s="4">
        <f t="shared" si="6"/>
        <v>94.89</v>
      </c>
      <c r="I24" s="31">
        <f t="shared" si="17"/>
        <v>25750.000000000025</v>
      </c>
      <c r="J24" s="32">
        <f t="shared" si="18"/>
        <v>2689.0451388888887</v>
      </c>
      <c r="K24" s="73">
        <f t="shared" si="9"/>
        <v>101.890625</v>
      </c>
      <c r="L24" s="31">
        <f t="shared" si="19"/>
        <v>66932.250000000131</v>
      </c>
      <c r="M24" s="32">
        <f t="shared" si="20"/>
        <v>828.81360333333396</v>
      </c>
      <c r="N24" s="79">
        <f t="shared" ref="N24" si="24">C24+D24-F24-G24-I24-J24+L24+M24</f>
        <v>-23517.887086668132</v>
      </c>
      <c r="P24" s="126">
        <v>45932.625</v>
      </c>
      <c r="Q24" s="54">
        <v>100.93300000000001</v>
      </c>
      <c r="R24" s="126">
        <v>45814.625</v>
      </c>
      <c r="S24" s="54">
        <v>97.984375</v>
      </c>
      <c r="T24" s="126">
        <v>45797.625</v>
      </c>
      <c r="U24" s="54">
        <v>86.387</v>
      </c>
      <c r="V24" s="126">
        <v>45818.625</v>
      </c>
      <c r="W24" s="54">
        <v>97.265625</v>
      </c>
    </row>
    <row r="25" spans="1:23" x14ac:dyDescent="0.3">
      <c r="A25" s="36">
        <v>45946</v>
      </c>
      <c r="B25" s="45">
        <f t="shared" si="0"/>
        <v>101.307</v>
      </c>
      <c r="C25" s="31">
        <f t="shared" si="13"/>
        <v>91979.999999999505</v>
      </c>
      <c r="D25" s="32">
        <f t="shared" si="14"/>
        <v>3602.1124999999993</v>
      </c>
      <c r="E25" s="73">
        <f t="shared" si="3"/>
        <v>102.328125</v>
      </c>
      <c r="F25" s="31">
        <f t="shared" si="15"/>
        <v>194497.00000000052</v>
      </c>
      <c r="G25" s="32">
        <f t="shared" si="16"/>
        <v>-101.91726666666</v>
      </c>
      <c r="H25" s="4">
        <f t="shared" si="6"/>
        <v>94.99</v>
      </c>
      <c r="I25" s="31">
        <f t="shared" si="17"/>
        <v>30749.999999999745</v>
      </c>
      <c r="J25" s="32">
        <f t="shared" si="18"/>
        <v>2881.1197916666661</v>
      </c>
      <c r="K25" s="73">
        <f t="shared" si="9"/>
        <v>102.65625</v>
      </c>
      <c r="L25" s="31">
        <f t="shared" si="19"/>
        <v>99088.500000000131</v>
      </c>
      <c r="M25" s="32">
        <f t="shared" si="20"/>
        <v>888.01457499999924</v>
      </c>
      <c r="N25" s="79">
        <f t="shared" ref="N25" si="25">C25+D25-F25-G25-I25-J25+L25+M25</f>
        <v>-32467.575450000637</v>
      </c>
      <c r="P25" s="126">
        <v>45933.625</v>
      </c>
      <c r="Q25" s="54">
        <v>100.828</v>
      </c>
      <c r="R25" s="126">
        <v>45817.625</v>
      </c>
      <c r="S25" s="54">
        <v>98.109375</v>
      </c>
      <c r="T25" s="126">
        <v>45798.625</v>
      </c>
      <c r="U25" s="54">
        <v>85.781000000000006</v>
      </c>
      <c r="V25" s="126">
        <v>45819.625</v>
      </c>
      <c r="W25" s="54">
        <v>97.515625</v>
      </c>
    </row>
    <row r="26" spans="1:23" x14ac:dyDescent="0.3">
      <c r="A26" s="128">
        <v>45947</v>
      </c>
      <c r="B26" s="45">
        <f t="shared" si="0"/>
        <v>101.33199999999999</v>
      </c>
      <c r="C26" s="31">
        <f t="shared" si="13"/>
        <v>95479.999999998312</v>
      </c>
      <c r="D26" s="32">
        <f t="shared" si="14"/>
        <v>3842.2533333333377</v>
      </c>
      <c r="E26" s="73">
        <f t="shared" si="3"/>
        <v>102.109375</v>
      </c>
      <c r="F26" s="31">
        <f t="shared" si="15"/>
        <v>164747.00000000052</v>
      </c>
      <c r="G26" s="32">
        <f t="shared" si="16"/>
        <v>-108.71175111110279</v>
      </c>
      <c r="H26" s="4">
        <f t="shared" si="6"/>
        <v>95.174000000000007</v>
      </c>
      <c r="I26" s="31">
        <f t="shared" si="17"/>
        <v>39950.000000000335</v>
      </c>
      <c r="J26" s="32">
        <f t="shared" si="18"/>
        <v>3073.1944444444434</v>
      </c>
      <c r="K26" s="73">
        <f t="shared" si="9"/>
        <v>102.453125</v>
      </c>
      <c r="L26" s="31">
        <f t="shared" si="19"/>
        <v>90557.250000000116</v>
      </c>
      <c r="M26" s="32">
        <f t="shared" si="20"/>
        <v>947.21554666666816</v>
      </c>
      <c r="N26" s="79">
        <f t="shared" ref="N26:N27" si="26">C26+D26-F26-G26-I26-J26+L26+M26</f>
        <v>-16834.763813335761</v>
      </c>
      <c r="P26" s="126">
        <v>45936.625</v>
      </c>
      <c r="Q26" s="54">
        <v>100.62</v>
      </c>
      <c r="R26" s="126">
        <v>45818.625</v>
      </c>
      <c r="S26" s="54">
        <v>98.296875</v>
      </c>
      <c r="T26" s="126">
        <v>45799.625</v>
      </c>
      <c r="U26" s="54">
        <v>85.341999999999999</v>
      </c>
      <c r="V26" s="126">
        <v>45820.625</v>
      </c>
      <c r="W26" s="54">
        <v>98.640625</v>
      </c>
    </row>
    <row r="27" spans="1:23" x14ac:dyDescent="0.3">
      <c r="A27" s="128">
        <v>45950</v>
      </c>
      <c r="B27" s="45">
        <f t="shared" si="0"/>
        <v>101.574</v>
      </c>
      <c r="C27" s="31">
        <f t="shared" si="13"/>
        <v>129359.99999999894</v>
      </c>
      <c r="D27" s="32">
        <f t="shared" si="14"/>
        <v>4562.6758333333346</v>
      </c>
      <c r="E27" s="73">
        <f t="shared" si="3"/>
        <v>102.265625</v>
      </c>
      <c r="F27" s="31">
        <f t="shared" si="15"/>
        <v>185997.00000000052</v>
      </c>
      <c r="G27" s="32">
        <f t="shared" si="16"/>
        <v>-129.09520444443478</v>
      </c>
      <c r="H27" s="4">
        <f t="shared" si="6"/>
        <v>95.436000000000007</v>
      </c>
      <c r="I27" s="31">
        <f t="shared" si="17"/>
        <v>53050.000000000357</v>
      </c>
      <c r="J27" s="32">
        <f t="shared" si="18"/>
        <v>3649.4184027777792</v>
      </c>
      <c r="K27" s="73">
        <f t="shared" si="9"/>
        <v>102.84375</v>
      </c>
      <c r="L27" s="31">
        <f t="shared" si="19"/>
        <v>106963.50000000012</v>
      </c>
      <c r="M27" s="32">
        <f t="shared" si="20"/>
        <v>1124.8184616666676</v>
      </c>
      <c r="N27" s="79">
        <f t="shared" si="26"/>
        <v>-556.32890333517753</v>
      </c>
      <c r="P27" s="126">
        <v>45937.625</v>
      </c>
      <c r="Q27" s="54">
        <v>100.702</v>
      </c>
      <c r="R27" s="126">
        <v>45819.625</v>
      </c>
      <c r="S27" s="54">
        <v>98.703125</v>
      </c>
      <c r="T27" s="126">
        <v>45804.625</v>
      </c>
      <c r="U27" s="54">
        <v>86.376999999999995</v>
      </c>
      <c r="V27" s="126">
        <v>45821.625</v>
      </c>
      <c r="W27" s="54">
        <v>97.609375</v>
      </c>
    </row>
    <row r="28" spans="1:23" x14ac:dyDescent="0.3">
      <c r="A28" s="128">
        <v>45951</v>
      </c>
      <c r="B28" s="45">
        <f t="shared" si="0"/>
        <v>102.027</v>
      </c>
      <c r="C28" s="31">
        <f t="shared" si="13"/>
        <v>192779.99999999936</v>
      </c>
      <c r="D28" s="32">
        <f t="shared" si="14"/>
        <v>4802.816666666673</v>
      </c>
      <c r="E28" s="73">
        <f t="shared" si="3"/>
        <v>102.46875</v>
      </c>
      <c r="F28" s="31">
        <f t="shared" si="15"/>
        <v>213622.00000000049</v>
      </c>
      <c r="G28" s="32">
        <f t="shared" si="16"/>
        <v>-135.88968888888121</v>
      </c>
      <c r="H28" s="4">
        <f t="shared" si="6"/>
        <v>96.251999999999995</v>
      </c>
      <c r="I28" s="31">
        <f t="shared" si="17"/>
        <v>93849.999999999767</v>
      </c>
      <c r="J28" s="32">
        <f t="shared" si="18"/>
        <v>3841.4930555555566</v>
      </c>
      <c r="K28" s="73">
        <f t="shared" si="9"/>
        <v>103.34375</v>
      </c>
      <c r="L28" s="31">
        <f t="shared" si="19"/>
        <v>127963.50000000012</v>
      </c>
      <c r="M28" s="32">
        <f t="shared" si="20"/>
        <v>1184.0194333333366</v>
      </c>
      <c r="N28" s="79">
        <f t="shared" ref="N28" si="27">C28+D28-F28-G28-I28-J28+L28+M28</f>
        <v>15552.732733332554</v>
      </c>
      <c r="P28" s="126">
        <v>45938.625</v>
      </c>
      <c r="Q28" s="54">
        <v>100.80800000000001</v>
      </c>
      <c r="R28" s="126">
        <v>45820.625</v>
      </c>
      <c r="S28" s="54">
        <v>99.1875</v>
      </c>
      <c r="T28" s="126">
        <v>45805.625</v>
      </c>
      <c r="U28" s="54">
        <v>86.234999999999999</v>
      </c>
      <c r="V28" s="126">
        <v>45824.625</v>
      </c>
      <c r="W28" s="54">
        <v>96.6875</v>
      </c>
    </row>
    <row r="29" spans="1:23" x14ac:dyDescent="0.3">
      <c r="A29" s="128">
        <v>45952</v>
      </c>
      <c r="B29" s="45">
        <f t="shared" si="0"/>
        <v>102.092</v>
      </c>
      <c r="C29" s="31">
        <f t="shared" si="13"/>
        <v>201879.99999999904</v>
      </c>
      <c r="D29" s="32">
        <f t="shared" si="14"/>
        <v>5042.9575000000041</v>
      </c>
      <c r="E29" s="73">
        <f t="shared" si="3"/>
        <v>102.5</v>
      </c>
      <c r="F29" s="31">
        <f t="shared" si="15"/>
        <v>217872.00000000052</v>
      </c>
      <c r="G29" s="32">
        <f t="shared" si="16"/>
        <v>-142.68417333332764</v>
      </c>
      <c r="H29" s="4">
        <f t="shared" si="6"/>
        <v>96.382000000000005</v>
      </c>
      <c r="I29" s="31">
        <f t="shared" si="17"/>
        <v>100350.00000000025</v>
      </c>
      <c r="J29" s="32">
        <f t="shared" si="18"/>
        <v>4033.5677083333321</v>
      </c>
      <c r="K29" s="73">
        <f t="shared" si="9"/>
        <v>103.421875</v>
      </c>
      <c r="L29" s="31">
        <f t="shared" si="19"/>
        <v>131244.75000000012</v>
      </c>
      <c r="M29" s="32">
        <f t="shared" si="20"/>
        <v>1243.220405</v>
      </c>
      <c r="N29" s="79">
        <f t="shared" ref="N29" si="28">C29+D29-F29-G29-I29-J29+L29+M29</f>
        <v>17298.044369998373</v>
      </c>
      <c r="P29" s="126">
        <v>45939.625</v>
      </c>
      <c r="Q29" s="54">
        <v>100.664</v>
      </c>
      <c r="R29" s="126">
        <v>45821.625</v>
      </c>
      <c r="S29" s="54">
        <v>98.71875</v>
      </c>
      <c r="T29" s="126">
        <v>45806.625</v>
      </c>
      <c r="U29" s="54">
        <v>86.704999999999998</v>
      </c>
      <c r="V29" s="126">
        <v>45825.625</v>
      </c>
      <c r="W29" s="54">
        <v>97.828125</v>
      </c>
    </row>
    <row r="30" spans="1:23" x14ac:dyDescent="0.3">
      <c r="A30" s="128">
        <v>45953</v>
      </c>
      <c r="B30" s="45">
        <f t="shared" si="0"/>
        <v>101.815</v>
      </c>
      <c r="C30" s="31">
        <f t="shared" si="13"/>
        <v>163099.99999999889</v>
      </c>
      <c r="D30" s="32">
        <f t="shared" si="14"/>
        <v>5283.0983333333425</v>
      </c>
      <c r="E30" s="73">
        <f t="shared" si="3"/>
        <v>102.125</v>
      </c>
      <c r="F30" s="31">
        <f t="shared" si="15"/>
        <v>166872.00000000052</v>
      </c>
      <c r="G30" s="32">
        <f t="shared" si="16"/>
        <v>-149.47865777777042</v>
      </c>
      <c r="H30" s="4">
        <f t="shared" si="6"/>
        <v>96.174999999999997</v>
      </c>
      <c r="I30" s="31">
        <f t="shared" si="17"/>
        <v>89999.999999999854</v>
      </c>
      <c r="J30" s="32">
        <f t="shared" si="18"/>
        <v>4225.6423611111113</v>
      </c>
      <c r="K30" s="73">
        <f t="shared" si="9"/>
        <v>102.71875</v>
      </c>
      <c r="L30" s="31">
        <f t="shared" si="19"/>
        <v>101713.50000000013</v>
      </c>
      <c r="M30" s="32">
        <f t="shared" si="20"/>
        <v>1302.4213766666671</v>
      </c>
      <c r="N30" s="79">
        <f t="shared" ref="N30" si="29">C30+D30-F30-G30-I30-J30+L30+M30</f>
        <v>10450.856006665303</v>
      </c>
      <c r="P30" s="126">
        <v>45940.625</v>
      </c>
      <c r="Q30" s="54">
        <v>100.752</v>
      </c>
      <c r="R30" s="126">
        <v>45824.625</v>
      </c>
      <c r="S30" s="54">
        <v>98.359375</v>
      </c>
      <c r="T30" s="126">
        <v>45807.625</v>
      </c>
      <c r="U30" s="54">
        <v>86.674999999999997</v>
      </c>
      <c r="V30" s="126">
        <v>45826.625</v>
      </c>
      <c r="W30" s="54">
        <v>97.96875</v>
      </c>
    </row>
    <row r="31" spans="1:23" x14ac:dyDescent="0.3">
      <c r="A31" s="128">
        <v>45954</v>
      </c>
      <c r="B31" s="45">
        <f t="shared" si="0"/>
        <v>101.90900000000001</v>
      </c>
      <c r="C31" s="31">
        <f t="shared" si="13"/>
        <v>176260.00000000006</v>
      </c>
      <c r="D31" s="32">
        <f t="shared" si="14"/>
        <v>5523.2391666666663</v>
      </c>
      <c r="E31" s="73">
        <f t="shared" si="3"/>
        <v>102.171875</v>
      </c>
      <c r="F31" s="31">
        <f t="shared" si="15"/>
        <v>173247.00000000052</v>
      </c>
      <c r="G31" s="32">
        <f t="shared" si="16"/>
        <v>-156.27314222221321</v>
      </c>
      <c r="H31" s="4">
        <f t="shared" si="6"/>
        <v>96.123000000000005</v>
      </c>
      <c r="I31" s="31">
        <f t="shared" si="17"/>
        <v>87400.000000000233</v>
      </c>
      <c r="J31" s="32">
        <f t="shared" si="18"/>
        <v>4417.7170138888887</v>
      </c>
      <c r="K31" s="73">
        <f t="shared" si="9"/>
        <v>102.65625</v>
      </c>
      <c r="L31" s="31">
        <f t="shared" si="19"/>
        <v>99088.500000000131</v>
      </c>
      <c r="M31" s="32">
        <f t="shared" si="20"/>
        <v>1361.6223483333342</v>
      </c>
      <c r="N31" s="79">
        <f t="shared" ref="N31" si="30">C31+D31-F31-G31-I31-J31+L31+M31</f>
        <v>17324.917643332756</v>
      </c>
      <c r="P31" s="126">
        <v>45944.625</v>
      </c>
      <c r="Q31" s="54">
        <v>101.08</v>
      </c>
      <c r="R31" s="126">
        <v>45825.625</v>
      </c>
      <c r="S31" s="54">
        <v>98.90625</v>
      </c>
      <c r="T31" s="126">
        <v>45810.625</v>
      </c>
      <c r="U31" s="54">
        <v>86.381</v>
      </c>
      <c r="V31" s="126">
        <v>45827.625</v>
      </c>
      <c r="W31" s="54">
        <v>97.828125</v>
      </c>
    </row>
    <row r="32" spans="1:23" x14ac:dyDescent="0.3">
      <c r="A32" s="36">
        <v>45957</v>
      </c>
      <c r="B32" s="45">
        <f t="shared" si="0"/>
        <v>101.873</v>
      </c>
      <c r="C32" s="31">
        <f t="shared" si="13"/>
        <v>171219.99999999985</v>
      </c>
      <c r="D32" s="32">
        <f t="shared" si="14"/>
        <v>6243.6616666666741</v>
      </c>
      <c r="E32" s="73">
        <f t="shared" si="3"/>
        <v>102.203125</v>
      </c>
      <c r="F32" s="31">
        <f t="shared" si="15"/>
        <v>177497.00000000052</v>
      </c>
      <c r="G32" s="32">
        <f t="shared" si="16"/>
        <v>-176.65659555554157</v>
      </c>
      <c r="H32" s="4">
        <f t="shared" si="6"/>
        <v>96.021000000000001</v>
      </c>
      <c r="I32" s="31">
        <f t="shared" si="17"/>
        <v>82300.000000000044</v>
      </c>
      <c r="J32" s="32">
        <f t="shared" si="18"/>
        <v>4993.9409722222208</v>
      </c>
      <c r="K32" s="73">
        <f t="shared" si="9"/>
        <v>103.03125</v>
      </c>
      <c r="L32" s="31">
        <f t="shared" si="19"/>
        <v>114838.50000000013</v>
      </c>
      <c r="M32" s="32">
        <f t="shared" si="20"/>
        <v>1539.2252633333337</v>
      </c>
      <c r="N32" s="79">
        <f t="shared" ref="N32" si="31">C32+D32-F32-G32-I32-J32+L32+M32</f>
        <v>29227.102553332756</v>
      </c>
      <c r="P32" s="126">
        <v>45945.625</v>
      </c>
      <c r="Q32" s="54">
        <v>101.08</v>
      </c>
      <c r="R32" s="126">
        <v>45826.625</v>
      </c>
      <c r="S32" s="54">
        <v>98.953125</v>
      </c>
      <c r="T32" s="126">
        <v>45811.625</v>
      </c>
      <c r="U32" s="54">
        <v>86.587999999999994</v>
      </c>
      <c r="V32" s="126">
        <v>45828.625</v>
      </c>
      <c r="W32" s="54">
        <v>97.734375</v>
      </c>
    </row>
    <row r="33" spans="1:23" x14ac:dyDescent="0.3">
      <c r="A33" s="36">
        <v>45958</v>
      </c>
      <c r="B33" s="45">
        <f t="shared" si="0"/>
        <v>101.93</v>
      </c>
      <c r="C33" s="31">
        <f t="shared" si="13"/>
        <v>179200.00000000015</v>
      </c>
      <c r="D33" s="32">
        <f t="shared" si="14"/>
        <v>6483.8025000000125</v>
      </c>
      <c r="E33" s="73">
        <f t="shared" si="3"/>
        <v>102.296875</v>
      </c>
      <c r="F33" s="31">
        <f t="shared" si="15"/>
        <v>190247.00000000052</v>
      </c>
      <c r="G33" s="32">
        <f t="shared" si="16"/>
        <v>-183.45107999999163</v>
      </c>
      <c r="H33" s="4">
        <f t="shared" si="6"/>
        <v>96.426000000000002</v>
      </c>
      <c r="I33" s="31">
        <f t="shared" si="17"/>
        <v>102550.00000000009</v>
      </c>
      <c r="J33" s="32">
        <f t="shared" si="18"/>
        <v>5186.0156250000018</v>
      </c>
      <c r="K33" s="73">
        <f t="shared" si="9"/>
        <v>103.296875</v>
      </c>
      <c r="L33" s="31">
        <f t="shared" si="19"/>
        <v>125994.75000000012</v>
      </c>
      <c r="M33" s="32">
        <f t="shared" si="20"/>
        <v>1598.4262350000008</v>
      </c>
      <c r="N33" s="79">
        <f t="shared" ref="N33" si="32">C33+D33-F33-G33-I33-J33+L33+M33</f>
        <v>15477.41418999967</v>
      </c>
      <c r="P33" s="126">
        <v>45946.625</v>
      </c>
      <c r="Q33" s="54">
        <v>101.307</v>
      </c>
      <c r="R33" s="126">
        <v>45827.625</v>
      </c>
      <c r="S33" s="54">
        <v>98.875</v>
      </c>
      <c r="T33" s="126">
        <v>45812.625</v>
      </c>
      <c r="U33" s="54">
        <v>87.248000000000005</v>
      </c>
      <c r="V33" s="126">
        <v>45831.625</v>
      </c>
      <c r="W33" s="54">
        <v>98.03125</v>
      </c>
    </row>
    <row r="34" spans="1:23" x14ac:dyDescent="0.3">
      <c r="A34" s="36">
        <v>45959</v>
      </c>
      <c r="B34" s="45">
        <f t="shared" si="0"/>
        <v>101.666</v>
      </c>
      <c r="C34" s="31">
        <f t="shared" ref="C34" si="33">(B34-$B$14)/100*$B$5</f>
        <v>142239.99999999878</v>
      </c>
      <c r="D34" s="32">
        <f t="shared" ref="D34" si="34">(A34-$A$14)/360*$B$6*$B$5-(A34-$A$14)/360*$B$7*$B$5*$B$14/100</f>
        <v>6723.9433333333363</v>
      </c>
      <c r="E34" s="73">
        <f t="shared" si="3"/>
        <v>101.578125</v>
      </c>
      <c r="F34" s="31">
        <f t="shared" ref="F34" si="35">(E34-$E$14)/100*$C$5</f>
        <v>92497.000000000524</v>
      </c>
      <c r="G34" s="32">
        <f t="shared" ref="G34" si="36">(A34-$A$14)/360*$C$6*$C$5-(A34-$A$14)/360*$C$7*$C$5*$E$14/100</f>
        <v>-190.24556444443442</v>
      </c>
      <c r="H34" s="4">
        <f t="shared" si="6"/>
        <v>96.289000000000001</v>
      </c>
      <c r="I34" s="31">
        <f t="shared" ref="I34" si="37">(H34-$H$14)/100*$D$5</f>
        <v>95700.000000000073</v>
      </c>
      <c r="J34" s="32">
        <f t="shared" ref="J34" si="38">(A34-$A$14)/360*$D$6*$D$5-(A34-$A$14)/360*$D$7*$D$5*$H$14/100</f>
        <v>5378.0902777777774</v>
      </c>
      <c r="K34" s="73">
        <f t="shared" si="9"/>
        <v>102.234375</v>
      </c>
      <c r="L34" s="31">
        <f t="shared" ref="L34" si="39">(K34-$K$14)/100*$E$5</f>
        <v>81369.750000000131</v>
      </c>
      <c r="M34" s="32">
        <f t="shared" ref="M34" si="40">(A34-$A$14)/360*$E$6*$E$5-(A34-$A$14)/360*$E$7*$E$5*$K$14/100</f>
        <v>1657.6272066666679</v>
      </c>
      <c r="N34" s="79">
        <f t="shared" ref="N34" si="41">C34+D34-F34-G34-I34-J34+L34+M34</f>
        <v>38606.475826664973</v>
      </c>
      <c r="P34" s="126">
        <v>45947.625</v>
      </c>
      <c r="Q34" s="54">
        <v>101.33199999999999</v>
      </c>
      <c r="R34" s="126">
        <v>45828.625</v>
      </c>
      <c r="S34" s="54">
        <v>98.96875</v>
      </c>
      <c r="T34" s="126">
        <v>45813.625</v>
      </c>
      <c r="U34" s="54">
        <v>87.323999999999998</v>
      </c>
      <c r="V34" s="126">
        <v>45832.625</v>
      </c>
      <c r="W34" s="54">
        <v>98.703125</v>
      </c>
    </row>
    <row r="35" spans="1:23" x14ac:dyDescent="0.3">
      <c r="A35" s="36">
        <v>45960</v>
      </c>
      <c r="B35" s="45">
        <f t="shared" si="0"/>
        <v>101.41200000000001</v>
      </c>
      <c r="C35" s="31">
        <f t="shared" ref="C35:C36" si="42">(B35-$B$14)/100*$B$5</f>
        <v>106680.00000000006</v>
      </c>
      <c r="D35" s="32">
        <f t="shared" ref="D35:D36" si="43">(A35-$A$14)/360*$B$6*$B$5-(A35-$A$14)/360*$B$7*$B$5*$B$14/100</f>
        <v>6964.0841666666747</v>
      </c>
      <c r="E35" s="73">
        <f t="shared" si="3"/>
        <v>101.40625</v>
      </c>
      <c r="F35" s="31">
        <f t="shared" ref="F35:F36" si="44">(E35-$E$14)/100*$C$5</f>
        <v>69122.000000000524</v>
      </c>
      <c r="G35" s="32">
        <f t="shared" ref="G35:G36" si="45">(A35-$A$14)/360*$C$6*$C$5-(A35-$A$14)/360*$C$7*$C$5*$E$14/100</f>
        <v>-197.04004888887721</v>
      </c>
      <c r="H35" s="4">
        <f t="shared" si="6"/>
        <v>95.902000000000001</v>
      </c>
      <c r="I35" s="31">
        <f t="shared" ref="I35:I36" si="46">(H35-$H$14)/100*$D$5</f>
        <v>76350.000000000058</v>
      </c>
      <c r="J35" s="32">
        <f t="shared" ref="J35:J36" si="47">(A35-$A$14)/360*$D$6*$D$5-(A35-$A$14)/360*$D$7*$D$5*$H$14/100</f>
        <v>5570.1649305555584</v>
      </c>
      <c r="K35" s="73">
        <f t="shared" si="9"/>
        <v>101.65625</v>
      </c>
      <c r="L35" s="31">
        <f t="shared" ref="L35:L36" si="48">(K35-$K$14)/100*$E$5</f>
        <v>57088.500000000124</v>
      </c>
      <c r="M35" s="32">
        <f t="shared" ref="M35:M36" si="49">(A35-$A$14)/360*$E$6*$E$5-(A35-$A$14)/360*$E$7*$E$5*$K$14/100</f>
        <v>1716.828178333335</v>
      </c>
      <c r="N35" s="79">
        <f t="shared" ref="N35:N36" si="50">C35+D35-F35-G35-I35-J35+L35+M35</f>
        <v>21604.287463332927</v>
      </c>
      <c r="P35" s="126">
        <v>45950.625</v>
      </c>
      <c r="Q35" s="54">
        <v>101.574</v>
      </c>
      <c r="R35" s="126">
        <v>45831.625</v>
      </c>
      <c r="S35" s="54">
        <v>99.296875</v>
      </c>
      <c r="T35" s="126">
        <v>45814.625</v>
      </c>
      <c r="U35" s="54">
        <v>86.8</v>
      </c>
      <c r="V35" s="126">
        <v>45833.625</v>
      </c>
      <c r="W35" s="54">
        <v>98.75</v>
      </c>
    </row>
    <row r="36" spans="1:23" x14ac:dyDescent="0.3">
      <c r="A36" s="36">
        <v>45961</v>
      </c>
      <c r="B36" s="45">
        <f>$B$10</f>
        <v>101.203</v>
      </c>
      <c r="C36" s="31">
        <f t="shared" si="42"/>
        <v>77419.999999999607</v>
      </c>
      <c r="D36" s="32">
        <f t="shared" si="43"/>
        <v>7204.2249999999985</v>
      </c>
      <c r="E36" s="73">
        <f>$C$10</f>
        <v>101.25</v>
      </c>
      <c r="F36" s="31">
        <f t="shared" si="44"/>
        <v>47872.000000000524</v>
      </c>
      <c r="G36" s="32">
        <f t="shared" si="45"/>
        <v>-203.83453333332</v>
      </c>
      <c r="H36" s="4">
        <f>$D$10</f>
        <v>95.65</v>
      </c>
      <c r="I36" s="31">
        <f t="shared" si="46"/>
        <v>63750.000000000284</v>
      </c>
      <c r="J36" s="32">
        <f t="shared" si="47"/>
        <v>5762.2395833333321</v>
      </c>
      <c r="K36" s="73">
        <f>$E$10</f>
        <v>100.859375</v>
      </c>
      <c r="L36" s="31">
        <f t="shared" si="48"/>
        <v>23619.750000000124</v>
      </c>
      <c r="M36" s="32">
        <f t="shared" si="49"/>
        <v>1776.0291499999985</v>
      </c>
      <c r="N36" s="79">
        <f t="shared" si="50"/>
        <v>-7160.4009000010992</v>
      </c>
      <c r="P36" s="126">
        <v>45951.625</v>
      </c>
      <c r="Q36" s="54">
        <v>102.027</v>
      </c>
      <c r="R36" s="126">
        <v>45832.625</v>
      </c>
      <c r="S36" s="54">
        <v>99.671875</v>
      </c>
      <c r="T36" s="126">
        <v>45817.625</v>
      </c>
      <c r="U36" s="54">
        <v>86.730999999999995</v>
      </c>
      <c r="V36" s="126">
        <v>45834.625</v>
      </c>
      <c r="W36" s="54">
        <v>99.203125</v>
      </c>
    </row>
    <row r="37" spans="1:23" x14ac:dyDescent="0.3">
      <c r="A37" s="36">
        <v>45964</v>
      </c>
      <c r="B37" s="45"/>
      <c r="C37" s="31"/>
      <c r="D37" s="31"/>
      <c r="E37" s="73"/>
      <c r="F37" s="31"/>
      <c r="G37" s="32"/>
      <c r="H37" s="4"/>
      <c r="I37" s="31"/>
      <c r="J37" s="32"/>
      <c r="K37" s="73"/>
      <c r="L37" s="31"/>
      <c r="M37" s="32"/>
      <c r="N37" s="79"/>
      <c r="P37" s="126">
        <v>45952.625</v>
      </c>
      <c r="Q37" s="54">
        <v>102.092</v>
      </c>
      <c r="R37" s="126">
        <v>45833.625</v>
      </c>
      <c r="S37" s="54">
        <v>99.71875</v>
      </c>
      <c r="T37" s="126">
        <v>45818.625</v>
      </c>
      <c r="U37" s="54">
        <v>87.043999999999997</v>
      </c>
      <c r="V37" s="126">
        <v>45835.625</v>
      </c>
      <c r="W37" s="54">
        <v>98.515625</v>
      </c>
    </row>
    <row r="38" spans="1:23" x14ac:dyDescent="0.3">
      <c r="A38" s="36">
        <v>45965</v>
      </c>
      <c r="B38" s="45"/>
      <c r="C38" s="31"/>
      <c r="D38" s="31"/>
      <c r="E38" s="73"/>
      <c r="F38" s="31"/>
      <c r="G38" s="32"/>
      <c r="H38" s="4"/>
      <c r="I38" s="31"/>
      <c r="J38" s="32"/>
      <c r="K38" s="73"/>
      <c r="L38" s="31"/>
      <c r="M38" s="32"/>
      <c r="N38" s="79"/>
      <c r="P38" s="126">
        <v>45953.625</v>
      </c>
      <c r="Q38" s="54">
        <v>101.815</v>
      </c>
      <c r="R38" s="126">
        <v>45834.625</v>
      </c>
      <c r="S38" s="54">
        <v>100.0625</v>
      </c>
      <c r="T38" s="126">
        <v>45819.625</v>
      </c>
      <c r="U38" s="54">
        <v>87.248000000000005</v>
      </c>
      <c r="V38" s="126">
        <v>45838.625</v>
      </c>
      <c r="W38" s="54">
        <v>99.453125</v>
      </c>
    </row>
    <row r="39" spans="1:23" x14ac:dyDescent="0.3">
      <c r="A39" s="36">
        <v>45966</v>
      </c>
      <c r="B39" s="45"/>
      <c r="C39" s="31"/>
      <c r="D39" s="31"/>
      <c r="E39" s="73"/>
      <c r="F39" s="31"/>
      <c r="G39" s="32"/>
      <c r="H39" s="4"/>
      <c r="I39" s="31"/>
      <c r="J39" s="32"/>
      <c r="K39" s="73"/>
      <c r="L39" s="31"/>
      <c r="M39" s="32"/>
      <c r="N39" s="79"/>
      <c r="P39" s="126">
        <v>45954.625</v>
      </c>
      <c r="Q39" s="54">
        <v>101.90900000000001</v>
      </c>
      <c r="R39" s="126">
        <v>45835.625</v>
      </c>
      <c r="S39" s="54">
        <v>99.734375</v>
      </c>
      <c r="T39" s="126">
        <v>45820.625</v>
      </c>
      <c r="U39" s="54">
        <v>87.465999999999994</v>
      </c>
      <c r="V39" s="126">
        <v>45839.625</v>
      </c>
      <c r="W39" s="54">
        <v>99.65625</v>
      </c>
    </row>
    <row r="40" spans="1:23" x14ac:dyDescent="0.3">
      <c r="A40" s="36">
        <v>45967</v>
      </c>
      <c r="B40" s="45"/>
      <c r="C40" s="31"/>
      <c r="D40" s="31"/>
      <c r="E40" s="73"/>
      <c r="F40" s="31"/>
      <c r="G40" s="32"/>
      <c r="H40" s="4"/>
      <c r="I40" s="31"/>
      <c r="J40" s="32"/>
      <c r="K40" s="73"/>
      <c r="L40" s="31"/>
      <c r="M40" s="32"/>
      <c r="N40" s="79"/>
      <c r="P40" s="126">
        <v>45957.625</v>
      </c>
      <c r="Q40" s="54">
        <v>101.873</v>
      </c>
      <c r="R40" s="126">
        <v>45838.625</v>
      </c>
      <c r="S40" s="54">
        <v>100.171875</v>
      </c>
      <c r="T40" s="126">
        <v>45821.625</v>
      </c>
      <c r="U40" s="54">
        <v>86.977999999999994</v>
      </c>
      <c r="V40" s="126">
        <v>45840.625</v>
      </c>
      <c r="W40" s="54">
        <v>99.015625</v>
      </c>
    </row>
    <row r="41" spans="1:23" x14ac:dyDescent="0.3">
      <c r="A41" s="36">
        <v>45968</v>
      </c>
      <c r="B41" s="45"/>
      <c r="C41" s="31"/>
      <c r="D41" s="31"/>
      <c r="E41" s="73"/>
      <c r="F41" s="31"/>
      <c r="G41" s="32"/>
      <c r="H41" s="4"/>
      <c r="I41" s="31"/>
      <c r="J41" s="32"/>
      <c r="K41" s="73"/>
      <c r="L41" s="31"/>
      <c r="M41" s="32"/>
      <c r="N41" s="79"/>
      <c r="P41" s="126">
        <v>45958.625</v>
      </c>
      <c r="Q41" s="54">
        <v>101.93</v>
      </c>
      <c r="R41" s="126">
        <v>45839.625</v>
      </c>
      <c r="S41" s="54">
        <v>100</v>
      </c>
      <c r="T41" s="126">
        <v>45824.625</v>
      </c>
      <c r="U41" s="54">
        <v>86.965000000000003</v>
      </c>
      <c r="V41" s="126">
        <v>45842.625</v>
      </c>
      <c r="W41" s="54">
        <v>98.25</v>
      </c>
    </row>
    <row r="42" spans="1:23" x14ac:dyDescent="0.3">
      <c r="A42" s="36">
        <v>45969</v>
      </c>
      <c r="B42" s="45"/>
      <c r="C42" s="31"/>
      <c r="D42" s="31"/>
      <c r="E42" s="73"/>
      <c r="F42" s="31"/>
      <c r="G42" s="32"/>
      <c r="H42" s="4"/>
      <c r="I42" s="31"/>
      <c r="J42" s="32"/>
      <c r="K42" s="73"/>
      <c r="L42" s="31"/>
      <c r="M42" s="32"/>
      <c r="N42" s="79"/>
      <c r="P42" s="126">
        <v>45959.625</v>
      </c>
      <c r="Q42" s="54">
        <v>101.666</v>
      </c>
      <c r="R42" s="126">
        <v>45840.625</v>
      </c>
      <c r="S42" s="54">
        <v>99.734375</v>
      </c>
      <c r="T42" s="126">
        <v>45825.625</v>
      </c>
      <c r="U42" s="54">
        <v>87.016999999999996</v>
      </c>
      <c r="V42" s="126">
        <v>45845.625</v>
      </c>
      <c r="W42" s="54">
        <v>97.375</v>
      </c>
    </row>
    <row r="43" spans="1:23" x14ac:dyDescent="0.3">
      <c r="A43" s="36">
        <v>45970</v>
      </c>
      <c r="B43" s="45"/>
      <c r="C43" s="31"/>
      <c r="D43" s="31"/>
      <c r="E43" s="4"/>
      <c r="F43" s="31"/>
      <c r="G43" s="32"/>
      <c r="H43" s="4"/>
      <c r="I43" s="31"/>
      <c r="J43" s="32"/>
      <c r="K43" s="4"/>
      <c r="L43" s="31"/>
      <c r="M43" s="32"/>
      <c r="N43" s="38"/>
      <c r="P43" s="126">
        <v>45960.625</v>
      </c>
      <c r="Q43" s="54">
        <v>101.41200000000001</v>
      </c>
      <c r="R43" s="126">
        <v>45842.625</v>
      </c>
      <c r="S43" s="54">
        <v>99.234375</v>
      </c>
      <c r="T43" s="126">
        <v>45826.625</v>
      </c>
      <c r="U43" s="54">
        <v>87.179000000000002</v>
      </c>
      <c r="V43" s="126">
        <v>45846.625</v>
      </c>
      <c r="W43" s="54">
        <v>97.234375</v>
      </c>
    </row>
    <row r="44" spans="1:23" x14ac:dyDescent="0.3">
      <c r="A44" s="15"/>
      <c r="B44" s="45"/>
      <c r="C44" s="31"/>
      <c r="D44" s="31"/>
      <c r="E44" s="4"/>
      <c r="F44" s="31"/>
      <c r="G44" s="32"/>
      <c r="H44" s="4"/>
      <c r="I44" s="31"/>
      <c r="J44" s="32"/>
      <c r="K44" s="4"/>
      <c r="L44" s="31"/>
      <c r="M44" s="32"/>
      <c r="N44" s="38"/>
      <c r="P44" s="126">
        <v>45961.625</v>
      </c>
      <c r="Q44" s="54">
        <v>101.276</v>
      </c>
      <c r="R44" s="126">
        <v>45845.625</v>
      </c>
      <c r="S44" s="54">
        <v>98.9375</v>
      </c>
      <c r="T44" s="126">
        <v>45828.625</v>
      </c>
      <c r="U44" s="54">
        <v>87.057000000000002</v>
      </c>
      <c r="V44" s="126">
        <v>45847.625</v>
      </c>
      <c r="W44" s="54">
        <v>98.15625</v>
      </c>
    </row>
    <row r="45" spans="1:23" x14ac:dyDescent="0.3">
      <c r="A45" s="15"/>
      <c r="B45" s="45"/>
      <c r="C45" s="31"/>
      <c r="D45" s="31"/>
      <c r="E45" s="4"/>
      <c r="F45" s="31"/>
      <c r="G45" s="32"/>
      <c r="H45" s="4"/>
      <c r="I45" s="31"/>
      <c r="J45" s="32"/>
      <c r="K45" s="4"/>
      <c r="L45" s="31"/>
      <c r="M45" s="32"/>
      <c r="N45" s="38"/>
      <c r="P45" s="126"/>
      <c r="R45" s="126">
        <v>45846.625</v>
      </c>
      <c r="S45" s="54">
        <v>98.765625</v>
      </c>
      <c r="T45" s="126">
        <v>45831.625</v>
      </c>
      <c r="U45" s="54">
        <v>87.498999999999995</v>
      </c>
      <c r="V45" s="126">
        <v>45848.625</v>
      </c>
      <c r="W45" s="54">
        <v>98.21875</v>
      </c>
    </row>
    <row r="46" spans="1:23" x14ac:dyDescent="0.3">
      <c r="A46" s="15"/>
      <c r="B46" s="45"/>
      <c r="C46" s="31"/>
      <c r="D46" s="31"/>
      <c r="E46" s="4"/>
      <c r="F46" s="31"/>
      <c r="G46" s="32"/>
      <c r="H46" s="4"/>
      <c r="I46" s="31"/>
      <c r="J46" s="32"/>
      <c r="K46" s="4"/>
      <c r="L46" s="31"/>
      <c r="M46" s="32"/>
      <c r="N46" s="38"/>
      <c r="P46" s="126"/>
      <c r="R46" s="126">
        <v>45847.625</v>
      </c>
      <c r="S46" s="54">
        <v>99.296875</v>
      </c>
      <c r="T46" s="126">
        <v>45832.625</v>
      </c>
      <c r="U46" s="54">
        <v>87.813000000000002</v>
      </c>
      <c r="V46" s="126">
        <v>45849.625</v>
      </c>
      <c r="W46" s="54">
        <v>96.828125</v>
      </c>
    </row>
    <row r="47" spans="1:23" x14ac:dyDescent="0.3">
      <c r="A47" s="15"/>
      <c r="B47" s="45"/>
      <c r="C47" s="31"/>
      <c r="D47" s="31"/>
      <c r="E47" s="4"/>
      <c r="F47" s="31"/>
      <c r="G47" s="32"/>
      <c r="H47" s="4"/>
      <c r="I47" s="31"/>
      <c r="J47" s="32"/>
      <c r="K47" s="4"/>
      <c r="L47" s="31"/>
      <c r="M47" s="32"/>
      <c r="N47" s="38"/>
      <c r="P47" s="126"/>
      <c r="R47" s="126">
        <v>45848.625</v>
      </c>
      <c r="S47" s="54">
        <v>99.25</v>
      </c>
      <c r="T47" s="126">
        <v>45833.625</v>
      </c>
      <c r="U47" s="54">
        <v>88.256</v>
      </c>
      <c r="V47" s="126">
        <v>45852.625</v>
      </c>
      <c r="W47" s="54">
        <v>96.625</v>
      </c>
    </row>
    <row r="48" spans="1:23" ht="15" thickBot="1" x14ac:dyDescent="0.35">
      <c r="A48" s="16"/>
      <c r="B48" s="48"/>
      <c r="C48" s="49"/>
      <c r="D48" s="49"/>
      <c r="E48" s="11"/>
      <c r="F48" s="49"/>
      <c r="G48" s="50"/>
      <c r="H48" s="11"/>
      <c r="I48" s="49"/>
      <c r="J48" s="50"/>
      <c r="K48" s="11"/>
      <c r="L48" s="49"/>
      <c r="M48" s="50"/>
      <c r="N48" s="51"/>
      <c r="P48" s="126"/>
      <c r="R48" s="126">
        <v>45849.625</v>
      </c>
      <c r="S48" s="54">
        <v>98.671875</v>
      </c>
      <c r="T48" s="126">
        <v>45834.625</v>
      </c>
      <c r="U48" s="54">
        <v>88.537999999999997</v>
      </c>
      <c r="V48" s="126">
        <v>45853.625</v>
      </c>
      <c r="W48" s="54">
        <v>95.984375</v>
      </c>
    </row>
    <row r="49" spans="2:23" x14ac:dyDescent="0.3">
      <c r="B49" s="56"/>
      <c r="C49" s="56"/>
      <c r="D49" s="56"/>
      <c r="F49" s="55"/>
      <c r="G49" s="55"/>
      <c r="I49" s="55"/>
      <c r="J49" s="55"/>
      <c r="L49" s="55"/>
      <c r="M49" s="55"/>
      <c r="N49" s="55"/>
      <c r="P49" s="126"/>
      <c r="R49" s="126">
        <v>45852.625</v>
      </c>
      <c r="S49" s="54">
        <v>98.609375</v>
      </c>
      <c r="T49" s="126">
        <v>45835.625</v>
      </c>
      <c r="U49" s="54">
        <v>88.67</v>
      </c>
      <c r="V49" s="126">
        <v>45854.625</v>
      </c>
      <c r="W49" s="54">
        <v>96.078125</v>
      </c>
    </row>
    <row r="50" spans="2:23" x14ac:dyDescent="0.3">
      <c r="B50" s="56"/>
      <c r="C50" s="56"/>
      <c r="D50" s="56"/>
      <c r="I50" s="55"/>
      <c r="J50" s="55"/>
      <c r="L50" s="55"/>
      <c r="M50" s="55"/>
      <c r="N50" s="55"/>
      <c r="P50" s="126"/>
      <c r="R50" s="126">
        <v>45853.625</v>
      </c>
      <c r="S50" s="54">
        <v>98.171875</v>
      </c>
      <c r="T50" s="126">
        <v>45838.625</v>
      </c>
      <c r="U50" s="54">
        <v>88.741</v>
      </c>
      <c r="V50" s="126">
        <v>45855.625</v>
      </c>
      <c r="W50" s="54">
        <v>96.0625</v>
      </c>
    </row>
    <row r="51" spans="2:23" x14ac:dyDescent="0.3">
      <c r="B51" s="56"/>
      <c r="C51" s="56"/>
      <c r="D51" s="56"/>
      <c r="I51" s="55"/>
      <c r="J51" s="55"/>
      <c r="L51" s="55"/>
      <c r="M51" s="55"/>
      <c r="N51" s="55"/>
      <c r="R51" s="126">
        <v>45854.625</v>
      </c>
      <c r="S51" s="54">
        <v>98.4375</v>
      </c>
      <c r="T51" s="126">
        <v>45839.625</v>
      </c>
      <c r="U51" s="54">
        <v>89.156000000000006</v>
      </c>
      <c r="V51" s="126">
        <v>45856.625</v>
      </c>
      <c r="W51" s="54">
        <v>96.1875</v>
      </c>
    </row>
    <row r="52" spans="2:23" x14ac:dyDescent="0.3">
      <c r="B52" s="56"/>
      <c r="C52" s="56"/>
      <c r="D52" s="56"/>
      <c r="I52" s="55"/>
      <c r="J52" s="55"/>
      <c r="L52" s="55"/>
      <c r="M52" s="55"/>
      <c r="N52" s="55"/>
      <c r="R52" s="126">
        <v>45855.625</v>
      </c>
      <c r="S52" s="54">
        <v>98.375</v>
      </c>
      <c r="T52" s="126">
        <v>45840.625</v>
      </c>
      <c r="U52" s="54">
        <v>89.039000000000001</v>
      </c>
      <c r="V52" s="126">
        <v>45859.625</v>
      </c>
      <c r="W52" s="54">
        <v>96.953125</v>
      </c>
    </row>
    <row r="53" spans="2:23" x14ac:dyDescent="0.3">
      <c r="B53" s="56"/>
      <c r="C53" s="56"/>
      <c r="D53" s="56"/>
      <c r="R53" s="126">
        <v>45856.625</v>
      </c>
      <c r="S53" s="54">
        <v>98.609375</v>
      </c>
      <c r="T53" s="126">
        <v>45845.625</v>
      </c>
      <c r="U53" s="54">
        <v>88.873000000000005</v>
      </c>
      <c r="V53" s="126">
        <v>45860.625</v>
      </c>
      <c r="W53" s="54">
        <v>97.46875</v>
      </c>
    </row>
    <row r="54" spans="2:23" x14ac:dyDescent="0.3">
      <c r="B54" s="56"/>
      <c r="C54" s="56"/>
      <c r="D54" s="56"/>
      <c r="R54" s="126">
        <v>45859.625</v>
      </c>
      <c r="S54" s="54">
        <v>98.96875</v>
      </c>
      <c r="T54" s="126">
        <v>45846.625</v>
      </c>
      <c r="U54" s="54">
        <v>88.649000000000001</v>
      </c>
      <c r="V54" s="126">
        <v>45861.625</v>
      </c>
      <c r="W54" s="54">
        <v>96.953125</v>
      </c>
    </row>
    <row r="55" spans="2:23" x14ac:dyDescent="0.3">
      <c r="B55" s="56"/>
      <c r="C55" s="56"/>
      <c r="D55" s="56"/>
      <c r="R55" s="126">
        <v>45860.625</v>
      </c>
      <c r="S55" s="54">
        <v>99.28125</v>
      </c>
      <c r="T55" s="126">
        <v>45847.625</v>
      </c>
      <c r="U55" s="54">
        <v>89.042000000000002</v>
      </c>
      <c r="V55" s="126">
        <v>45862.625</v>
      </c>
      <c r="W55" s="54">
        <v>96.8125</v>
      </c>
    </row>
    <row r="56" spans="2:23" x14ac:dyDescent="0.3">
      <c r="B56" s="56"/>
      <c r="C56" s="56"/>
      <c r="D56" s="56"/>
      <c r="R56" s="126">
        <v>45861.625</v>
      </c>
      <c r="S56" s="54">
        <v>98.90625</v>
      </c>
      <c r="T56" s="126">
        <v>45848.625</v>
      </c>
      <c r="U56" s="54">
        <v>89.186000000000007</v>
      </c>
      <c r="V56" s="126">
        <v>45863.625</v>
      </c>
      <c r="W56" s="54">
        <v>97.34375</v>
      </c>
    </row>
    <row r="57" spans="2:23" x14ac:dyDescent="0.3">
      <c r="B57" s="56"/>
      <c r="C57" s="56"/>
      <c r="D57" s="56"/>
      <c r="R57" s="126">
        <v>45862.625</v>
      </c>
      <c r="S57" s="54">
        <v>98.734375</v>
      </c>
      <c r="T57" s="126">
        <v>45849.625</v>
      </c>
      <c r="U57" s="54">
        <v>88.834000000000003</v>
      </c>
      <c r="V57" s="126">
        <v>45866.625</v>
      </c>
      <c r="W57" s="54">
        <v>96.765625</v>
      </c>
    </row>
    <row r="58" spans="2:23" x14ac:dyDescent="0.3">
      <c r="B58" s="56"/>
      <c r="C58" s="56"/>
      <c r="D58" s="56"/>
      <c r="R58" s="126">
        <v>45863.625</v>
      </c>
      <c r="S58" s="54">
        <v>98.953125</v>
      </c>
      <c r="T58" s="126">
        <v>45852.625</v>
      </c>
      <c r="U58" s="54">
        <v>88.548000000000002</v>
      </c>
      <c r="V58" s="126">
        <v>45867.625</v>
      </c>
      <c r="W58" s="54">
        <v>98.328125</v>
      </c>
    </row>
    <row r="59" spans="2:23" x14ac:dyDescent="0.3">
      <c r="B59" s="56"/>
      <c r="C59" s="56"/>
      <c r="D59" s="56"/>
      <c r="R59" s="126">
        <v>45866.625</v>
      </c>
      <c r="S59" s="54">
        <v>98.71875</v>
      </c>
      <c r="T59" s="126">
        <v>45853.625</v>
      </c>
      <c r="U59" s="54">
        <v>88.222999999999999</v>
      </c>
      <c r="V59" s="126">
        <v>45868.625</v>
      </c>
      <c r="W59" s="54">
        <v>97.75</v>
      </c>
    </row>
    <row r="60" spans="2:23" x14ac:dyDescent="0.3">
      <c r="B60" s="56"/>
      <c r="C60" s="56"/>
      <c r="D60" s="56"/>
      <c r="R60" s="126">
        <v>45867.625</v>
      </c>
      <c r="S60" s="54">
        <v>99.4375</v>
      </c>
      <c r="T60" s="126">
        <v>45854.625</v>
      </c>
      <c r="U60" s="54">
        <v>88.09</v>
      </c>
      <c r="V60" s="126">
        <v>45869.625</v>
      </c>
      <c r="W60" s="54">
        <v>97.828125</v>
      </c>
    </row>
    <row r="61" spans="2:23" x14ac:dyDescent="0.3">
      <c r="R61" s="126">
        <v>45868.625</v>
      </c>
      <c r="S61" s="54">
        <v>99.078125</v>
      </c>
      <c r="T61" s="126">
        <v>45855.625</v>
      </c>
      <c r="U61" s="54">
        <v>88.257000000000005</v>
      </c>
      <c r="V61" s="126">
        <v>45870.625</v>
      </c>
      <c r="W61" s="54">
        <v>99.046875</v>
      </c>
    </row>
    <row r="62" spans="2:23" x14ac:dyDescent="0.3">
      <c r="R62" s="126">
        <v>45869.625</v>
      </c>
      <c r="S62" s="54">
        <v>99.140625</v>
      </c>
      <c r="T62" s="126">
        <v>45856.625</v>
      </c>
      <c r="U62" s="54">
        <v>88.397000000000006</v>
      </c>
      <c r="V62" s="126">
        <v>45873.625</v>
      </c>
      <c r="W62" s="54">
        <v>99.296875</v>
      </c>
    </row>
    <row r="63" spans="2:23" x14ac:dyDescent="0.3">
      <c r="R63" s="126">
        <v>45870.625</v>
      </c>
      <c r="S63" s="54">
        <v>100.296875</v>
      </c>
      <c r="T63" s="126">
        <v>45859.625</v>
      </c>
      <c r="U63" s="54">
        <v>88.954999999999998</v>
      </c>
      <c r="V63" s="126">
        <v>45874.625</v>
      </c>
      <c r="W63" s="54">
        <v>99.625</v>
      </c>
    </row>
    <row r="64" spans="2:23" x14ac:dyDescent="0.3">
      <c r="R64" s="126">
        <v>45873.625</v>
      </c>
      <c r="S64" s="54">
        <v>100.40625</v>
      </c>
      <c r="T64" s="126">
        <v>45860.625</v>
      </c>
      <c r="U64" s="54">
        <v>89.116</v>
      </c>
      <c r="V64" s="126">
        <v>45875.625</v>
      </c>
      <c r="W64" s="54">
        <v>99</v>
      </c>
    </row>
    <row r="65" spans="18:23" x14ac:dyDescent="0.3">
      <c r="R65" s="126">
        <v>45874.625</v>
      </c>
      <c r="S65" s="54">
        <v>100.390625</v>
      </c>
      <c r="T65" s="126">
        <v>45861.625</v>
      </c>
      <c r="U65" s="54">
        <v>88.831999999999994</v>
      </c>
      <c r="V65" s="126">
        <v>45876.625</v>
      </c>
      <c r="W65" s="54">
        <v>98.84375</v>
      </c>
    </row>
    <row r="66" spans="18:23" x14ac:dyDescent="0.3">
      <c r="R66" s="126">
        <v>45875.625</v>
      </c>
      <c r="S66" s="54">
        <v>100.234375</v>
      </c>
      <c r="T66" s="126">
        <v>45862.625</v>
      </c>
      <c r="U66" s="54">
        <v>88.843000000000004</v>
      </c>
      <c r="V66" s="126">
        <v>45877.625</v>
      </c>
      <c r="W66" s="54">
        <v>98.375</v>
      </c>
    </row>
    <row r="67" spans="18:23" x14ac:dyDescent="0.3">
      <c r="R67" s="126">
        <v>45876.625</v>
      </c>
      <c r="S67" s="54">
        <v>100.171875</v>
      </c>
      <c r="T67" s="126">
        <v>45863.625</v>
      </c>
      <c r="U67" s="54">
        <v>88.879000000000005</v>
      </c>
      <c r="V67" s="126">
        <v>45880.625</v>
      </c>
      <c r="W67" s="54">
        <v>98.46875</v>
      </c>
    </row>
    <row r="68" spans="18:23" x14ac:dyDescent="0.3">
      <c r="R68" s="126">
        <v>45877.625</v>
      </c>
      <c r="S68" s="54">
        <v>99.859375</v>
      </c>
      <c r="T68" s="126">
        <v>45866.625</v>
      </c>
      <c r="U68" s="54">
        <v>89.033000000000001</v>
      </c>
      <c r="V68" s="126">
        <v>45881.625</v>
      </c>
      <c r="W68" s="54">
        <v>97.953125</v>
      </c>
    </row>
    <row r="69" spans="18:23" x14ac:dyDescent="0.3">
      <c r="R69" s="126">
        <v>45880.625</v>
      </c>
      <c r="S69" s="54">
        <v>99.921875</v>
      </c>
      <c r="T69" s="126">
        <v>45867.625</v>
      </c>
      <c r="U69" s="54">
        <v>89.569000000000003</v>
      </c>
      <c r="V69" s="126">
        <v>45882.625</v>
      </c>
      <c r="W69" s="54">
        <v>98.765625</v>
      </c>
    </row>
    <row r="70" spans="18:23" x14ac:dyDescent="0.3">
      <c r="R70" s="126">
        <v>45881.625</v>
      </c>
      <c r="S70" s="54">
        <v>99.796875</v>
      </c>
      <c r="T70" s="126">
        <v>45868.625</v>
      </c>
      <c r="U70" s="54">
        <v>89.222999999999999</v>
      </c>
      <c r="V70" s="126">
        <v>45883.625</v>
      </c>
      <c r="W70" s="54">
        <v>98</v>
      </c>
    </row>
    <row r="71" spans="18:23" x14ac:dyDescent="0.3">
      <c r="R71" s="126">
        <v>45882.625</v>
      </c>
      <c r="S71" s="54">
        <v>100.21875</v>
      </c>
      <c r="T71" s="126">
        <v>45869.625</v>
      </c>
      <c r="U71" s="54">
        <v>89.516999999999996</v>
      </c>
      <c r="V71" s="126">
        <v>45884.625</v>
      </c>
      <c r="W71" s="54">
        <v>97.328125</v>
      </c>
    </row>
    <row r="72" spans="18:23" x14ac:dyDescent="0.3">
      <c r="R72" s="126">
        <v>45883.625</v>
      </c>
      <c r="S72" s="54">
        <v>99.8125</v>
      </c>
      <c r="T72" s="126">
        <v>45870.625</v>
      </c>
      <c r="U72" s="54">
        <v>90.073999999999998</v>
      </c>
      <c r="V72" s="126">
        <v>45887.625</v>
      </c>
      <c r="W72" s="54">
        <v>97.015625</v>
      </c>
    </row>
    <row r="73" spans="18:23" x14ac:dyDescent="0.3">
      <c r="R73" s="126">
        <v>45884.625</v>
      </c>
      <c r="S73" s="54">
        <v>99.546875</v>
      </c>
      <c r="T73" s="126">
        <v>45873.625</v>
      </c>
      <c r="U73" s="54">
        <v>90.417000000000002</v>
      </c>
      <c r="V73" s="126">
        <v>45888.625</v>
      </c>
      <c r="W73" s="54">
        <v>97.59375</v>
      </c>
    </row>
    <row r="74" spans="18:23" x14ac:dyDescent="0.3">
      <c r="R74" s="126">
        <v>45887.625</v>
      </c>
      <c r="S74" s="54">
        <v>99.421875</v>
      </c>
      <c r="T74" s="126">
        <v>45874.625</v>
      </c>
      <c r="U74" s="54">
        <v>90.712999999999994</v>
      </c>
      <c r="V74" s="126">
        <v>45889.625</v>
      </c>
      <c r="W74" s="54">
        <v>97.75</v>
      </c>
    </row>
    <row r="75" spans="18:23" x14ac:dyDescent="0.3">
      <c r="R75" s="126">
        <v>45888.625</v>
      </c>
      <c r="S75" s="54">
        <v>99.703125</v>
      </c>
      <c r="T75" s="126">
        <v>45875.625</v>
      </c>
      <c r="U75" s="54">
        <v>90.623000000000005</v>
      </c>
      <c r="V75" s="126">
        <v>45890.625</v>
      </c>
      <c r="W75" s="54">
        <v>97.28125</v>
      </c>
    </row>
    <row r="76" spans="18:23" x14ac:dyDescent="0.3">
      <c r="R76" s="126">
        <v>45889.625</v>
      </c>
      <c r="S76" s="54">
        <v>99.828125</v>
      </c>
      <c r="T76" s="126">
        <v>45876.625</v>
      </c>
      <c r="U76" s="54">
        <v>90.69</v>
      </c>
      <c r="V76" s="126">
        <v>45891.625</v>
      </c>
      <c r="W76" s="54">
        <v>97.90625</v>
      </c>
    </row>
    <row r="77" spans="18:23" x14ac:dyDescent="0.3">
      <c r="R77" s="126">
        <v>45890.625</v>
      </c>
      <c r="S77" s="54">
        <v>99.515625</v>
      </c>
      <c r="T77" s="126">
        <v>45877.625</v>
      </c>
      <c r="U77" s="54">
        <v>90.384</v>
      </c>
      <c r="V77" s="126">
        <v>45894.625</v>
      </c>
      <c r="W77" s="54">
        <v>97.6875</v>
      </c>
    </row>
    <row r="78" spans="18:23" x14ac:dyDescent="0.3">
      <c r="R78" s="126">
        <v>45891.625</v>
      </c>
      <c r="S78" s="54">
        <v>100.0625</v>
      </c>
      <c r="T78" s="126">
        <v>45880.625</v>
      </c>
      <c r="U78" s="54">
        <v>90.596000000000004</v>
      </c>
      <c r="V78" s="126">
        <v>45895.625</v>
      </c>
      <c r="W78" s="54">
        <v>97.578125</v>
      </c>
    </row>
    <row r="79" spans="18:23" x14ac:dyDescent="0.3">
      <c r="R79" s="126">
        <v>45894.625</v>
      </c>
      <c r="S79" s="54">
        <v>99.890625</v>
      </c>
      <c r="T79" s="126">
        <v>45881.625</v>
      </c>
      <c r="U79" s="54">
        <v>90.510999999999996</v>
      </c>
      <c r="V79" s="126">
        <v>45896.625</v>
      </c>
      <c r="W79" s="54">
        <v>97.4375</v>
      </c>
    </row>
    <row r="80" spans="18:23" x14ac:dyDescent="0.3">
      <c r="R80" s="126">
        <v>45895.625</v>
      </c>
      <c r="S80" s="54">
        <v>100.109375</v>
      </c>
      <c r="T80" s="126">
        <v>45882.625</v>
      </c>
      <c r="U80" s="54">
        <v>91.340999999999994</v>
      </c>
      <c r="V80" s="126">
        <v>45897.625</v>
      </c>
      <c r="W80" s="54">
        <v>98.03125</v>
      </c>
    </row>
    <row r="81" spans="18:23" x14ac:dyDescent="0.3">
      <c r="R81" s="126">
        <v>45896.625</v>
      </c>
      <c r="S81" s="54">
        <v>100.25</v>
      </c>
      <c r="T81" s="126">
        <v>45883.625</v>
      </c>
      <c r="U81" s="54">
        <v>91.134</v>
      </c>
      <c r="V81" s="126">
        <v>45898.625</v>
      </c>
      <c r="W81" s="54">
        <v>97.328125</v>
      </c>
    </row>
    <row r="82" spans="18:23" x14ac:dyDescent="0.3">
      <c r="R82" s="126">
        <v>45897.625</v>
      </c>
      <c r="S82" s="54">
        <v>100.5</v>
      </c>
      <c r="T82" s="126">
        <v>45884.625</v>
      </c>
      <c r="U82" s="54">
        <v>91.073999999999998</v>
      </c>
      <c r="V82" s="126">
        <v>45901.625</v>
      </c>
      <c r="W82" s="54">
        <v>97.21875</v>
      </c>
    </row>
    <row r="83" spans="18:23" x14ac:dyDescent="0.3">
      <c r="R83" s="126">
        <v>45898.625</v>
      </c>
      <c r="S83" s="54">
        <v>100.359375</v>
      </c>
      <c r="T83" s="126">
        <v>45887.625</v>
      </c>
      <c r="U83" s="54">
        <v>91.28</v>
      </c>
      <c r="V83" s="126">
        <v>45902.625</v>
      </c>
      <c r="W83" s="54">
        <v>96.625</v>
      </c>
    </row>
    <row r="84" spans="18:23" x14ac:dyDescent="0.3">
      <c r="R84" s="126">
        <v>45901.625</v>
      </c>
      <c r="S84" s="54">
        <v>100.3125</v>
      </c>
      <c r="T84" s="126">
        <v>45888.625</v>
      </c>
      <c r="U84" s="54">
        <v>91.4</v>
      </c>
      <c r="V84" s="126">
        <v>45903.625</v>
      </c>
      <c r="W84" s="54">
        <v>97.671875</v>
      </c>
    </row>
    <row r="85" spans="18:23" x14ac:dyDescent="0.3">
      <c r="R85" s="126">
        <v>45902.625</v>
      </c>
      <c r="S85" s="54">
        <v>100</v>
      </c>
      <c r="T85" s="126">
        <v>45889.625</v>
      </c>
      <c r="U85" s="54">
        <v>91.606999999999999</v>
      </c>
      <c r="V85" s="126">
        <v>45904.625</v>
      </c>
      <c r="W85" s="54">
        <v>98.296875</v>
      </c>
    </row>
    <row r="86" spans="18:23" x14ac:dyDescent="0.3">
      <c r="R86" s="126">
        <v>45903.625</v>
      </c>
      <c r="S86" s="54">
        <v>100.375</v>
      </c>
      <c r="T86" s="126">
        <v>45890.625</v>
      </c>
      <c r="U86" s="54">
        <v>91.453999999999994</v>
      </c>
      <c r="V86" s="126">
        <v>45905.625</v>
      </c>
      <c r="W86" s="54">
        <v>99.6875</v>
      </c>
    </row>
    <row r="87" spans="18:23" x14ac:dyDescent="0.3">
      <c r="R87" s="126">
        <v>45904.625</v>
      </c>
      <c r="S87" s="54">
        <v>100.84375</v>
      </c>
      <c r="T87" s="126">
        <v>45891.625</v>
      </c>
      <c r="U87" s="54">
        <v>91.677000000000007</v>
      </c>
      <c r="V87" s="126">
        <v>45908.625</v>
      </c>
      <c r="W87" s="54">
        <v>100.984375</v>
      </c>
    </row>
    <row r="88" spans="18:23" x14ac:dyDescent="0.3">
      <c r="R88" s="126">
        <v>45905.625</v>
      </c>
      <c r="S88" s="54">
        <v>101.421875</v>
      </c>
      <c r="T88" s="126">
        <v>45894.625</v>
      </c>
      <c r="U88" s="54">
        <v>91.754000000000005</v>
      </c>
      <c r="V88" s="126">
        <v>45909.625</v>
      </c>
      <c r="W88" s="54">
        <v>100.421875</v>
      </c>
    </row>
    <row r="89" spans="18:23" x14ac:dyDescent="0.3">
      <c r="R89" s="126">
        <v>45908.625</v>
      </c>
      <c r="S89" s="54">
        <v>101.765625</v>
      </c>
      <c r="T89" s="126">
        <v>45895.625</v>
      </c>
      <c r="U89" s="54">
        <v>91.52</v>
      </c>
      <c r="V89" s="126">
        <v>45910.625</v>
      </c>
      <c r="W89" s="54">
        <v>100.9375</v>
      </c>
    </row>
    <row r="90" spans="18:23" x14ac:dyDescent="0.3">
      <c r="R90" s="126">
        <v>45909.625</v>
      </c>
      <c r="S90" s="54">
        <v>101.484375</v>
      </c>
      <c r="T90" s="126">
        <v>45896.625</v>
      </c>
      <c r="U90" s="54">
        <v>91.337000000000003</v>
      </c>
      <c r="V90" s="126">
        <v>45911.625</v>
      </c>
      <c r="W90" s="54">
        <v>101.609375</v>
      </c>
    </row>
    <row r="91" spans="18:23" x14ac:dyDescent="0.3">
      <c r="R91" s="126">
        <v>45910.625</v>
      </c>
      <c r="S91" s="54">
        <v>101.796875</v>
      </c>
      <c r="T91" s="126">
        <v>45897.625</v>
      </c>
      <c r="U91" s="54">
        <v>91.617999999999995</v>
      </c>
      <c r="V91" s="126">
        <v>45912.625</v>
      </c>
      <c r="W91" s="54">
        <v>101.15625</v>
      </c>
    </row>
    <row r="92" spans="18:23" x14ac:dyDescent="0.3">
      <c r="R92" s="126">
        <v>45911.625</v>
      </c>
      <c r="S92" s="54">
        <v>101.984375</v>
      </c>
      <c r="T92" s="126">
        <v>45898.625</v>
      </c>
      <c r="U92" s="54">
        <v>91.227000000000004</v>
      </c>
      <c r="V92" s="126">
        <v>45915.625</v>
      </c>
      <c r="W92" s="54">
        <v>101.421875</v>
      </c>
    </row>
    <row r="93" spans="18:23" x14ac:dyDescent="0.3">
      <c r="R93" s="126">
        <v>45912.625</v>
      </c>
      <c r="S93" s="54">
        <v>101.65625</v>
      </c>
      <c r="T93" s="126">
        <v>45902.625</v>
      </c>
      <c r="U93" s="54">
        <v>90.741</v>
      </c>
      <c r="V93" s="126">
        <v>45916.625</v>
      </c>
      <c r="W93" s="54">
        <v>101.5625</v>
      </c>
    </row>
    <row r="94" spans="18:23" x14ac:dyDescent="0.3">
      <c r="R94" s="126">
        <v>45915.625</v>
      </c>
      <c r="S94" s="54">
        <v>101.828125</v>
      </c>
      <c r="T94" s="126">
        <v>45903.625</v>
      </c>
      <c r="U94" s="54">
        <v>90.899000000000001</v>
      </c>
      <c r="V94" s="126">
        <v>45917.625</v>
      </c>
      <c r="W94" s="54">
        <v>101.375</v>
      </c>
    </row>
    <row r="95" spans="18:23" x14ac:dyDescent="0.3">
      <c r="R95" s="126">
        <v>45916.625</v>
      </c>
      <c r="S95" s="54">
        <v>101.875</v>
      </c>
      <c r="T95" s="126">
        <v>45904.625</v>
      </c>
      <c r="U95" s="54">
        <v>91.533000000000001</v>
      </c>
      <c r="V95" s="126">
        <v>45918.625</v>
      </c>
      <c r="W95" s="54">
        <v>100.328125</v>
      </c>
    </row>
    <row r="96" spans="18:23" x14ac:dyDescent="0.3">
      <c r="R96" s="126">
        <v>45917.625</v>
      </c>
      <c r="S96" s="54">
        <v>101.625</v>
      </c>
      <c r="T96" s="126">
        <v>45905.625</v>
      </c>
      <c r="U96" s="54">
        <v>92.209000000000003</v>
      </c>
      <c r="V96" s="126">
        <v>45919.625</v>
      </c>
      <c r="W96" s="54">
        <v>100.109375</v>
      </c>
    </row>
    <row r="97" spans="18:23" x14ac:dyDescent="0.3">
      <c r="R97" s="126">
        <v>45918.625</v>
      </c>
      <c r="S97" s="54">
        <v>101.234375</v>
      </c>
      <c r="T97" s="126">
        <v>45908.625</v>
      </c>
      <c r="U97" s="54">
        <v>92.653999999999996</v>
      </c>
      <c r="V97" s="126">
        <v>45922.625</v>
      </c>
      <c r="W97" s="54">
        <v>99.734375</v>
      </c>
    </row>
    <row r="98" spans="18:23" x14ac:dyDescent="0.3">
      <c r="R98" s="126">
        <v>45919.625</v>
      </c>
      <c r="S98" s="54">
        <v>101.140625</v>
      </c>
      <c r="T98" s="126">
        <v>45909.625</v>
      </c>
      <c r="U98" s="54">
        <v>92.697999999999993</v>
      </c>
      <c r="V98" s="126">
        <v>45923.625</v>
      </c>
      <c r="W98" s="54">
        <v>100.4375</v>
      </c>
    </row>
    <row r="99" spans="18:23" x14ac:dyDescent="0.3">
      <c r="R99" s="126">
        <v>45922.625</v>
      </c>
      <c r="S99" s="54">
        <v>100.953125</v>
      </c>
      <c r="T99" s="126">
        <v>45910.625</v>
      </c>
      <c r="U99" s="54">
        <v>92.921000000000006</v>
      </c>
      <c r="V99" s="126">
        <v>45924.625</v>
      </c>
      <c r="W99" s="54">
        <v>100</v>
      </c>
    </row>
    <row r="100" spans="18:23" x14ac:dyDescent="0.3">
      <c r="R100" s="126">
        <v>45923.625</v>
      </c>
      <c r="S100" s="54">
        <v>101.265625</v>
      </c>
      <c r="T100" s="126">
        <v>45911.625</v>
      </c>
      <c r="U100" s="54">
        <v>93.498999999999995</v>
      </c>
      <c r="V100" s="126">
        <v>45925.625</v>
      </c>
      <c r="W100" s="54">
        <v>100.015625</v>
      </c>
    </row>
    <row r="101" spans="18:23" x14ac:dyDescent="0.3">
      <c r="R101" s="126">
        <v>45924.625</v>
      </c>
      <c r="S101" s="54">
        <v>100.984375</v>
      </c>
      <c r="T101" s="126">
        <v>45912.625</v>
      </c>
      <c r="U101" s="54">
        <v>93.632000000000005</v>
      </c>
      <c r="V101" s="126">
        <v>45926.625</v>
      </c>
      <c r="W101" s="54">
        <v>99.890625</v>
      </c>
    </row>
    <row r="102" spans="18:23" x14ac:dyDescent="0.3">
      <c r="R102" s="126">
        <v>45925.625</v>
      </c>
      <c r="S102" s="54">
        <v>100.78125</v>
      </c>
      <c r="T102" s="126">
        <v>45915.625</v>
      </c>
      <c r="U102" s="54">
        <v>93.965000000000003</v>
      </c>
      <c r="V102" s="126">
        <v>45929.625</v>
      </c>
      <c r="W102" s="54">
        <v>100.65625</v>
      </c>
    </row>
    <row r="103" spans="18:23" x14ac:dyDescent="0.3">
      <c r="R103" s="126">
        <v>45926.625</v>
      </c>
      <c r="S103" s="54">
        <v>100.6875</v>
      </c>
      <c r="T103" s="126">
        <v>45916.625</v>
      </c>
      <c r="U103" s="54">
        <v>94.453000000000003</v>
      </c>
      <c r="V103" s="126">
        <v>45930.625</v>
      </c>
      <c r="W103" s="54">
        <v>100.359375</v>
      </c>
    </row>
    <row r="104" spans="18:23" x14ac:dyDescent="0.3">
      <c r="R104" s="126">
        <v>45929.625</v>
      </c>
      <c r="S104" s="54">
        <v>100.984375</v>
      </c>
      <c r="T104" s="126">
        <v>45917.625</v>
      </c>
      <c r="U104" s="54">
        <v>94.53</v>
      </c>
      <c r="V104" s="126">
        <v>45931.625</v>
      </c>
      <c r="W104" s="54">
        <v>100.5625</v>
      </c>
    </row>
    <row r="105" spans="18:23" x14ac:dyDescent="0.3">
      <c r="R105" s="126">
        <v>45930.625</v>
      </c>
      <c r="S105" s="54">
        <v>100.953125</v>
      </c>
      <c r="T105" s="126">
        <v>45918.625</v>
      </c>
      <c r="U105" s="54">
        <v>94.84</v>
      </c>
      <c r="V105" s="126">
        <v>45932.625</v>
      </c>
      <c r="W105" s="54">
        <v>100.84375</v>
      </c>
    </row>
    <row r="106" spans="18:23" x14ac:dyDescent="0.3">
      <c r="R106" s="126">
        <v>45931.625</v>
      </c>
      <c r="S106" s="54">
        <v>101.296875</v>
      </c>
      <c r="T106" s="126">
        <v>45919.625</v>
      </c>
      <c r="U106" s="54">
        <v>94.754999999999995</v>
      </c>
      <c r="V106" s="126">
        <v>45933.625</v>
      </c>
      <c r="W106" s="54">
        <v>100.5625</v>
      </c>
    </row>
    <row r="107" spans="18:23" x14ac:dyDescent="0.3">
      <c r="R107" s="126">
        <v>45932.625</v>
      </c>
      <c r="S107" s="54">
        <v>101.421875</v>
      </c>
      <c r="T107" s="126">
        <v>45922.625</v>
      </c>
      <c r="U107" s="54">
        <v>94.643000000000001</v>
      </c>
      <c r="V107" s="126">
        <v>45936.625</v>
      </c>
      <c r="W107" s="54">
        <v>99.8125</v>
      </c>
    </row>
    <row r="108" spans="18:23" x14ac:dyDescent="0.3">
      <c r="R108" s="126">
        <v>45933.625</v>
      </c>
      <c r="S108" s="54">
        <v>101.15625</v>
      </c>
      <c r="T108" s="126">
        <v>45923.625</v>
      </c>
      <c r="U108" s="54">
        <v>94.569000000000003</v>
      </c>
      <c r="V108" s="126">
        <v>45937.625</v>
      </c>
      <c r="W108" s="54">
        <v>100.34375</v>
      </c>
    </row>
    <row r="109" spans="18:23" x14ac:dyDescent="0.3">
      <c r="R109" s="126">
        <v>45936.625</v>
      </c>
      <c r="S109" s="54">
        <v>100.8125</v>
      </c>
      <c r="T109" s="126">
        <v>45924.625</v>
      </c>
      <c r="U109" s="54">
        <v>94.546000000000006</v>
      </c>
      <c r="V109" s="126">
        <v>45938.625</v>
      </c>
      <c r="W109" s="54">
        <v>100.390625</v>
      </c>
    </row>
    <row r="110" spans="18:23" x14ac:dyDescent="0.3">
      <c r="R110" s="126">
        <v>45937.625</v>
      </c>
      <c r="S110" s="54">
        <v>101.078125</v>
      </c>
      <c r="T110" s="126">
        <v>45925.625</v>
      </c>
      <c r="U110" s="54">
        <v>94.403999999999996</v>
      </c>
      <c r="V110" s="126">
        <v>45939.625</v>
      </c>
      <c r="W110" s="54">
        <v>100.359375</v>
      </c>
    </row>
    <row r="111" spans="18:23" x14ac:dyDescent="0.3">
      <c r="R111" s="126">
        <v>45938.625</v>
      </c>
      <c r="S111" s="54">
        <v>101.0625</v>
      </c>
      <c r="T111" s="126">
        <v>45926.625</v>
      </c>
      <c r="U111" s="54">
        <v>94.427999999999997</v>
      </c>
      <c r="V111" s="126">
        <v>45940.625</v>
      </c>
      <c r="W111" s="54">
        <v>101.828125</v>
      </c>
    </row>
    <row r="112" spans="18:23" x14ac:dyDescent="0.3">
      <c r="R112" s="126">
        <v>45939.625</v>
      </c>
      <c r="S112" s="54">
        <v>100.984375</v>
      </c>
      <c r="T112" s="126">
        <v>45929.625</v>
      </c>
      <c r="U112" s="54">
        <v>94.834999999999994</v>
      </c>
      <c r="V112" s="126">
        <v>45943.625</v>
      </c>
      <c r="W112" s="54">
        <v>102.0625</v>
      </c>
    </row>
    <row r="113" spans="18:23" x14ac:dyDescent="0.3">
      <c r="R113" s="126">
        <v>45940.625</v>
      </c>
      <c r="S113" s="54">
        <v>101.6875</v>
      </c>
      <c r="T113" s="126">
        <v>45930.625</v>
      </c>
      <c r="U113" s="54">
        <v>94.778000000000006</v>
      </c>
      <c r="V113" s="126">
        <v>45944.625</v>
      </c>
      <c r="W113" s="54">
        <v>102.109375</v>
      </c>
    </row>
    <row r="114" spans="18:23" x14ac:dyDescent="0.3">
      <c r="R114" s="126">
        <v>45943.625</v>
      </c>
      <c r="S114" s="54">
        <v>101.84375</v>
      </c>
      <c r="T114" s="126">
        <v>45931.625</v>
      </c>
      <c r="U114" s="54">
        <v>94.77</v>
      </c>
      <c r="V114" s="126">
        <v>45945.625</v>
      </c>
      <c r="W114" s="54">
        <v>101.890625</v>
      </c>
    </row>
    <row r="115" spans="18:23" x14ac:dyDescent="0.3">
      <c r="R115" s="126">
        <v>45944.625</v>
      </c>
      <c r="S115" s="54">
        <v>101.953125</v>
      </c>
      <c r="T115" s="126">
        <v>45932.625</v>
      </c>
      <c r="U115" s="54">
        <v>94.884</v>
      </c>
      <c r="V115" s="126">
        <v>45946.625</v>
      </c>
      <c r="W115" s="54">
        <v>102.65625</v>
      </c>
    </row>
    <row r="116" spans="18:23" x14ac:dyDescent="0.3">
      <c r="R116" s="126">
        <v>45945.625</v>
      </c>
      <c r="S116" s="54">
        <v>101.828125</v>
      </c>
      <c r="T116" s="126">
        <v>45933.625</v>
      </c>
      <c r="U116" s="54">
        <v>94.835999999999999</v>
      </c>
      <c r="V116" s="126">
        <v>45947.625</v>
      </c>
      <c r="W116" s="54">
        <v>102.453125</v>
      </c>
    </row>
    <row r="117" spans="18:23" x14ac:dyDescent="0.3">
      <c r="R117" s="126">
        <v>45946.625</v>
      </c>
      <c r="S117" s="54">
        <v>102.328125</v>
      </c>
      <c r="T117" s="126">
        <v>45936.625</v>
      </c>
      <c r="U117" s="54">
        <v>94.5</v>
      </c>
      <c r="V117" s="126">
        <v>45950.625</v>
      </c>
      <c r="W117" s="54">
        <v>102.84375</v>
      </c>
    </row>
    <row r="118" spans="18:23" x14ac:dyDescent="0.3">
      <c r="R118" s="126">
        <v>45947.625</v>
      </c>
      <c r="S118" s="54">
        <v>102.109375</v>
      </c>
      <c r="T118" s="126">
        <v>45937.625</v>
      </c>
      <c r="U118" s="54">
        <v>94.43</v>
      </c>
      <c r="V118" s="126">
        <v>45951.625</v>
      </c>
      <c r="W118" s="54">
        <v>103.34375</v>
      </c>
    </row>
    <row r="119" spans="18:23" x14ac:dyDescent="0.3">
      <c r="R119" s="126">
        <v>45950.625</v>
      </c>
      <c r="S119" s="54">
        <v>102.265625</v>
      </c>
      <c r="T119" s="126">
        <v>45938.625</v>
      </c>
      <c r="U119" s="54">
        <v>94.516999999999996</v>
      </c>
      <c r="V119" s="126">
        <v>45952.625</v>
      </c>
      <c r="W119" s="54">
        <v>103.421875</v>
      </c>
    </row>
    <row r="120" spans="18:23" x14ac:dyDescent="0.3">
      <c r="R120" s="126">
        <v>45951.625</v>
      </c>
      <c r="S120" s="54">
        <v>102.46875</v>
      </c>
      <c r="T120" s="126">
        <v>45939.625</v>
      </c>
      <c r="U120" s="54">
        <v>94.284000000000006</v>
      </c>
      <c r="V120" s="126">
        <v>45953.625</v>
      </c>
      <c r="W120" s="54">
        <v>102.71875</v>
      </c>
    </row>
    <row r="121" spans="18:23" x14ac:dyDescent="0.3">
      <c r="R121" s="126">
        <v>45952.625</v>
      </c>
      <c r="S121" s="54">
        <v>102.5</v>
      </c>
      <c r="T121" s="126">
        <v>45940.625</v>
      </c>
      <c r="U121" s="54">
        <v>94.251000000000005</v>
      </c>
      <c r="V121" s="126">
        <v>45954.625</v>
      </c>
      <c r="W121" s="54">
        <v>102.65625</v>
      </c>
    </row>
    <row r="122" spans="18:23" x14ac:dyDescent="0.3">
      <c r="R122" s="126">
        <v>45953.625</v>
      </c>
      <c r="S122" s="54">
        <v>102.125</v>
      </c>
      <c r="T122" s="126">
        <v>45944.625</v>
      </c>
      <c r="U122" s="54">
        <v>94.539000000000001</v>
      </c>
      <c r="V122" s="126">
        <v>45957.625</v>
      </c>
      <c r="W122" s="54">
        <v>103.03125</v>
      </c>
    </row>
    <row r="123" spans="18:23" x14ac:dyDescent="0.3">
      <c r="R123" s="126">
        <v>45954.625</v>
      </c>
      <c r="S123" s="54">
        <v>102.171875</v>
      </c>
      <c r="T123" s="126">
        <v>45945.625</v>
      </c>
      <c r="U123" s="54">
        <v>94.89</v>
      </c>
      <c r="V123" s="126">
        <v>45958.625</v>
      </c>
      <c r="W123" s="54">
        <v>103.296875</v>
      </c>
    </row>
    <row r="124" spans="18:23" x14ac:dyDescent="0.3">
      <c r="R124" s="126">
        <v>45957.625</v>
      </c>
      <c r="S124" s="54">
        <v>102.203125</v>
      </c>
      <c r="T124" s="126">
        <v>45946.625</v>
      </c>
      <c r="U124" s="54">
        <v>94.99</v>
      </c>
      <c r="V124" s="126">
        <v>45959.625</v>
      </c>
      <c r="W124" s="54">
        <v>102.234375</v>
      </c>
    </row>
    <row r="125" spans="18:23" x14ac:dyDescent="0.3">
      <c r="R125" s="126">
        <v>45958.625</v>
      </c>
      <c r="S125" s="54">
        <v>102.296875</v>
      </c>
      <c r="T125" s="126">
        <v>45947.625</v>
      </c>
      <c r="U125" s="54">
        <v>95.174000000000007</v>
      </c>
      <c r="V125" s="126">
        <v>45960.625</v>
      </c>
      <c r="W125" s="54">
        <v>101.65625</v>
      </c>
    </row>
    <row r="126" spans="18:23" x14ac:dyDescent="0.3">
      <c r="R126" s="126">
        <v>45959.625</v>
      </c>
      <c r="S126" s="54">
        <v>101.578125</v>
      </c>
      <c r="T126" s="126">
        <v>45950.625</v>
      </c>
      <c r="U126" s="54">
        <v>95.436000000000007</v>
      </c>
      <c r="V126" s="126">
        <v>45961.625</v>
      </c>
      <c r="W126" s="54">
        <v>101.34375</v>
      </c>
    </row>
    <row r="127" spans="18:23" x14ac:dyDescent="0.3">
      <c r="R127" s="126">
        <v>45960.625</v>
      </c>
      <c r="S127" s="54">
        <v>101.40625</v>
      </c>
      <c r="T127" s="126">
        <v>45951.625</v>
      </c>
      <c r="U127" s="54">
        <v>96.251999999999995</v>
      </c>
      <c r="V127" s="126"/>
    </row>
    <row r="128" spans="18:23" x14ac:dyDescent="0.3">
      <c r="R128" s="126">
        <v>45961.625</v>
      </c>
      <c r="S128" s="54">
        <v>101.375</v>
      </c>
      <c r="T128" s="126">
        <v>45952.625</v>
      </c>
      <c r="U128" s="54">
        <v>96.382000000000005</v>
      </c>
      <c r="V128" s="126"/>
    </row>
    <row r="129" spans="18:22" x14ac:dyDescent="0.3">
      <c r="R129" s="126"/>
      <c r="T129" s="126">
        <v>45953.625</v>
      </c>
      <c r="U129" s="54">
        <v>96.174999999999997</v>
      </c>
      <c r="V129" s="126"/>
    </row>
    <row r="130" spans="18:22" x14ac:dyDescent="0.3">
      <c r="R130" s="126"/>
      <c r="T130" s="126">
        <v>45954.625</v>
      </c>
      <c r="U130" s="54">
        <v>96.123000000000005</v>
      </c>
      <c r="V130" s="126"/>
    </row>
    <row r="131" spans="18:22" x14ac:dyDescent="0.3">
      <c r="R131" s="126"/>
      <c r="T131" s="126">
        <v>45957.625</v>
      </c>
      <c r="U131" s="54">
        <v>96.021000000000001</v>
      </c>
      <c r="V131" s="126"/>
    </row>
    <row r="132" spans="18:22" x14ac:dyDescent="0.3">
      <c r="R132" s="126"/>
      <c r="T132" s="126">
        <v>45958.625</v>
      </c>
      <c r="U132" s="54">
        <v>96.426000000000002</v>
      </c>
      <c r="V132" s="126"/>
    </row>
    <row r="133" spans="18:22" x14ac:dyDescent="0.3">
      <c r="R133" s="126"/>
      <c r="T133" s="126">
        <v>45959.625</v>
      </c>
      <c r="U133" s="54">
        <v>96.289000000000001</v>
      </c>
    </row>
    <row r="134" spans="18:22" x14ac:dyDescent="0.3">
      <c r="R134" s="126"/>
      <c r="T134" s="126">
        <v>45960.625</v>
      </c>
      <c r="U134" s="54">
        <v>95.902000000000001</v>
      </c>
    </row>
    <row r="135" spans="18:22" x14ac:dyDescent="0.3">
      <c r="T135" s="126">
        <v>45961.625</v>
      </c>
      <c r="U135" s="54">
        <v>95.747</v>
      </c>
    </row>
    <row r="136" spans="18:22" x14ac:dyDescent="0.3">
      <c r="T136" s="126"/>
    </row>
    <row r="137" spans="18:22" x14ac:dyDescent="0.3">
      <c r="T137" s="126"/>
    </row>
    <row r="138" spans="18:22" x14ac:dyDescent="0.3">
      <c r="T138" s="126"/>
    </row>
    <row r="139" spans="18:22" x14ac:dyDescent="0.3">
      <c r="T139" s="126"/>
    </row>
    <row r="140" spans="18:22" x14ac:dyDescent="0.3">
      <c r="T140" s="126"/>
    </row>
    <row r="141" spans="18:22" x14ac:dyDescent="0.3">
      <c r="T141" s="126"/>
    </row>
  </sheetData>
  <mergeCells count="4">
    <mergeCell ref="E12:G12"/>
    <mergeCell ref="H12:J12"/>
    <mergeCell ref="B12:D12"/>
    <mergeCell ref="K12:M12"/>
  </mergeCells>
  <conditionalFormatting sqref="W1:W7 N8:N1048576">
    <cfRule type="cellIs" dxfId="14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6ED-CFA7-40D0-BD54-12C39214CD86}">
  <dimension ref="A1:M147"/>
  <sheetViews>
    <sheetView topLeftCell="A11" zoomScale="80" zoomScaleNormal="80" workbookViewId="0">
      <selection activeCell="A35" sqref="A35:A41"/>
    </sheetView>
  </sheetViews>
  <sheetFormatPr defaultColWidth="8.88671875" defaultRowHeight="14.4" x14ac:dyDescent="0.3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hidden="1" customWidth="1"/>
    <col min="11" max="11" width="8.88671875" style="3" hidden="1" customWidth="1"/>
    <col min="12" max="12" width="15.6640625" style="3" hidden="1" customWidth="1"/>
    <col min="13" max="13" width="8.88671875" style="3" hidden="1" customWidth="1"/>
    <col min="14" max="16384" width="8.88671875" style="3"/>
  </cols>
  <sheetData>
    <row r="1" spans="1:13" ht="15" thickBot="1" x14ac:dyDescent="0.35">
      <c r="A1" s="1"/>
      <c r="B1" s="1"/>
      <c r="C1" s="1"/>
      <c r="D1" s="1"/>
      <c r="I1" s="1"/>
      <c r="J1" s="53"/>
      <c r="L1" s="1"/>
      <c r="M1" s="1"/>
    </row>
    <row r="2" spans="1:13" ht="15" thickBot="1" x14ac:dyDescent="0.35">
      <c r="A2" s="30"/>
      <c r="B2" s="40" t="s">
        <v>0</v>
      </c>
      <c r="C2" s="28" t="s">
        <v>1</v>
      </c>
      <c r="E2" s="124" t="s">
        <v>101</v>
      </c>
      <c r="F2" s="125">
        <v>0.625</v>
      </c>
      <c r="J2" s="27" t="s">
        <v>0</v>
      </c>
      <c r="K2" s="1"/>
      <c r="L2" s="28" t="s">
        <v>1</v>
      </c>
      <c r="M2" s="2"/>
    </row>
    <row r="3" spans="1:13" x14ac:dyDescent="0.3">
      <c r="A3" s="15" t="s">
        <v>32</v>
      </c>
      <c r="B3" s="1" t="s">
        <v>52</v>
      </c>
      <c r="C3" s="5" t="s">
        <v>53</v>
      </c>
      <c r="J3" s="123" cm="1">
        <f t="array" ref="J3:K23">_xll.BDH(B4, "LAST_PRICE", "01/01/2025 15:00:00", "01/01/2035 16:00:00", "BarSize=60", "BarType=T", "RecurDaily=True", "TZ=London")</f>
        <v>45775.625</v>
      </c>
      <c r="K3" s="1">
        <v>108.07</v>
      </c>
      <c r="L3" s="123" cm="1">
        <f t="array" ref="L3:M143">_xll.BDH(C4, "LAST_PRICE", "01/01/2025 15:00:00", "01/01/2035 16:00:00", "BarSize=60", "BarType=T", "RecurDaily=True", "TZ=London")</f>
        <v>45768.625</v>
      </c>
      <c r="M3" s="46">
        <v>63.274999999999999</v>
      </c>
    </row>
    <row r="4" spans="1:13" ht="32.25" customHeight="1" x14ac:dyDescent="0.3">
      <c r="A4" s="15" t="s">
        <v>33</v>
      </c>
      <c r="B4" s="41" t="s">
        <v>54</v>
      </c>
      <c r="C4" s="42" t="s">
        <v>55</v>
      </c>
      <c r="I4" s="1"/>
      <c r="J4" s="127">
        <v>45783.625</v>
      </c>
      <c r="K4" s="1">
        <v>108.39</v>
      </c>
      <c r="L4" s="127">
        <v>45769.625</v>
      </c>
      <c r="M4" s="1">
        <v>64.602000000000004</v>
      </c>
    </row>
    <row r="5" spans="1:13" x14ac:dyDescent="0.3">
      <c r="A5" s="15" t="s">
        <v>8</v>
      </c>
      <c r="B5" s="7">
        <f>20*10^6</f>
        <v>20000000</v>
      </c>
      <c r="C5" s="8">
        <f>39*10^6</f>
        <v>39000000</v>
      </c>
      <c r="I5" s="1"/>
      <c r="J5" s="127">
        <v>45784.625</v>
      </c>
      <c r="K5" s="1">
        <v>108.005</v>
      </c>
      <c r="L5" s="127">
        <v>45770.625</v>
      </c>
      <c r="M5" s="1">
        <v>60.945</v>
      </c>
    </row>
    <row r="6" spans="1:13" x14ac:dyDescent="0.3">
      <c r="A6" s="15" t="s">
        <v>10</v>
      </c>
      <c r="B6" s="9">
        <v>0.01</v>
      </c>
      <c r="C6" s="43">
        <v>0.01</v>
      </c>
      <c r="I6" s="1"/>
      <c r="J6" s="127">
        <v>45785.625</v>
      </c>
      <c r="K6" s="1">
        <v>105.084</v>
      </c>
      <c r="L6" s="127">
        <v>45771.625</v>
      </c>
      <c r="M6" s="1">
        <v>60.899000000000001</v>
      </c>
    </row>
    <row r="7" spans="1:13" x14ac:dyDescent="0.3">
      <c r="A7" s="15" t="s">
        <v>12</v>
      </c>
      <c r="B7" s="9">
        <v>0</v>
      </c>
      <c r="C7" s="43">
        <v>0</v>
      </c>
      <c r="I7" s="1"/>
      <c r="J7" s="127">
        <v>45793.625</v>
      </c>
      <c r="K7" s="1">
        <v>93.7</v>
      </c>
      <c r="L7" s="127">
        <v>45772.625</v>
      </c>
      <c r="M7" s="1">
        <v>59.497</v>
      </c>
    </row>
    <row r="8" spans="1:13" x14ac:dyDescent="0.3">
      <c r="A8" s="15" t="s">
        <v>14</v>
      </c>
      <c r="B8" s="1">
        <v>4.8499999999999996</v>
      </c>
      <c r="C8" s="5">
        <v>5.01</v>
      </c>
      <c r="I8" s="1"/>
      <c r="J8" s="127">
        <v>45796.625</v>
      </c>
      <c r="K8" s="1">
        <v>95.147000000000006</v>
      </c>
      <c r="L8" s="127">
        <v>45775.625</v>
      </c>
      <c r="M8" s="1">
        <v>59.72</v>
      </c>
    </row>
    <row r="9" spans="1:13" x14ac:dyDescent="0.3">
      <c r="A9" s="15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23">
        <v>45798.625</v>
      </c>
      <c r="K9" s="3">
        <v>93.870999999999995</v>
      </c>
      <c r="L9" s="123">
        <v>45776.625</v>
      </c>
      <c r="M9" s="3">
        <v>60.067999999999998</v>
      </c>
    </row>
    <row r="10" spans="1:13" ht="15" thickBot="1" x14ac:dyDescent="0.35">
      <c r="A10" s="16" t="s">
        <v>28</v>
      </c>
      <c r="B10" s="21" cm="1">
        <f t="array" ref="B10">_xll.BDP(B4,"px_last")</f>
        <v>89.730559999999997</v>
      </c>
      <c r="C10" s="22" cm="1">
        <f t="array" ref="C10">_xll.BDP(C4,"px_last")</f>
        <v>45.043590000000002</v>
      </c>
      <c r="E10" s="1"/>
      <c r="F10" s="1"/>
      <c r="G10" s="1"/>
      <c r="H10" s="1"/>
      <c r="I10" s="1"/>
      <c r="J10" s="123">
        <v>45799.625</v>
      </c>
      <c r="K10" s="3">
        <v>96.894999999999996</v>
      </c>
      <c r="L10" s="123">
        <v>45777.625</v>
      </c>
      <c r="M10" s="3">
        <v>61.241</v>
      </c>
    </row>
    <row r="11" spans="1:13" ht="15" thickBot="1" x14ac:dyDescent="0.35">
      <c r="C11" s="1"/>
      <c r="D11" s="1"/>
      <c r="E11" s="1"/>
      <c r="F11" s="1"/>
      <c r="G11" s="1"/>
      <c r="H11" s="1"/>
      <c r="I11" s="1"/>
      <c r="J11" s="123">
        <v>45807.625</v>
      </c>
      <c r="K11" s="3">
        <v>92.738</v>
      </c>
      <c r="L11" s="123">
        <v>45778.625</v>
      </c>
      <c r="M11" s="3">
        <v>60.576000000000001</v>
      </c>
    </row>
    <row r="12" spans="1:13" ht="15" thickBot="1" x14ac:dyDescent="0.35">
      <c r="A12" s="39" t="s">
        <v>22</v>
      </c>
      <c r="B12" s="169" t="s">
        <v>0</v>
      </c>
      <c r="C12" s="170"/>
      <c r="D12" s="171"/>
      <c r="E12" s="172" t="s">
        <v>1</v>
      </c>
      <c r="F12" s="173"/>
      <c r="G12" s="174"/>
      <c r="H12" s="97" t="s">
        <v>16</v>
      </c>
      <c r="I12" s="1"/>
      <c r="J12" s="123">
        <v>45810.625</v>
      </c>
      <c r="K12" s="3">
        <v>93.031999999999996</v>
      </c>
      <c r="L12" s="123">
        <v>45779.625</v>
      </c>
      <c r="M12" s="3">
        <v>59.521999999999998</v>
      </c>
    </row>
    <row r="13" spans="1:13" ht="15" thickBot="1" x14ac:dyDescent="0.35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96"/>
      <c r="I13" s="1"/>
      <c r="J13" s="123">
        <v>45812.625</v>
      </c>
      <c r="K13" s="3">
        <v>93.441000000000003</v>
      </c>
      <c r="L13" s="123">
        <v>45782.625</v>
      </c>
      <c r="M13" s="3">
        <v>59.442999999999998</v>
      </c>
    </row>
    <row r="14" spans="1:13" x14ac:dyDescent="0.3">
      <c r="A14" s="36">
        <v>45933</v>
      </c>
      <c r="B14" s="45">
        <v>90</v>
      </c>
      <c r="C14" s="46"/>
      <c r="D14" s="47"/>
      <c r="E14" s="45">
        <v>45</v>
      </c>
      <c r="F14" s="1"/>
      <c r="G14" s="5"/>
      <c r="H14" s="79">
        <v>0</v>
      </c>
      <c r="I14" s="1"/>
      <c r="J14" s="123">
        <v>45814.625</v>
      </c>
      <c r="K14" s="3">
        <v>93.037000000000006</v>
      </c>
      <c r="L14" s="123">
        <v>45783.625</v>
      </c>
      <c r="M14" s="3">
        <v>59.381999999999998</v>
      </c>
    </row>
    <row r="15" spans="1:13" x14ac:dyDescent="0.3">
      <c r="A15" s="36">
        <v>45936</v>
      </c>
      <c r="B15" s="45">
        <f t="shared" ref="B15:B33" si="0">VLOOKUP(A15+$F$2,J:K,2)</f>
        <v>92.26</v>
      </c>
      <c r="C15" s="31">
        <f t="shared" ref="C15" si="1">-1*(B15-$B$14)*10^-4*$B$8*$B$5</f>
        <v>-21922.000000000047</v>
      </c>
      <c r="D15" s="32">
        <f t="shared" ref="D15" si="2">$B$6*(A15-$A$14)/360*$B$5</f>
        <v>1666.6666666666665</v>
      </c>
      <c r="E15" s="46">
        <f t="shared" ref="E15:E33" si="3">VLOOKUP(A15+$F$2,L:M,2)</f>
        <v>46.19</v>
      </c>
      <c r="F15" s="31">
        <f t="shared" ref="F15" si="4">-1*(E15-$E$14)*10^-4*$C$8*$C$5</f>
        <v>-23251.409999999953</v>
      </c>
      <c r="G15" s="32">
        <f t="shared" ref="G15" si="5">$C$6*(A15-$A$14)/360*$C$5</f>
        <v>3250</v>
      </c>
      <c r="H15" s="79">
        <f t="shared" ref="H15:H20" si="6">C15+D15-F15-G15</f>
        <v>-253.92333333342685</v>
      </c>
      <c r="I15" s="1"/>
      <c r="J15" s="123">
        <v>45838.625</v>
      </c>
      <c r="K15" s="3">
        <v>90.674000000000007</v>
      </c>
      <c r="L15" s="123">
        <v>45784.625</v>
      </c>
      <c r="M15" s="3">
        <v>58.87</v>
      </c>
    </row>
    <row r="16" spans="1:13" x14ac:dyDescent="0.3">
      <c r="A16" s="36">
        <v>45937</v>
      </c>
      <c r="B16" s="45">
        <f t="shared" si="0"/>
        <v>92.26</v>
      </c>
      <c r="C16" s="31">
        <f t="shared" ref="C16:C31" si="7">-1*(B16-$B$14)*10^-4*$B$8*$B$5</f>
        <v>-21922.000000000047</v>
      </c>
      <c r="D16" s="32">
        <f t="shared" ref="D16:D31" si="8">$B$6*(A16-$A$14)/360*$B$5</f>
        <v>2222.2222222222222</v>
      </c>
      <c r="E16" s="46">
        <f t="shared" si="3"/>
        <v>46.366</v>
      </c>
      <c r="F16" s="31">
        <f t="shared" ref="F16:F31" si="9">-1*(E16-$E$14)*10^-4*$C$8*$C$5</f>
        <v>-26690.27399999999</v>
      </c>
      <c r="G16" s="32">
        <f t="shared" ref="G16:G31" si="10">$C$6*(A16-$A$14)/360*$C$5</f>
        <v>4333.3333333333339</v>
      </c>
      <c r="H16" s="79">
        <f t="shared" si="6"/>
        <v>2657.1628888888317</v>
      </c>
      <c r="I16" s="1"/>
      <c r="J16" s="123">
        <v>45839.625</v>
      </c>
      <c r="K16" s="3">
        <v>90.614999999999995</v>
      </c>
      <c r="L16" s="123">
        <v>45785.625</v>
      </c>
      <c r="M16" s="3">
        <v>58.057000000000002</v>
      </c>
    </row>
    <row r="17" spans="1:13" x14ac:dyDescent="0.3">
      <c r="A17" s="36">
        <v>45938</v>
      </c>
      <c r="B17" s="45">
        <f t="shared" si="0"/>
        <v>92.656000000000006</v>
      </c>
      <c r="C17" s="31">
        <f t="shared" si="7"/>
        <v>-25763.200000000055</v>
      </c>
      <c r="D17" s="32">
        <f t="shared" si="8"/>
        <v>2777.7777777777778</v>
      </c>
      <c r="E17" s="46">
        <f t="shared" si="3"/>
        <v>46.357999999999997</v>
      </c>
      <c r="F17" s="31">
        <f t="shared" si="9"/>
        <v>-26533.961999999938</v>
      </c>
      <c r="G17" s="32">
        <f t="shared" si="10"/>
        <v>5416.666666666667</v>
      </c>
      <c r="H17" s="79">
        <f t="shared" si="6"/>
        <v>-1868.1268888890072</v>
      </c>
      <c r="I17" s="1"/>
      <c r="J17" s="123">
        <v>45917.625</v>
      </c>
      <c r="K17" s="3">
        <v>83.296999999999997</v>
      </c>
      <c r="L17" s="123">
        <v>45786.625</v>
      </c>
      <c r="M17" s="3">
        <v>57.448</v>
      </c>
    </row>
    <row r="18" spans="1:13" x14ac:dyDescent="0.3">
      <c r="A18" s="36">
        <v>45939</v>
      </c>
      <c r="B18" s="45">
        <f t="shared" si="0"/>
        <v>92.656000000000006</v>
      </c>
      <c r="C18" s="31">
        <f t="shared" si="7"/>
        <v>-25763.200000000055</v>
      </c>
      <c r="D18" s="32">
        <f t="shared" si="8"/>
        <v>3333.333333333333</v>
      </c>
      <c r="E18" s="46">
        <f t="shared" si="3"/>
        <v>46.667999999999999</v>
      </c>
      <c r="F18" s="31">
        <f t="shared" si="9"/>
        <v>-32591.051999999985</v>
      </c>
      <c r="G18" s="32">
        <f t="shared" si="10"/>
        <v>6500</v>
      </c>
      <c r="H18" s="79">
        <f t="shared" si="6"/>
        <v>3661.185333333262</v>
      </c>
      <c r="I18" s="1"/>
      <c r="J18" s="123">
        <v>45931.625</v>
      </c>
      <c r="K18" s="3">
        <v>93.594999999999999</v>
      </c>
      <c r="L18" s="123">
        <v>45789.625</v>
      </c>
      <c r="M18" s="3">
        <v>56.378</v>
      </c>
    </row>
    <row r="19" spans="1:13" x14ac:dyDescent="0.3">
      <c r="A19" s="36">
        <v>45940</v>
      </c>
      <c r="B19" s="45">
        <f t="shared" si="0"/>
        <v>92.656000000000006</v>
      </c>
      <c r="C19" s="31">
        <f t="shared" si="7"/>
        <v>-25763.200000000055</v>
      </c>
      <c r="D19" s="32">
        <f t="shared" si="8"/>
        <v>3888.8888888888891</v>
      </c>
      <c r="E19" s="46">
        <f t="shared" si="3"/>
        <v>46.917000000000002</v>
      </c>
      <c r="F19" s="31">
        <f t="shared" si="9"/>
        <v>-37456.263000000028</v>
      </c>
      <c r="G19" s="32">
        <f t="shared" si="10"/>
        <v>7583.3333333333339</v>
      </c>
      <c r="H19" s="79">
        <f t="shared" si="6"/>
        <v>7998.6185555555294</v>
      </c>
      <c r="I19" s="1"/>
      <c r="J19" s="123">
        <v>45932.625</v>
      </c>
      <c r="K19" s="3">
        <v>92.26</v>
      </c>
      <c r="L19" s="123">
        <v>45790.625</v>
      </c>
      <c r="M19" s="3">
        <v>53.453000000000003</v>
      </c>
    </row>
    <row r="20" spans="1:13" x14ac:dyDescent="0.3">
      <c r="A20" s="36">
        <v>45943</v>
      </c>
      <c r="B20" s="45">
        <f t="shared" si="0"/>
        <v>92.656000000000006</v>
      </c>
      <c r="C20" s="31">
        <f t="shared" si="7"/>
        <v>-25763.200000000055</v>
      </c>
      <c r="D20" s="32">
        <f t="shared" si="8"/>
        <v>5555.5555555555557</v>
      </c>
      <c r="E20" s="46">
        <f t="shared" si="3"/>
        <v>47.828000000000003</v>
      </c>
      <c r="F20" s="31">
        <f t="shared" si="9"/>
        <v>-55256.292000000059</v>
      </c>
      <c r="G20" s="32">
        <f t="shared" si="10"/>
        <v>10833.333333333334</v>
      </c>
      <c r="H20" s="79">
        <f t="shared" si="6"/>
        <v>24215.314222222223</v>
      </c>
      <c r="I20" s="1"/>
      <c r="J20" s="123">
        <v>45938.625</v>
      </c>
      <c r="K20" s="3">
        <v>92.656000000000006</v>
      </c>
      <c r="L20" s="123">
        <v>45791.625</v>
      </c>
      <c r="M20" s="3">
        <v>53.988</v>
      </c>
    </row>
    <row r="21" spans="1:13" x14ac:dyDescent="0.3">
      <c r="A21" s="36">
        <v>45944</v>
      </c>
      <c r="B21" s="45">
        <f t="shared" si="0"/>
        <v>92.656000000000006</v>
      </c>
      <c r="C21" s="31">
        <f t="shared" si="7"/>
        <v>-25763.200000000055</v>
      </c>
      <c r="D21" s="32">
        <f t="shared" si="8"/>
        <v>6111.1111111111113</v>
      </c>
      <c r="E21" s="46">
        <f t="shared" si="3"/>
        <v>47.908000000000001</v>
      </c>
      <c r="F21" s="31">
        <f t="shared" si="9"/>
        <v>-56819.412000000026</v>
      </c>
      <c r="G21" s="32">
        <f t="shared" si="10"/>
        <v>11916.666666666666</v>
      </c>
      <c r="H21" s="79">
        <f t="shared" ref="H21" si="11">C21+D21-F21-G21</f>
        <v>25250.656444444416</v>
      </c>
      <c r="I21" s="1"/>
      <c r="J21" s="123">
        <v>45951.625</v>
      </c>
      <c r="K21" s="3">
        <v>94.024000000000001</v>
      </c>
      <c r="L21" s="123">
        <v>45792.625</v>
      </c>
      <c r="M21" s="3">
        <v>54.762</v>
      </c>
    </row>
    <row r="22" spans="1:13" x14ac:dyDescent="0.3">
      <c r="A22" s="36">
        <v>45945</v>
      </c>
      <c r="B22" s="45">
        <f t="shared" si="0"/>
        <v>92.656000000000006</v>
      </c>
      <c r="C22" s="31">
        <f t="shared" si="7"/>
        <v>-25763.200000000055</v>
      </c>
      <c r="D22" s="32">
        <f t="shared" si="8"/>
        <v>6666.6666666666661</v>
      </c>
      <c r="E22" s="46">
        <f t="shared" si="3"/>
        <v>45.886000000000003</v>
      </c>
      <c r="F22" s="31">
        <f t="shared" si="9"/>
        <v>-17311.554000000055</v>
      </c>
      <c r="G22" s="32">
        <f t="shared" si="10"/>
        <v>13000</v>
      </c>
      <c r="H22" s="79">
        <f t="shared" ref="H22" si="12">C22+D22-F22-G22</f>
        <v>-14784.979333333336</v>
      </c>
      <c r="I22" s="1"/>
      <c r="J22" s="123">
        <v>45959.625</v>
      </c>
      <c r="K22" s="3">
        <v>88.581999999999994</v>
      </c>
      <c r="L22" s="123">
        <v>45793.625</v>
      </c>
      <c r="M22" s="3">
        <v>54.014000000000003</v>
      </c>
    </row>
    <row r="23" spans="1:13" x14ac:dyDescent="0.3">
      <c r="A23" s="36">
        <v>45946</v>
      </c>
      <c r="B23" s="45">
        <f t="shared" si="0"/>
        <v>92.656000000000006</v>
      </c>
      <c r="C23" s="31">
        <f t="shared" si="7"/>
        <v>-25763.200000000055</v>
      </c>
      <c r="D23" s="32">
        <f t="shared" si="8"/>
        <v>7222.2222222222226</v>
      </c>
      <c r="E23" s="46">
        <f t="shared" si="3"/>
        <v>45.503</v>
      </c>
      <c r="F23" s="31">
        <f t="shared" si="9"/>
        <v>-9828.117000000002</v>
      </c>
      <c r="G23" s="32">
        <f t="shared" si="10"/>
        <v>14083.333333333334</v>
      </c>
      <c r="H23" s="79">
        <f t="shared" ref="H23" si="13">C23+D23-F23-G23</f>
        <v>-22796.194111111166</v>
      </c>
      <c r="I23" s="1"/>
      <c r="J23" s="3">
        <v>45964.625</v>
      </c>
      <c r="K23" s="3">
        <v>89.730999999999995</v>
      </c>
      <c r="L23" s="123">
        <v>45796.625</v>
      </c>
      <c r="M23" s="3">
        <v>54.042000000000002</v>
      </c>
    </row>
    <row r="24" spans="1:13" x14ac:dyDescent="0.3">
      <c r="A24" s="128">
        <v>45947</v>
      </c>
      <c r="B24" s="45">
        <f t="shared" si="0"/>
        <v>92.656000000000006</v>
      </c>
      <c r="C24" s="31">
        <f t="shared" si="7"/>
        <v>-25763.200000000055</v>
      </c>
      <c r="D24" s="32">
        <f t="shared" si="8"/>
        <v>7777.7777777777783</v>
      </c>
      <c r="E24" s="46">
        <f t="shared" si="3"/>
        <v>47.009</v>
      </c>
      <c r="F24" s="31">
        <f t="shared" si="9"/>
        <v>-39253.851000000002</v>
      </c>
      <c r="G24" s="32">
        <f t="shared" si="10"/>
        <v>15166.666666666668</v>
      </c>
      <c r="H24" s="79">
        <f t="shared" ref="H24:H25" si="14">C24+D24-F24-G24</f>
        <v>6101.7621111110566</v>
      </c>
      <c r="I24" s="1"/>
      <c r="L24" s="123">
        <v>45797.625</v>
      </c>
      <c r="M24" s="3">
        <v>53.8</v>
      </c>
    </row>
    <row r="25" spans="1:13" x14ac:dyDescent="0.3">
      <c r="A25" s="128">
        <v>45950</v>
      </c>
      <c r="B25" s="45">
        <f t="shared" si="0"/>
        <v>92.656000000000006</v>
      </c>
      <c r="C25" s="31">
        <f t="shared" si="7"/>
        <v>-25763.200000000055</v>
      </c>
      <c r="D25" s="32">
        <f t="shared" si="8"/>
        <v>9444.4444444444453</v>
      </c>
      <c r="E25" s="46">
        <f t="shared" si="3"/>
        <v>46.378999999999998</v>
      </c>
      <c r="F25" s="31">
        <f t="shared" si="9"/>
        <v>-26944.280999999955</v>
      </c>
      <c r="G25" s="32">
        <f t="shared" si="10"/>
        <v>18416.666666666668</v>
      </c>
      <c r="H25" s="79">
        <f t="shared" si="14"/>
        <v>-7791.1412222223225</v>
      </c>
      <c r="I25" s="1"/>
      <c r="L25" s="123">
        <v>45798.625</v>
      </c>
      <c r="M25" s="3">
        <v>53.773000000000003</v>
      </c>
    </row>
    <row r="26" spans="1:13" x14ac:dyDescent="0.3">
      <c r="A26" s="128">
        <v>45951</v>
      </c>
      <c r="B26" s="45">
        <f t="shared" si="0"/>
        <v>94.024000000000001</v>
      </c>
      <c r="C26" s="31">
        <f t="shared" si="7"/>
        <v>-39032.80000000001</v>
      </c>
      <c r="D26" s="32">
        <f t="shared" si="8"/>
        <v>10000</v>
      </c>
      <c r="E26" s="46">
        <f t="shared" si="3"/>
        <v>45.969000000000001</v>
      </c>
      <c r="F26" s="31">
        <f t="shared" si="9"/>
        <v>-18933.291000000023</v>
      </c>
      <c r="G26" s="32">
        <f t="shared" si="10"/>
        <v>19500</v>
      </c>
      <c r="H26" s="79">
        <f t="shared" ref="H26" si="15">C26+D26-F26-G26</f>
        <v>-29599.508999999987</v>
      </c>
      <c r="I26" s="1"/>
      <c r="L26" s="123">
        <v>45799.625</v>
      </c>
      <c r="M26" s="3">
        <v>54.58</v>
      </c>
    </row>
    <row r="27" spans="1:13" x14ac:dyDescent="0.3">
      <c r="A27" s="128">
        <v>45952</v>
      </c>
      <c r="B27" s="45">
        <f t="shared" si="0"/>
        <v>94.024000000000001</v>
      </c>
      <c r="C27" s="31">
        <f t="shared" si="7"/>
        <v>-39032.80000000001</v>
      </c>
      <c r="D27" s="32">
        <f t="shared" si="8"/>
        <v>10555.555555555557</v>
      </c>
      <c r="E27" s="46">
        <f t="shared" si="3"/>
        <v>46.024999999999999</v>
      </c>
      <c r="F27" s="31">
        <f t="shared" si="9"/>
        <v>-20027.474999999973</v>
      </c>
      <c r="G27" s="32">
        <f t="shared" si="10"/>
        <v>20583.333333333336</v>
      </c>
      <c r="H27" s="79">
        <f t="shared" ref="H27" si="16">C27+D27-F27-G27</f>
        <v>-29033.102777777818</v>
      </c>
      <c r="I27" s="1"/>
      <c r="L27" s="123">
        <v>45800.625</v>
      </c>
      <c r="M27" s="3">
        <v>55.301000000000002</v>
      </c>
    </row>
    <row r="28" spans="1:13" x14ac:dyDescent="0.3">
      <c r="A28" s="128">
        <v>45953</v>
      </c>
      <c r="B28" s="45">
        <f t="shared" si="0"/>
        <v>94.024000000000001</v>
      </c>
      <c r="C28" s="31">
        <f t="shared" si="7"/>
        <v>-39032.80000000001</v>
      </c>
      <c r="D28" s="32">
        <f t="shared" si="8"/>
        <v>11111.111111111111</v>
      </c>
      <c r="E28" s="46">
        <f t="shared" si="3"/>
        <v>46.079000000000001</v>
      </c>
      <c r="F28" s="31">
        <f t="shared" si="9"/>
        <v>-21082.581000000009</v>
      </c>
      <c r="G28" s="32">
        <f t="shared" si="10"/>
        <v>21666.666666666668</v>
      </c>
      <c r="H28" s="79">
        <f t="shared" ref="H28" si="17">C28+D28-F28-G28</f>
        <v>-28505.774555555559</v>
      </c>
      <c r="I28" s="1"/>
      <c r="L28" s="123">
        <v>45803.625</v>
      </c>
      <c r="M28" s="3">
        <v>55.465000000000003</v>
      </c>
    </row>
    <row r="29" spans="1:13" x14ac:dyDescent="0.3">
      <c r="A29" s="128">
        <v>45954</v>
      </c>
      <c r="B29" s="45">
        <f t="shared" si="0"/>
        <v>94.024000000000001</v>
      </c>
      <c r="C29" s="31">
        <f t="shared" si="7"/>
        <v>-39032.80000000001</v>
      </c>
      <c r="D29" s="32">
        <f t="shared" si="8"/>
        <v>11666.666666666666</v>
      </c>
      <c r="E29" s="46">
        <f t="shared" si="3"/>
        <v>45.436</v>
      </c>
      <c r="F29" s="31">
        <f t="shared" si="9"/>
        <v>-8519.003999999999</v>
      </c>
      <c r="G29" s="32">
        <f t="shared" si="10"/>
        <v>22749.999999999996</v>
      </c>
      <c r="H29" s="79">
        <f t="shared" ref="H29" si="18">C29+D29-F29-G29</f>
        <v>-41597.129333333345</v>
      </c>
      <c r="I29" s="1"/>
      <c r="L29" s="123">
        <v>45804.625</v>
      </c>
      <c r="M29" s="3">
        <v>53.786999999999999</v>
      </c>
    </row>
    <row r="30" spans="1:13" x14ac:dyDescent="0.3">
      <c r="A30" s="36">
        <v>45957</v>
      </c>
      <c r="B30" s="45">
        <f t="shared" si="0"/>
        <v>94.024000000000001</v>
      </c>
      <c r="C30" s="31">
        <f t="shared" si="7"/>
        <v>-39032.80000000001</v>
      </c>
      <c r="D30" s="32">
        <f t="shared" si="8"/>
        <v>13333.333333333332</v>
      </c>
      <c r="E30" s="46">
        <f t="shared" si="3"/>
        <v>45.232999999999997</v>
      </c>
      <c r="F30" s="31">
        <f t="shared" si="9"/>
        <v>-4552.5869999999413</v>
      </c>
      <c r="G30" s="32">
        <f t="shared" si="10"/>
        <v>26000</v>
      </c>
      <c r="H30" s="79">
        <f t="shared" ref="H30" si="19">C30+D30-F30-G30</f>
        <v>-47146.879666666733</v>
      </c>
      <c r="I30" s="1"/>
      <c r="L30" s="123">
        <v>45805.625</v>
      </c>
      <c r="M30" s="3">
        <v>52.703000000000003</v>
      </c>
    </row>
    <row r="31" spans="1:13" x14ac:dyDescent="0.3">
      <c r="A31" s="36">
        <v>45958</v>
      </c>
      <c r="B31" s="45">
        <f t="shared" si="0"/>
        <v>94.024000000000001</v>
      </c>
      <c r="C31" s="31">
        <f t="shared" si="7"/>
        <v>-39032.80000000001</v>
      </c>
      <c r="D31" s="32">
        <f t="shared" si="8"/>
        <v>13888.888888888889</v>
      </c>
      <c r="E31" s="46">
        <f t="shared" si="3"/>
        <v>44.807000000000002</v>
      </c>
      <c r="F31" s="31">
        <f t="shared" si="9"/>
        <v>3771.0269999999578</v>
      </c>
      <c r="G31" s="32">
        <f t="shared" si="10"/>
        <v>27083.333333333336</v>
      </c>
      <c r="H31" s="79">
        <f t="shared" ref="H31" si="20">C31+D31-F31-G31</f>
        <v>-55998.271444444414</v>
      </c>
      <c r="I31" s="1"/>
      <c r="L31" s="123">
        <v>45806.625</v>
      </c>
      <c r="M31" s="3">
        <v>51.826000000000001</v>
      </c>
    </row>
    <row r="32" spans="1:13" x14ac:dyDescent="0.3">
      <c r="A32" s="36">
        <v>45959</v>
      </c>
      <c r="B32" s="45">
        <f t="shared" si="0"/>
        <v>88.581999999999994</v>
      </c>
      <c r="C32" s="31">
        <f t="shared" ref="C32" si="21">-1*(B32-$B$14)*10^-4*$B$8*$B$5</f>
        <v>13754.600000000062</v>
      </c>
      <c r="D32" s="32">
        <f t="shared" ref="D32" si="22">$B$6*(A32-$A$14)/360*$B$5</f>
        <v>14444.444444444445</v>
      </c>
      <c r="E32" s="46">
        <f t="shared" si="3"/>
        <v>44.406999999999996</v>
      </c>
      <c r="F32" s="31">
        <f t="shared" ref="F32" si="23">-1*(E32-$E$14)*10^-4*$C$8*$C$5</f>
        <v>11586.62700000007</v>
      </c>
      <c r="G32" s="32">
        <f t="shared" ref="G32" si="24">$C$6*(A32-$A$14)/360*$C$5</f>
        <v>28166.666666666668</v>
      </c>
      <c r="H32" s="79">
        <f t="shared" ref="H32" si="25">C32+D32-F32-G32</f>
        <v>-11554.249222222228</v>
      </c>
      <c r="I32" s="1"/>
      <c r="L32" s="123">
        <v>45807.625</v>
      </c>
      <c r="M32" s="3">
        <v>52.076999999999998</v>
      </c>
    </row>
    <row r="33" spans="1:13" x14ac:dyDescent="0.3">
      <c r="A33" s="36">
        <v>45960</v>
      </c>
      <c r="B33" s="45">
        <f t="shared" si="0"/>
        <v>88.581999999999994</v>
      </c>
      <c r="C33" s="31">
        <f t="shared" ref="C33:C34" si="26">-1*(B33-$B$14)*10^-4*$B$8*$B$5</f>
        <v>13754.600000000062</v>
      </c>
      <c r="D33" s="32">
        <f t="shared" ref="D33:D34" si="27">$B$6*(A33-$A$14)/360*$B$5</f>
        <v>15000</v>
      </c>
      <c r="E33" s="46">
        <f t="shared" si="3"/>
        <v>44.683999999999997</v>
      </c>
      <c r="F33" s="31">
        <f t="shared" ref="F33:F34" si="28">-1*(E33-$E$14)*10^-4*$C$8*$C$5</f>
        <v>6174.3240000000487</v>
      </c>
      <c r="G33" s="32">
        <f t="shared" ref="G33:G34" si="29">$C$6*(A33-$A$14)/360*$C$5</f>
        <v>29250</v>
      </c>
      <c r="H33" s="79">
        <f t="shared" ref="H33:H34" si="30">C33+D33-F33-G33</f>
        <v>-6669.7239999999838</v>
      </c>
      <c r="I33" s="1"/>
      <c r="L33" s="123">
        <v>45810.625</v>
      </c>
      <c r="M33" s="3">
        <v>51.999000000000002</v>
      </c>
    </row>
    <row r="34" spans="1:13" x14ac:dyDescent="0.3">
      <c r="A34" s="36">
        <v>45961</v>
      </c>
      <c r="B34" s="45">
        <f>B10</f>
        <v>89.730559999999997</v>
      </c>
      <c r="C34" s="31">
        <f t="shared" si="26"/>
        <v>2613.5680000000289</v>
      </c>
      <c r="D34" s="32">
        <f t="shared" si="27"/>
        <v>15555.555555555557</v>
      </c>
      <c r="E34" s="46">
        <f>C10</f>
        <v>45.043590000000002</v>
      </c>
      <c r="F34" s="31">
        <f t="shared" si="28"/>
        <v>-851.70501000003503</v>
      </c>
      <c r="G34" s="32">
        <f t="shared" si="29"/>
        <v>30333.333333333336</v>
      </c>
      <c r="H34" s="79">
        <f t="shared" si="30"/>
        <v>-11312.504767777715</v>
      </c>
      <c r="I34" s="1"/>
      <c r="L34" s="123">
        <v>45811.625</v>
      </c>
      <c r="M34" s="3">
        <v>51.923999999999999</v>
      </c>
    </row>
    <row r="35" spans="1:13" x14ac:dyDescent="0.3">
      <c r="A35" s="36">
        <v>45964</v>
      </c>
      <c r="B35" s="45"/>
      <c r="C35" s="31"/>
      <c r="D35" s="32"/>
      <c r="E35" s="46"/>
      <c r="F35" s="31"/>
      <c r="G35" s="32"/>
      <c r="H35" s="79"/>
      <c r="I35" s="1"/>
      <c r="L35" s="123">
        <v>45812.625</v>
      </c>
      <c r="M35" s="3">
        <v>50.991</v>
      </c>
    </row>
    <row r="36" spans="1:13" x14ac:dyDescent="0.3">
      <c r="A36" s="36">
        <v>45965</v>
      </c>
      <c r="B36" s="45"/>
      <c r="C36" s="31"/>
      <c r="D36" s="32"/>
      <c r="E36" s="46"/>
      <c r="F36" s="31"/>
      <c r="G36" s="32"/>
      <c r="H36" s="79"/>
      <c r="I36" s="1"/>
      <c r="L36" s="123">
        <v>45813.625</v>
      </c>
      <c r="M36" s="3">
        <v>51.46</v>
      </c>
    </row>
    <row r="37" spans="1:13" x14ac:dyDescent="0.3">
      <c r="A37" s="36">
        <v>45966</v>
      </c>
      <c r="B37" s="45"/>
      <c r="C37" s="31"/>
      <c r="D37" s="32"/>
      <c r="E37" s="46"/>
      <c r="F37" s="31"/>
      <c r="G37" s="32"/>
      <c r="H37" s="79"/>
      <c r="I37" s="1"/>
      <c r="L37" s="123">
        <v>45814.625</v>
      </c>
      <c r="M37" s="3">
        <v>50.575000000000003</v>
      </c>
    </row>
    <row r="38" spans="1:13" x14ac:dyDescent="0.3">
      <c r="A38" s="36">
        <v>45967</v>
      </c>
      <c r="B38" s="45"/>
      <c r="C38" s="31"/>
      <c r="D38" s="32"/>
      <c r="E38" s="4"/>
      <c r="F38" s="31"/>
      <c r="G38" s="32"/>
      <c r="H38" s="79"/>
      <c r="I38" s="1"/>
      <c r="L38" s="123">
        <v>45817.625</v>
      </c>
      <c r="M38" s="3">
        <v>50.07</v>
      </c>
    </row>
    <row r="39" spans="1:13" x14ac:dyDescent="0.3">
      <c r="A39" s="36">
        <v>45968</v>
      </c>
      <c r="B39" s="45"/>
      <c r="C39" s="31"/>
      <c r="D39" s="32"/>
      <c r="E39" s="4"/>
      <c r="F39" s="31"/>
      <c r="G39" s="32"/>
      <c r="H39" s="38"/>
      <c r="I39" s="1"/>
      <c r="L39" s="123">
        <v>45818.625</v>
      </c>
      <c r="M39" s="3">
        <v>49.826999999999998</v>
      </c>
    </row>
    <row r="40" spans="1:13" x14ac:dyDescent="0.3">
      <c r="A40" s="36">
        <v>45969</v>
      </c>
      <c r="B40" s="45"/>
      <c r="C40" s="31"/>
      <c r="D40" s="32"/>
      <c r="E40" s="4"/>
      <c r="F40" s="31"/>
      <c r="G40" s="32"/>
      <c r="H40" s="38"/>
      <c r="I40" s="1"/>
      <c r="L40" s="123">
        <v>45819.625</v>
      </c>
      <c r="M40" s="3">
        <v>49.567</v>
      </c>
    </row>
    <row r="41" spans="1:13" x14ac:dyDescent="0.3">
      <c r="A41" s="36">
        <v>45970</v>
      </c>
      <c r="B41" s="45"/>
      <c r="C41" s="31"/>
      <c r="D41" s="32"/>
      <c r="E41" s="4"/>
      <c r="F41" s="31"/>
      <c r="G41" s="32"/>
      <c r="H41" s="38"/>
      <c r="I41" s="1"/>
      <c r="L41" s="123">
        <v>45820.625</v>
      </c>
      <c r="M41" s="3">
        <v>49.652999999999999</v>
      </c>
    </row>
    <row r="42" spans="1:13" x14ac:dyDescent="0.3">
      <c r="A42" s="15"/>
      <c r="B42" s="45"/>
      <c r="C42" s="31"/>
      <c r="D42" s="32"/>
      <c r="E42" s="4"/>
      <c r="F42" s="31"/>
      <c r="G42" s="32"/>
      <c r="H42" s="38"/>
      <c r="I42" s="1"/>
      <c r="L42" s="123">
        <v>45821.625</v>
      </c>
      <c r="M42" s="3">
        <v>51.447000000000003</v>
      </c>
    </row>
    <row r="43" spans="1:13" x14ac:dyDescent="0.3">
      <c r="A43" s="15"/>
      <c r="B43" s="45"/>
      <c r="C43" s="31"/>
      <c r="D43" s="32"/>
      <c r="E43" s="4"/>
      <c r="F43" s="31"/>
      <c r="G43" s="32"/>
      <c r="H43" s="38"/>
      <c r="I43" s="1"/>
      <c r="L43" s="123">
        <v>45824.625</v>
      </c>
      <c r="M43" s="3">
        <v>50.210999999999999</v>
      </c>
    </row>
    <row r="44" spans="1:13" x14ac:dyDescent="0.3">
      <c r="A44" s="15"/>
      <c r="B44" s="45"/>
      <c r="C44" s="31"/>
      <c r="D44" s="32"/>
      <c r="E44" s="4"/>
      <c r="F44" s="31"/>
      <c r="G44" s="32"/>
      <c r="H44" s="38"/>
      <c r="I44" s="1"/>
      <c r="L44" s="123">
        <v>45825.625</v>
      </c>
      <c r="M44" s="3">
        <v>50.256</v>
      </c>
    </row>
    <row r="45" spans="1:13" ht="15" thickBot="1" x14ac:dyDescent="0.35">
      <c r="A45" s="16"/>
      <c r="B45" s="48"/>
      <c r="C45" s="49"/>
      <c r="D45" s="50"/>
      <c r="E45" s="11"/>
      <c r="F45" s="49"/>
      <c r="G45" s="50"/>
      <c r="H45" s="51"/>
      <c r="I45" s="1"/>
      <c r="L45" s="123">
        <v>45826.625</v>
      </c>
      <c r="M45" s="3">
        <v>50.328000000000003</v>
      </c>
    </row>
    <row r="46" spans="1:13" x14ac:dyDescent="0.3">
      <c r="B46" s="59"/>
      <c r="C46" s="59"/>
      <c r="D46" s="59"/>
      <c r="F46" s="58"/>
      <c r="G46" s="58"/>
      <c r="H46" s="58"/>
      <c r="L46" s="123">
        <v>45827.625</v>
      </c>
      <c r="M46" s="3">
        <v>51.09</v>
      </c>
    </row>
    <row r="47" spans="1:13" x14ac:dyDescent="0.3">
      <c r="B47" s="59"/>
      <c r="C47" s="59"/>
      <c r="D47" s="59"/>
      <c r="F47" s="58"/>
      <c r="G47" s="58"/>
      <c r="H47" s="58"/>
      <c r="L47" s="123">
        <v>45828.625</v>
      </c>
      <c r="M47" s="3">
        <v>50.98</v>
      </c>
    </row>
    <row r="48" spans="1:13" x14ac:dyDescent="0.3">
      <c r="B48" s="59"/>
      <c r="C48" s="59"/>
      <c r="D48" s="59"/>
      <c r="F48" s="58"/>
      <c r="G48" s="58"/>
      <c r="H48" s="58"/>
      <c r="L48" s="123">
        <v>45831.625</v>
      </c>
      <c r="M48" s="3">
        <v>51.106000000000002</v>
      </c>
    </row>
    <row r="49" spans="2:13" x14ac:dyDescent="0.3">
      <c r="B49" s="59"/>
      <c r="C49" s="59"/>
      <c r="D49" s="59"/>
      <c r="F49" s="58"/>
      <c r="G49" s="58"/>
      <c r="H49" s="58"/>
      <c r="L49" s="123">
        <v>45832.625</v>
      </c>
      <c r="M49" s="3">
        <v>48.530999999999999</v>
      </c>
    </row>
    <row r="50" spans="2:13" x14ac:dyDescent="0.3">
      <c r="B50" s="59"/>
      <c r="C50" s="59"/>
      <c r="D50" s="59"/>
      <c r="L50" s="123">
        <v>45833.625</v>
      </c>
      <c r="M50" s="3">
        <v>48.798000000000002</v>
      </c>
    </row>
    <row r="51" spans="2:13" x14ac:dyDescent="0.3">
      <c r="B51" s="59"/>
      <c r="C51" s="59"/>
      <c r="D51" s="59"/>
      <c r="L51" s="123">
        <v>45834.625</v>
      </c>
      <c r="M51" s="3">
        <v>48.734999999999999</v>
      </c>
    </row>
    <row r="52" spans="2:13" x14ac:dyDescent="0.3">
      <c r="B52" s="59"/>
      <c r="C52" s="59"/>
      <c r="D52" s="59"/>
      <c r="L52" s="123">
        <v>45835.625</v>
      </c>
      <c r="M52" s="3">
        <v>47.646000000000001</v>
      </c>
    </row>
    <row r="53" spans="2:13" x14ac:dyDescent="0.3">
      <c r="B53" s="59"/>
      <c r="C53" s="59"/>
      <c r="D53" s="59"/>
      <c r="L53" s="123">
        <v>45838.625</v>
      </c>
      <c r="M53" s="3">
        <v>47.832999999999998</v>
      </c>
    </row>
    <row r="54" spans="2:13" x14ac:dyDescent="0.3">
      <c r="B54" s="59"/>
      <c r="C54" s="59"/>
      <c r="D54" s="59"/>
      <c r="L54" s="123">
        <v>45839.625</v>
      </c>
      <c r="M54" s="3">
        <v>47.801000000000002</v>
      </c>
    </row>
    <row r="55" spans="2:13" x14ac:dyDescent="0.3">
      <c r="B55" s="59"/>
      <c r="C55" s="59"/>
      <c r="D55" s="59"/>
      <c r="L55" s="123">
        <v>45840.625</v>
      </c>
      <c r="M55" s="3">
        <v>47.194000000000003</v>
      </c>
    </row>
    <row r="56" spans="2:13" x14ac:dyDescent="0.3">
      <c r="B56" s="59"/>
      <c r="C56" s="59"/>
      <c r="D56" s="59"/>
      <c r="L56" s="123">
        <v>45841.625</v>
      </c>
      <c r="M56" s="3">
        <v>47.182000000000002</v>
      </c>
    </row>
    <row r="57" spans="2:13" x14ac:dyDescent="0.3">
      <c r="B57" s="59"/>
      <c r="C57" s="59"/>
      <c r="D57" s="59"/>
      <c r="L57" s="123">
        <v>45842.625</v>
      </c>
      <c r="M57" s="3">
        <v>47.551000000000002</v>
      </c>
    </row>
    <row r="58" spans="2:13" x14ac:dyDescent="0.3">
      <c r="L58" s="123">
        <v>45845.625</v>
      </c>
      <c r="M58" s="3">
        <v>47.372</v>
      </c>
    </row>
    <row r="59" spans="2:13" x14ac:dyDescent="0.3">
      <c r="L59" s="123">
        <v>45846.625</v>
      </c>
      <c r="M59" s="3">
        <v>47.015000000000001</v>
      </c>
    </row>
    <row r="60" spans="2:13" x14ac:dyDescent="0.3">
      <c r="L60" s="123">
        <v>45847.625</v>
      </c>
      <c r="M60" s="3">
        <v>47.259</v>
      </c>
    </row>
    <row r="61" spans="2:13" x14ac:dyDescent="0.3">
      <c r="L61" s="123">
        <v>45848.625</v>
      </c>
      <c r="M61" s="3">
        <v>46.771000000000001</v>
      </c>
    </row>
    <row r="62" spans="2:13" x14ac:dyDescent="0.3">
      <c r="L62" s="123">
        <v>45849.625</v>
      </c>
      <c r="M62" s="3">
        <v>47.335999999999999</v>
      </c>
    </row>
    <row r="63" spans="2:13" x14ac:dyDescent="0.3">
      <c r="L63" s="123">
        <v>45852.625</v>
      </c>
      <c r="M63" s="3">
        <v>47.235999999999997</v>
      </c>
    </row>
    <row r="64" spans="2:13" x14ac:dyDescent="0.3">
      <c r="L64" s="123">
        <v>45853.625</v>
      </c>
      <c r="M64" s="3">
        <v>47.542999999999999</v>
      </c>
    </row>
    <row r="65" spans="12:13" x14ac:dyDescent="0.3">
      <c r="L65" s="123">
        <v>45854.625</v>
      </c>
      <c r="M65" s="3">
        <v>47.863999999999997</v>
      </c>
    </row>
    <row r="66" spans="12:13" x14ac:dyDescent="0.3">
      <c r="L66" s="123">
        <v>45855.625</v>
      </c>
      <c r="M66" s="3">
        <v>47.286999999999999</v>
      </c>
    </row>
    <row r="67" spans="12:13" x14ac:dyDescent="0.3">
      <c r="L67" s="123">
        <v>45856.625</v>
      </c>
      <c r="M67" s="3">
        <v>46.664999999999999</v>
      </c>
    </row>
    <row r="68" spans="12:13" x14ac:dyDescent="0.3">
      <c r="L68" s="123">
        <v>45859.625</v>
      </c>
      <c r="M68" s="3">
        <v>46.798000000000002</v>
      </c>
    </row>
    <row r="69" spans="12:13" x14ac:dyDescent="0.3">
      <c r="L69" s="123">
        <v>45860.625</v>
      </c>
      <c r="M69" s="3">
        <v>47.064999999999998</v>
      </c>
    </row>
    <row r="70" spans="12:13" x14ac:dyDescent="0.3">
      <c r="L70" s="123">
        <v>45861.625</v>
      </c>
      <c r="M70" s="3">
        <v>46.191000000000003</v>
      </c>
    </row>
    <row r="71" spans="12:13" x14ac:dyDescent="0.3">
      <c r="L71" s="123">
        <v>45862.625</v>
      </c>
      <c r="M71" s="3">
        <v>46.113</v>
      </c>
    </row>
    <row r="72" spans="12:13" x14ac:dyDescent="0.3">
      <c r="L72" s="123">
        <v>45863.625</v>
      </c>
      <c r="M72" s="3">
        <v>45.887</v>
      </c>
    </row>
    <row r="73" spans="12:13" x14ac:dyDescent="0.3">
      <c r="L73" s="123">
        <v>45866.625</v>
      </c>
      <c r="M73" s="3">
        <v>45.268000000000001</v>
      </c>
    </row>
    <row r="74" spans="12:13" x14ac:dyDescent="0.3">
      <c r="L74" s="123">
        <v>45867.625</v>
      </c>
      <c r="M74" s="3">
        <v>45.021000000000001</v>
      </c>
    </row>
    <row r="75" spans="12:13" x14ac:dyDescent="0.3">
      <c r="L75" s="123">
        <v>45868.625</v>
      </c>
      <c r="M75" s="3">
        <v>45.497999999999998</v>
      </c>
    </row>
    <row r="76" spans="12:13" x14ac:dyDescent="0.3">
      <c r="L76" s="123">
        <v>45869.625</v>
      </c>
      <c r="M76" s="3">
        <v>45.439</v>
      </c>
    </row>
    <row r="77" spans="12:13" x14ac:dyDescent="0.3">
      <c r="L77" s="123">
        <v>45870.625</v>
      </c>
      <c r="M77" s="3">
        <v>46.853000000000002</v>
      </c>
    </row>
    <row r="78" spans="12:13" x14ac:dyDescent="0.3">
      <c r="L78" s="123">
        <v>45873.625</v>
      </c>
      <c r="M78" s="3">
        <v>46.91</v>
      </c>
    </row>
    <row r="79" spans="12:13" x14ac:dyDescent="0.3">
      <c r="L79" s="123">
        <v>45874.625</v>
      </c>
      <c r="M79" s="3">
        <v>45.616999999999997</v>
      </c>
    </row>
    <row r="80" spans="12:13" x14ac:dyDescent="0.3">
      <c r="L80" s="123">
        <v>45875.625</v>
      </c>
      <c r="M80" s="3">
        <v>46.472000000000001</v>
      </c>
    </row>
    <row r="81" spans="12:13" x14ac:dyDescent="0.3">
      <c r="L81" s="123">
        <v>45876.625</v>
      </c>
      <c r="M81" s="3">
        <v>45.741999999999997</v>
      </c>
    </row>
    <row r="82" spans="12:13" x14ac:dyDescent="0.3">
      <c r="L82" s="123">
        <v>45877.625</v>
      </c>
      <c r="M82" s="3">
        <v>45.639000000000003</v>
      </c>
    </row>
    <row r="83" spans="12:13" x14ac:dyDescent="0.3">
      <c r="L83" s="123">
        <v>45880.625</v>
      </c>
      <c r="M83" s="3">
        <v>45.212000000000003</v>
      </c>
    </row>
    <row r="84" spans="12:13" x14ac:dyDescent="0.3">
      <c r="L84" s="123">
        <v>45881.625</v>
      </c>
      <c r="M84" s="3">
        <v>44.905000000000001</v>
      </c>
    </row>
    <row r="85" spans="12:13" x14ac:dyDescent="0.3">
      <c r="L85" s="123">
        <v>45882.625</v>
      </c>
      <c r="M85" s="3">
        <v>44.164999999999999</v>
      </c>
    </row>
    <row r="86" spans="12:13" x14ac:dyDescent="0.3">
      <c r="L86" s="123">
        <v>45883.625</v>
      </c>
      <c r="M86" s="3">
        <v>43.07</v>
      </c>
    </row>
    <row r="87" spans="12:13" x14ac:dyDescent="0.3">
      <c r="L87" s="123">
        <v>45884.625</v>
      </c>
      <c r="M87" s="3">
        <v>42.658000000000001</v>
      </c>
    </row>
    <row r="88" spans="12:13" x14ac:dyDescent="0.3">
      <c r="L88" s="123">
        <v>45887.625</v>
      </c>
      <c r="M88" s="3">
        <v>42.69</v>
      </c>
    </row>
    <row r="89" spans="12:13" x14ac:dyDescent="0.3">
      <c r="L89" s="123">
        <v>45888.625</v>
      </c>
      <c r="M89" s="3">
        <v>43.34</v>
      </c>
    </row>
    <row r="90" spans="12:13" x14ac:dyDescent="0.3">
      <c r="L90" s="123">
        <v>45889.625</v>
      </c>
      <c r="M90" s="3">
        <v>43.088999999999999</v>
      </c>
    </row>
    <row r="91" spans="12:13" x14ac:dyDescent="0.3">
      <c r="L91" s="123">
        <v>45890.625</v>
      </c>
      <c r="M91" s="3">
        <v>43.530999999999999</v>
      </c>
    </row>
    <row r="92" spans="12:13" x14ac:dyDescent="0.3">
      <c r="L92" s="123">
        <v>45891.625</v>
      </c>
      <c r="M92" s="3">
        <v>43.149000000000001</v>
      </c>
    </row>
    <row r="93" spans="12:13" x14ac:dyDescent="0.3">
      <c r="L93" s="123">
        <v>45894.625</v>
      </c>
      <c r="M93" s="3">
        <v>42.863999999999997</v>
      </c>
    </row>
    <row r="94" spans="12:13" x14ac:dyDescent="0.3">
      <c r="L94" s="123">
        <v>45895.625</v>
      </c>
      <c r="M94" s="3">
        <v>44.186</v>
      </c>
    </row>
    <row r="95" spans="12:13" x14ac:dyDescent="0.3">
      <c r="L95" s="123">
        <v>45896.625</v>
      </c>
      <c r="M95" s="3">
        <v>45.048999999999999</v>
      </c>
    </row>
    <row r="96" spans="12:13" x14ac:dyDescent="0.3">
      <c r="L96" s="123">
        <v>45897.625</v>
      </c>
      <c r="M96" s="3">
        <v>46.148000000000003</v>
      </c>
    </row>
    <row r="97" spans="12:13" x14ac:dyDescent="0.3">
      <c r="L97" s="123">
        <v>45898.625</v>
      </c>
      <c r="M97" s="3">
        <v>46.421999999999997</v>
      </c>
    </row>
    <row r="98" spans="12:13" x14ac:dyDescent="0.3">
      <c r="L98" s="123">
        <v>45901.625</v>
      </c>
      <c r="M98" s="3">
        <v>46.432000000000002</v>
      </c>
    </row>
    <row r="99" spans="12:13" x14ac:dyDescent="0.3">
      <c r="L99" s="123">
        <v>45902.625</v>
      </c>
      <c r="M99" s="3">
        <v>48.558999999999997</v>
      </c>
    </row>
    <row r="100" spans="12:13" x14ac:dyDescent="0.3">
      <c r="L100" s="123">
        <v>45903.625</v>
      </c>
      <c r="M100" s="3">
        <v>48.46</v>
      </c>
    </row>
    <row r="101" spans="12:13" x14ac:dyDescent="0.3">
      <c r="L101" s="123">
        <v>45904.625</v>
      </c>
      <c r="M101" s="3">
        <v>47.35</v>
      </c>
    </row>
    <row r="102" spans="12:13" x14ac:dyDescent="0.3">
      <c r="L102" s="123">
        <v>45905.625</v>
      </c>
      <c r="M102" s="3">
        <v>46.287999999999997</v>
      </c>
    </row>
    <row r="103" spans="12:13" x14ac:dyDescent="0.3">
      <c r="L103" s="123">
        <v>45908.625</v>
      </c>
      <c r="M103" s="3">
        <v>46.375</v>
      </c>
    </row>
    <row r="104" spans="12:13" x14ac:dyDescent="0.3">
      <c r="L104" s="123">
        <v>45909.625</v>
      </c>
      <c r="M104" s="3">
        <v>45.290999999999997</v>
      </c>
    </row>
    <row r="105" spans="12:13" x14ac:dyDescent="0.3">
      <c r="L105" s="123">
        <v>45910.625</v>
      </c>
      <c r="M105" s="3">
        <v>44.817</v>
      </c>
    </row>
    <row r="106" spans="12:13" x14ac:dyDescent="0.3">
      <c r="L106" s="123">
        <v>45911.625</v>
      </c>
      <c r="M106" s="3">
        <v>43.853000000000002</v>
      </c>
    </row>
    <row r="107" spans="12:13" x14ac:dyDescent="0.3">
      <c r="L107" s="123">
        <v>45912.625</v>
      </c>
      <c r="M107" s="3">
        <v>43.271000000000001</v>
      </c>
    </row>
    <row r="108" spans="12:13" x14ac:dyDescent="0.3">
      <c r="L108" s="123">
        <v>45915.625</v>
      </c>
      <c r="M108" s="3">
        <v>42.829000000000001</v>
      </c>
    </row>
    <row r="109" spans="12:13" x14ac:dyDescent="0.3">
      <c r="L109" s="123">
        <v>45916.625</v>
      </c>
      <c r="M109" s="3">
        <v>42.984000000000002</v>
      </c>
    </row>
    <row r="110" spans="12:13" x14ac:dyDescent="0.3">
      <c r="L110" s="123">
        <v>45917.625</v>
      </c>
      <c r="M110" s="3">
        <v>43.191000000000003</v>
      </c>
    </row>
    <row r="111" spans="12:13" x14ac:dyDescent="0.3">
      <c r="L111" s="123">
        <v>45918.625</v>
      </c>
      <c r="M111" s="3">
        <v>42.176000000000002</v>
      </c>
    </row>
    <row r="112" spans="12:13" x14ac:dyDescent="0.3">
      <c r="L112" s="123">
        <v>45919.625</v>
      </c>
      <c r="M112" s="3">
        <v>42.023000000000003</v>
      </c>
    </row>
    <row r="113" spans="12:13" x14ac:dyDescent="0.3">
      <c r="L113" s="123">
        <v>45922.625</v>
      </c>
      <c r="M113" s="3">
        <v>47.085000000000001</v>
      </c>
    </row>
    <row r="114" spans="12:13" x14ac:dyDescent="0.3">
      <c r="L114" s="123">
        <v>45923.625</v>
      </c>
      <c r="M114" s="3">
        <v>46.759</v>
      </c>
    </row>
    <row r="115" spans="12:13" x14ac:dyDescent="0.3">
      <c r="L115" s="123">
        <v>45924.625</v>
      </c>
      <c r="M115" s="3">
        <v>46.57</v>
      </c>
    </row>
    <row r="116" spans="12:13" x14ac:dyDescent="0.3">
      <c r="L116" s="123">
        <v>45925.625</v>
      </c>
      <c r="M116" s="3">
        <v>46.603999999999999</v>
      </c>
    </row>
    <row r="117" spans="12:13" x14ac:dyDescent="0.3">
      <c r="L117" s="123">
        <v>45926.625</v>
      </c>
      <c r="M117" s="3">
        <v>47.268999999999998</v>
      </c>
    </row>
    <row r="118" spans="12:13" x14ac:dyDescent="0.3">
      <c r="L118" s="123">
        <v>45929.625</v>
      </c>
      <c r="M118" s="3">
        <v>46.972000000000001</v>
      </c>
    </row>
    <row r="119" spans="12:13" x14ac:dyDescent="0.3">
      <c r="L119" s="123">
        <v>45930.625</v>
      </c>
      <c r="M119" s="3">
        <v>46.463999999999999</v>
      </c>
    </row>
    <row r="120" spans="12:13" x14ac:dyDescent="0.3">
      <c r="L120" s="123">
        <v>45931.625</v>
      </c>
      <c r="M120" s="3">
        <v>46.284999999999997</v>
      </c>
    </row>
    <row r="121" spans="12:13" x14ac:dyDescent="0.3">
      <c r="L121" s="123">
        <v>45932.625</v>
      </c>
      <c r="M121" s="3">
        <v>45.938000000000002</v>
      </c>
    </row>
    <row r="122" spans="12:13" x14ac:dyDescent="0.3">
      <c r="L122" s="123">
        <v>45933.625</v>
      </c>
      <c r="M122" s="3">
        <v>45.588000000000001</v>
      </c>
    </row>
    <row r="123" spans="12:13" x14ac:dyDescent="0.3">
      <c r="L123" s="123">
        <v>45936.625</v>
      </c>
      <c r="M123" s="3">
        <v>46.19</v>
      </c>
    </row>
    <row r="124" spans="12:13" x14ac:dyDescent="0.3">
      <c r="L124" s="123">
        <v>45937.625</v>
      </c>
      <c r="M124" s="3">
        <v>46.366</v>
      </c>
    </row>
    <row r="125" spans="12:13" x14ac:dyDescent="0.3">
      <c r="L125" s="123">
        <v>45938.625</v>
      </c>
      <c r="M125" s="3">
        <v>46.357999999999997</v>
      </c>
    </row>
    <row r="126" spans="12:13" x14ac:dyDescent="0.3">
      <c r="L126" s="123">
        <v>45939.625</v>
      </c>
      <c r="M126" s="3">
        <v>46.667999999999999</v>
      </c>
    </row>
    <row r="127" spans="12:13" x14ac:dyDescent="0.3">
      <c r="L127" s="123">
        <v>45940.625</v>
      </c>
      <c r="M127" s="3">
        <v>46.917000000000002</v>
      </c>
    </row>
    <row r="128" spans="12:13" x14ac:dyDescent="0.3">
      <c r="L128" s="123">
        <v>45943.625</v>
      </c>
      <c r="M128" s="3">
        <v>47.828000000000003</v>
      </c>
    </row>
    <row r="129" spans="12:13" x14ac:dyDescent="0.3">
      <c r="L129" s="123">
        <v>45944.625</v>
      </c>
      <c r="M129" s="3">
        <v>47.908000000000001</v>
      </c>
    </row>
    <row r="130" spans="12:13" x14ac:dyDescent="0.3">
      <c r="L130" s="123">
        <v>45945.625</v>
      </c>
      <c r="M130" s="3">
        <v>45.886000000000003</v>
      </c>
    </row>
    <row r="131" spans="12:13" x14ac:dyDescent="0.3">
      <c r="L131" s="123">
        <v>45946.625</v>
      </c>
      <c r="M131" s="3">
        <v>45.503</v>
      </c>
    </row>
    <row r="132" spans="12:13" x14ac:dyDescent="0.3">
      <c r="L132" s="123">
        <v>45947.625</v>
      </c>
      <c r="M132" s="3">
        <v>47.009</v>
      </c>
    </row>
    <row r="133" spans="12:13" x14ac:dyDescent="0.3">
      <c r="L133" s="123">
        <v>45950.625</v>
      </c>
      <c r="M133" s="3">
        <v>46.378999999999998</v>
      </c>
    </row>
    <row r="134" spans="12:13" x14ac:dyDescent="0.3">
      <c r="L134" s="123">
        <v>45951.625</v>
      </c>
      <c r="M134" s="3">
        <v>45.969000000000001</v>
      </c>
    </row>
    <row r="135" spans="12:13" x14ac:dyDescent="0.3">
      <c r="L135" s="123">
        <v>45952.625</v>
      </c>
      <c r="M135" s="3">
        <v>46.024999999999999</v>
      </c>
    </row>
    <row r="136" spans="12:13" x14ac:dyDescent="0.3">
      <c r="L136" s="123">
        <v>45953.625</v>
      </c>
      <c r="M136" s="3">
        <v>46.079000000000001</v>
      </c>
    </row>
    <row r="137" spans="12:13" x14ac:dyDescent="0.3">
      <c r="L137" s="123">
        <v>45954.625</v>
      </c>
      <c r="M137" s="3">
        <v>45.436</v>
      </c>
    </row>
    <row r="138" spans="12:13" x14ac:dyDescent="0.3">
      <c r="L138" s="123">
        <v>45957.625</v>
      </c>
      <c r="M138" s="3">
        <v>45.232999999999997</v>
      </c>
    </row>
    <row r="139" spans="12:13" x14ac:dyDescent="0.3">
      <c r="L139" s="123">
        <v>45958.625</v>
      </c>
      <c r="M139" s="3">
        <v>44.807000000000002</v>
      </c>
    </row>
    <row r="140" spans="12:13" x14ac:dyDescent="0.3">
      <c r="L140" s="123">
        <v>45959.625</v>
      </c>
      <c r="M140" s="3">
        <v>44.406999999999996</v>
      </c>
    </row>
    <row r="141" spans="12:13" x14ac:dyDescent="0.3">
      <c r="L141" s="123">
        <v>45960.625</v>
      </c>
      <c r="M141" s="3">
        <v>44.683999999999997</v>
      </c>
    </row>
    <row r="142" spans="12:13" x14ac:dyDescent="0.3">
      <c r="L142" s="123">
        <v>45961.625</v>
      </c>
      <c r="M142" s="3">
        <v>44.865000000000002</v>
      </c>
    </row>
    <row r="143" spans="12:13" x14ac:dyDescent="0.3">
      <c r="L143" s="123">
        <v>45964.625</v>
      </c>
      <c r="M143" s="3">
        <v>45.043999999999997</v>
      </c>
    </row>
    <row r="144" spans="12:13" x14ac:dyDescent="0.3">
      <c r="L144" s="123"/>
    </row>
    <row r="145" spans="12:12" x14ac:dyDescent="0.3">
      <c r="L145" s="123"/>
    </row>
    <row r="146" spans="12:12" x14ac:dyDescent="0.3">
      <c r="L146" s="123"/>
    </row>
    <row r="147" spans="12:12" x14ac:dyDescent="0.3">
      <c r="L147" s="123"/>
    </row>
  </sheetData>
  <mergeCells count="2">
    <mergeCell ref="B12:D12"/>
    <mergeCell ref="E12:G12"/>
  </mergeCells>
  <conditionalFormatting sqref="H12:H38">
    <cfRule type="cellIs" dxfId="13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FA43-48F1-405E-9185-E3F7C0AEBF7A}">
  <dimension ref="A1:W141"/>
  <sheetViews>
    <sheetView topLeftCell="G8" zoomScale="80" zoomScaleNormal="80" workbookViewId="0">
      <selection activeCell="A33" sqref="A33:A39"/>
    </sheetView>
  </sheetViews>
  <sheetFormatPr defaultColWidth="8.88671875" defaultRowHeight="14.4" x14ac:dyDescent="0.3"/>
  <cols>
    <col min="1" max="1" width="15.44140625" style="54" bestFit="1" customWidth="1"/>
    <col min="2" max="5" width="16.88671875" style="54" customWidth="1"/>
    <col min="6" max="6" width="10.5546875" style="54" bestFit="1" customWidth="1"/>
    <col min="7" max="7" width="11.5546875" style="54" bestFit="1" customWidth="1"/>
    <col min="8" max="8" width="8.88671875" style="54" bestFit="1" customWidth="1"/>
    <col min="9" max="9" width="11.5546875" style="54" bestFit="1" customWidth="1"/>
    <col min="10" max="10" width="13.33203125" style="54" bestFit="1" customWidth="1"/>
    <col min="11" max="12" width="11.5546875" style="54" bestFit="1" customWidth="1"/>
    <col min="13" max="13" width="13.33203125" style="54" bestFit="1" customWidth="1"/>
    <col min="14" max="14" width="13" style="54" bestFit="1" customWidth="1"/>
    <col min="15" max="15" width="9.109375"/>
    <col min="16" max="16" width="10.5546875" style="72" hidden="1" customWidth="1"/>
    <col min="17" max="17" width="6" style="54" hidden="1" customWidth="1"/>
    <col min="18" max="18" width="10.5546875" style="72" hidden="1" customWidth="1"/>
    <col min="19" max="19" width="8.88671875" style="54" hidden="1" customWidth="1"/>
    <col min="20" max="20" width="15.6640625" style="122" hidden="1" customWidth="1"/>
    <col min="21" max="21" width="8.88671875" style="54" hidden="1" customWidth="1"/>
    <col min="22" max="22" width="10.5546875" style="72" hidden="1" customWidth="1"/>
    <col min="23" max="23" width="8.88671875" style="54" hidden="1" customWidth="1"/>
    <col min="24" max="16384" width="8.88671875" style="54"/>
  </cols>
  <sheetData>
    <row r="1" spans="1:23" ht="15" thickBot="1" x14ac:dyDescent="0.35">
      <c r="A1" s="1"/>
      <c r="B1" s="1"/>
      <c r="C1" s="1"/>
      <c r="D1" s="1"/>
      <c r="E1" s="1"/>
      <c r="G1" s="72"/>
      <c r="H1" s="1"/>
      <c r="I1" s="53"/>
      <c r="J1" s="1"/>
      <c r="K1" s="53"/>
      <c r="L1" s="1"/>
      <c r="M1" s="53"/>
      <c r="P1" s="53"/>
      <c r="Q1" s="1"/>
      <c r="R1" s="53"/>
      <c r="S1" s="1"/>
      <c r="T1" s="119"/>
      <c r="U1" s="1"/>
      <c r="V1" s="53"/>
    </row>
    <row r="2" spans="1:23" ht="15" thickBot="1" x14ac:dyDescent="0.35">
      <c r="A2" s="30"/>
      <c r="B2" s="40" t="s">
        <v>0</v>
      </c>
      <c r="C2" s="44" t="s">
        <v>1</v>
      </c>
      <c r="D2" s="68" t="s">
        <v>1</v>
      </c>
      <c r="E2" s="69" t="s">
        <v>0</v>
      </c>
      <c r="G2" s="72"/>
      <c r="H2" s="124" t="s">
        <v>101</v>
      </c>
      <c r="I2" s="125">
        <v>0.625</v>
      </c>
      <c r="J2" s="1"/>
      <c r="K2" s="53"/>
      <c r="L2" s="1"/>
      <c r="M2" s="53"/>
      <c r="P2" s="99" t="s">
        <v>0</v>
      </c>
      <c r="Q2" s="1"/>
      <c r="R2" s="100" t="s">
        <v>1</v>
      </c>
      <c r="S2" s="2"/>
      <c r="T2" s="120" t="s">
        <v>1</v>
      </c>
      <c r="U2" s="1"/>
      <c r="V2" s="98" t="s">
        <v>0</v>
      </c>
    </row>
    <row r="3" spans="1:23" x14ac:dyDescent="0.3">
      <c r="A3" s="15" t="s">
        <v>32</v>
      </c>
      <c r="B3" s="61" t="s">
        <v>56</v>
      </c>
      <c r="C3" s="70" t="s">
        <v>57</v>
      </c>
      <c r="D3" s="70" t="s">
        <v>58</v>
      </c>
      <c r="E3" s="62" t="s">
        <v>59</v>
      </c>
      <c r="G3" s="72"/>
      <c r="H3" s="1"/>
      <c r="I3" s="53"/>
      <c r="J3" s="1"/>
      <c r="K3" s="53"/>
      <c r="L3" s="1"/>
      <c r="M3" s="53"/>
      <c r="P3" s="52" cm="1">
        <f t="array" ref="P3:Q137">_xll.BDH(B4, "LAST_PRICE", "01/01/2025 15:00:00", "01/01/2035 16:00:00", "BarSize=60", "BarType=T", "RecurDaily=True", "TZ=London")</f>
        <v>45769.625</v>
      </c>
      <c r="Q3" s="1">
        <v>91.4</v>
      </c>
      <c r="R3" s="52" cm="1">
        <f t="array" ref="R3:S141">_xll.BDH(C4, "LAST_PRICE", "01/01/2025 15:00:00", "01/01/2035 16:00:00", "BarSize=60", "BarType=T", "RecurDaily=True", "TZ=London")</f>
        <v>45769.625</v>
      </c>
      <c r="S3" s="46">
        <v>101.94</v>
      </c>
      <c r="T3" s="121" cm="1">
        <f t="array" ref="T3:U129">_xll.BDH(D4, "LAST_PRICE", "01/01/2025 15:00:00", "01/01/2035 16:00:00", "BarSize=60", "BarType=T", "RecurDaily=True", "TZ=London")</f>
        <v>45769.625</v>
      </c>
      <c r="U3" s="1">
        <v>120.54</v>
      </c>
      <c r="V3" s="52" cm="1">
        <f t="array" ref="V3:W87">_xll.BDH(E4, "LAST_PRICE", "01/01/2025 15:00:00", "01/01/2035 16:00:00", "BarSize=60", "BarType=T", "RecurDaily=True", "TZ=London")</f>
        <v>45846.625</v>
      </c>
      <c r="W3" s="54">
        <v>99.76</v>
      </c>
    </row>
    <row r="4" spans="1:23" ht="32.25" customHeight="1" x14ac:dyDescent="0.3">
      <c r="A4" s="15" t="s">
        <v>33</v>
      </c>
      <c r="B4" s="63" t="s">
        <v>60</v>
      </c>
      <c r="C4" s="41" t="s">
        <v>62</v>
      </c>
      <c r="D4" s="41" t="s">
        <v>61</v>
      </c>
      <c r="E4" s="42" t="s">
        <v>63</v>
      </c>
      <c r="G4" s="53"/>
      <c r="H4" s="1"/>
      <c r="I4" s="53"/>
      <c r="J4" s="1"/>
      <c r="K4" s="53"/>
      <c r="L4" s="1"/>
      <c r="M4" s="53"/>
      <c r="P4" s="72">
        <v>45770.625</v>
      </c>
      <c r="Q4" s="54">
        <v>92.29</v>
      </c>
      <c r="R4" s="72">
        <v>45770.625</v>
      </c>
      <c r="S4" s="54">
        <v>101.694</v>
      </c>
      <c r="T4" s="122">
        <v>45770.625</v>
      </c>
      <c r="U4" s="54">
        <v>120.5</v>
      </c>
      <c r="V4" s="72">
        <v>45847.625</v>
      </c>
      <c r="W4" s="54">
        <v>99.84</v>
      </c>
    </row>
    <row r="5" spans="1:23" x14ac:dyDescent="0.3">
      <c r="A5" s="15" t="s">
        <v>8</v>
      </c>
      <c r="B5" s="64">
        <f>25*10^6</f>
        <v>25000000</v>
      </c>
      <c r="C5" s="7">
        <f>20*10^6</f>
        <v>20000000</v>
      </c>
      <c r="D5" s="7">
        <f>43*10^6</f>
        <v>43000000</v>
      </c>
      <c r="E5" s="8">
        <f>41*10^6</f>
        <v>41000000</v>
      </c>
      <c r="G5" s="1"/>
      <c r="H5" s="1"/>
      <c r="I5" s="1"/>
      <c r="J5" s="1"/>
      <c r="K5" s="1"/>
      <c r="L5" s="1"/>
      <c r="M5" s="1"/>
      <c r="P5" s="72">
        <v>45771.625</v>
      </c>
      <c r="Q5" s="54">
        <v>92.32</v>
      </c>
      <c r="R5" s="72">
        <v>45771.625</v>
      </c>
      <c r="S5" s="54">
        <v>101.90300000000001</v>
      </c>
      <c r="T5" s="122">
        <v>45771.625</v>
      </c>
      <c r="U5" s="54">
        <v>120.87</v>
      </c>
      <c r="V5" s="72">
        <v>45848.625</v>
      </c>
      <c r="W5" s="54">
        <v>99.671999999999997</v>
      </c>
    </row>
    <row r="6" spans="1:23" x14ac:dyDescent="0.3">
      <c r="A6" s="15" t="s">
        <v>10</v>
      </c>
      <c r="B6" s="66">
        <v>0</v>
      </c>
      <c r="C6" s="71">
        <v>2.4E-2</v>
      </c>
      <c r="D6" s="71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P6" s="72">
        <v>45772.625</v>
      </c>
      <c r="Q6" s="54">
        <v>92.35</v>
      </c>
      <c r="R6" s="72">
        <v>45772.625</v>
      </c>
      <c r="S6" s="54">
        <v>101.78100000000001</v>
      </c>
      <c r="T6" s="122">
        <v>45772.625</v>
      </c>
      <c r="U6" s="54">
        <v>120.71</v>
      </c>
      <c r="V6" s="72">
        <v>45849.625</v>
      </c>
      <c r="W6" s="54">
        <v>99.567999999999998</v>
      </c>
    </row>
    <row r="7" spans="1:23" x14ac:dyDescent="0.3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10">
        <v>4.2299999999999997E-2</v>
      </c>
      <c r="G7" s="53"/>
      <c r="H7" s="1"/>
      <c r="I7" s="53"/>
      <c r="J7" s="1"/>
      <c r="K7" s="53"/>
      <c r="L7" s="1"/>
      <c r="M7" s="53"/>
      <c r="N7" s="1"/>
      <c r="P7" s="72">
        <v>45776.625</v>
      </c>
      <c r="Q7" s="54">
        <v>92.23</v>
      </c>
      <c r="R7" s="72">
        <v>45775.625</v>
      </c>
      <c r="S7" s="54">
        <v>101.74299999999999</v>
      </c>
      <c r="T7" s="122">
        <v>45775.625</v>
      </c>
      <c r="U7" s="54">
        <v>120.57</v>
      </c>
      <c r="V7" s="72">
        <v>45852.625</v>
      </c>
      <c r="W7" s="54">
        <v>99.611999999999995</v>
      </c>
    </row>
    <row r="8" spans="1:23" x14ac:dyDescent="0.3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72">
        <v>45777.625</v>
      </c>
      <c r="Q8" s="54">
        <v>91.86</v>
      </c>
      <c r="R8" s="72">
        <v>45776.625</v>
      </c>
      <c r="S8" s="54">
        <v>101.75</v>
      </c>
      <c r="T8" s="122">
        <v>45777.625</v>
      </c>
      <c r="U8" s="54">
        <v>120.56</v>
      </c>
      <c r="V8" s="72">
        <v>45853.625</v>
      </c>
      <c r="W8" s="54">
        <v>99.713999999999999</v>
      </c>
    </row>
    <row r="9" spans="1:23" x14ac:dyDescent="0.3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72">
        <v>45778.625</v>
      </c>
      <c r="Q9" s="54">
        <v>92.17</v>
      </c>
      <c r="R9" s="72">
        <v>45777.625</v>
      </c>
      <c r="S9" s="54">
        <v>101.923</v>
      </c>
      <c r="T9" s="122">
        <v>45778.625</v>
      </c>
      <c r="U9" s="54">
        <v>120.75</v>
      </c>
      <c r="V9" s="72">
        <v>45854.625</v>
      </c>
      <c r="W9" s="54">
        <v>99.841999999999999</v>
      </c>
    </row>
    <row r="10" spans="1:23" ht="15" thickBot="1" x14ac:dyDescent="0.35">
      <c r="A10" s="16" t="s">
        <v>28</v>
      </c>
      <c r="B10" s="11" cm="1">
        <f t="array" ref="B10">_xll.BDP(B4,"px_last")</f>
        <v>92.55</v>
      </c>
      <c r="C10" s="21" cm="1">
        <f t="array" ref="C10">_xll.BDP(C4,"px_last")</f>
        <v>101.01600000000001</v>
      </c>
      <c r="D10" s="21" cm="1">
        <f t="array" ref="D10">_xll.BDP(D4,"px_last")</f>
        <v>121.34</v>
      </c>
      <c r="E10" s="22" cm="1">
        <f t="array" ref="E10">_xll.BDP(E4,"px_last")</f>
        <v>99.747</v>
      </c>
      <c r="F10" s="1"/>
      <c r="G10" s="1"/>
      <c r="H10" s="1"/>
      <c r="I10" s="1"/>
      <c r="J10" s="1"/>
      <c r="K10" s="1"/>
      <c r="L10" s="1"/>
      <c r="M10" s="1"/>
      <c r="N10" s="1"/>
      <c r="P10" s="72">
        <v>45779.625</v>
      </c>
      <c r="Q10" s="54">
        <v>92.25</v>
      </c>
      <c r="R10" s="72">
        <v>45779.625</v>
      </c>
      <c r="S10" s="54">
        <v>101.658</v>
      </c>
      <c r="T10" s="122">
        <v>45779.625</v>
      </c>
      <c r="U10" s="54">
        <v>120.42</v>
      </c>
      <c r="V10" s="72">
        <v>45855.625</v>
      </c>
      <c r="W10" s="54">
        <v>99.9</v>
      </c>
    </row>
    <row r="11" spans="1:23" ht="15" thickBot="1" x14ac:dyDescent="0.3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72">
        <v>45783.625</v>
      </c>
      <c r="Q11" s="54">
        <v>92.25</v>
      </c>
      <c r="R11" s="72">
        <v>45782.625</v>
      </c>
      <c r="S11" s="54">
        <v>101.652</v>
      </c>
      <c r="T11" s="122">
        <v>45783.625</v>
      </c>
      <c r="U11" s="54">
        <v>120.4</v>
      </c>
      <c r="V11" s="72">
        <v>45856.625</v>
      </c>
      <c r="W11" s="54">
        <v>99.805999999999997</v>
      </c>
    </row>
    <row r="12" spans="1:23" ht="15" thickBot="1" x14ac:dyDescent="0.35">
      <c r="A12" s="39" t="s">
        <v>22</v>
      </c>
      <c r="B12" s="169" t="s">
        <v>0</v>
      </c>
      <c r="C12" s="170"/>
      <c r="D12" s="170"/>
      <c r="E12" s="175" t="s">
        <v>1</v>
      </c>
      <c r="F12" s="176"/>
      <c r="G12" s="177"/>
      <c r="H12" s="172" t="s">
        <v>1</v>
      </c>
      <c r="I12" s="173"/>
      <c r="J12" s="174"/>
      <c r="K12" s="178" t="s">
        <v>0</v>
      </c>
      <c r="L12" s="179"/>
      <c r="M12" s="180"/>
      <c r="N12" s="39" t="s">
        <v>16</v>
      </c>
      <c r="P12" s="72">
        <v>45784.625</v>
      </c>
      <c r="Q12" s="54">
        <v>92.3</v>
      </c>
      <c r="R12" s="72">
        <v>45783.625</v>
      </c>
      <c r="S12" s="54">
        <v>101.666</v>
      </c>
      <c r="T12" s="122">
        <v>45785.625</v>
      </c>
      <c r="U12" s="54">
        <v>120.69</v>
      </c>
      <c r="V12" s="72">
        <v>45859.625</v>
      </c>
      <c r="W12" s="54">
        <v>100.142</v>
      </c>
    </row>
    <row r="13" spans="1:23" ht="15" thickBot="1" x14ac:dyDescent="0.35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6"/>
      <c r="P13" s="72">
        <v>45785.625</v>
      </c>
      <c r="Q13" s="54">
        <v>92.52</v>
      </c>
      <c r="R13" s="72">
        <v>45784.625</v>
      </c>
      <c r="S13" s="54">
        <v>101.788</v>
      </c>
      <c r="T13" s="122">
        <v>45786.625</v>
      </c>
      <c r="U13" s="54">
        <v>120.68</v>
      </c>
      <c r="V13" s="72">
        <v>45860.625</v>
      </c>
      <c r="W13" s="54">
        <v>100.247</v>
      </c>
    </row>
    <row r="14" spans="1:23" x14ac:dyDescent="0.3">
      <c r="A14" s="36">
        <v>45937</v>
      </c>
      <c r="B14" s="73">
        <v>92.37</v>
      </c>
      <c r="C14" s="46"/>
      <c r="D14" s="47"/>
      <c r="E14" s="73">
        <v>100.9</v>
      </c>
      <c r="F14" s="1"/>
      <c r="G14" s="5"/>
      <c r="H14" s="73">
        <v>120.9</v>
      </c>
      <c r="I14" s="1"/>
      <c r="J14" s="5"/>
      <c r="K14" s="73">
        <v>99.48</v>
      </c>
      <c r="L14" s="1"/>
      <c r="M14" s="5"/>
      <c r="N14" s="79">
        <v>0</v>
      </c>
      <c r="P14" s="72">
        <v>45786.625</v>
      </c>
      <c r="Q14" s="54">
        <v>92.56</v>
      </c>
      <c r="R14" s="72">
        <v>45785.625</v>
      </c>
      <c r="S14" s="54">
        <v>101.69499999999999</v>
      </c>
      <c r="T14" s="122">
        <v>45789.625</v>
      </c>
      <c r="U14" s="54">
        <v>120.3</v>
      </c>
      <c r="V14" s="72">
        <v>45861.625</v>
      </c>
      <c r="W14" s="54">
        <v>100.22499999999999</v>
      </c>
    </row>
    <row r="15" spans="1:23" x14ac:dyDescent="0.3">
      <c r="A15" s="36">
        <v>45938</v>
      </c>
      <c r="B15" s="73">
        <f>VLOOKUP($A15+$I$2,P$3:Q$501,2)</f>
        <v>92.12</v>
      </c>
      <c r="C15" s="31">
        <f t="shared" ref="C15" si="0">(B15/$B$14-1)*$B$5</f>
        <v>-67662.66103713226</v>
      </c>
      <c r="D15" s="32">
        <f t="shared" ref="D15" si="1">-1*(A15-$A$14)/360*$B$7*$B$5</f>
        <v>-2937.5</v>
      </c>
      <c r="E15" s="73">
        <f>VLOOKUP($A15+$I$2,R$3:S$501,2)</f>
        <v>100.99299999999999</v>
      </c>
      <c r="F15" s="31">
        <f t="shared" ref="F15" si="2">(E15-$E$14)/100*$C$5</f>
        <v>18599.999999997865</v>
      </c>
      <c r="G15" s="32">
        <f t="shared" ref="G15" si="3">(A15-$A$14)/360*$C$6*$C$5-(A15-$A$14)/360*$C$7*$C$5*$E$14/100</f>
        <v>-1037.8166666666666</v>
      </c>
      <c r="H15" s="73">
        <f>VLOOKUP($A15+$I$2,T$3:U$501,2)</f>
        <v>121.12</v>
      </c>
      <c r="I15" s="31">
        <f t="shared" ref="I15" si="4">(H15/$H$14-1)*$D$5</f>
        <v>78246.484698095475</v>
      </c>
      <c r="J15" s="32">
        <f t="shared" ref="J15" si="5">-1*(A15-$A$14)/360*$D$7*$D$5</f>
        <v>-5052.5</v>
      </c>
      <c r="K15" s="73">
        <f>VLOOKUP($A15+$I$2,V$3:W$501,2)</f>
        <v>99.673000000000002</v>
      </c>
      <c r="L15" s="31">
        <f t="shared" ref="L15" si="6">(K15-$K$14)/100*$E$5</f>
        <v>79129.999999999112</v>
      </c>
      <c r="M15" s="32">
        <f t="shared" ref="M15" si="7">(A15-$A$14)/360*$E$6*$E$5-(A15-$A$14)/360*$E$7*$E$5*$K$14/100</f>
        <v>-2286.8934444444453</v>
      </c>
      <c r="N15" s="79">
        <f t="shared" ref="N15:N20" si="8">C15+D15-F15-G15-I15-J15+L15+M15</f>
        <v>-84513.222513004264</v>
      </c>
      <c r="P15" s="72">
        <v>45789.625</v>
      </c>
      <c r="Q15" s="54">
        <v>92.85</v>
      </c>
      <c r="R15" s="72">
        <v>45786.625</v>
      </c>
      <c r="S15" s="54">
        <v>101.578</v>
      </c>
      <c r="T15" s="122">
        <v>45790.625</v>
      </c>
      <c r="U15" s="54">
        <v>120.31</v>
      </c>
      <c r="V15" s="72">
        <v>45862.625</v>
      </c>
      <c r="W15" s="54">
        <v>99.679000000000002</v>
      </c>
    </row>
    <row r="16" spans="1:23" x14ac:dyDescent="0.3">
      <c r="A16" s="36">
        <v>45939</v>
      </c>
      <c r="B16" s="73">
        <f t="shared" ref="B16:B20" si="9">VLOOKUP($A16+$I$2,P$3:Q$501,2)</f>
        <v>92</v>
      </c>
      <c r="C16" s="31">
        <f t="shared" ref="C16:C29" si="10">(B16/$B$14-1)*$B$5</f>
        <v>-100140.7383349584</v>
      </c>
      <c r="D16" s="32">
        <f t="shared" ref="D16:D29" si="11">-1*(A16-$A$14)/360*$B$7*$B$5</f>
        <v>-5875</v>
      </c>
      <c r="E16" s="73">
        <f t="shared" ref="E16:E20" si="12">VLOOKUP($A16+$I$2,R$3:S$501,2)</f>
        <v>100.934</v>
      </c>
      <c r="F16" s="31">
        <f t="shared" ref="F16:F29" si="13">(E16-$E$14)/100*$C$5</f>
        <v>6799.9999999983629</v>
      </c>
      <c r="G16" s="32">
        <f t="shared" ref="G16:G29" si="14">(A16-$A$14)/360*$C$6*$C$5-(A16-$A$14)/360*$C$7*$C$5*$E$14/100</f>
        <v>-2075.6333333333332</v>
      </c>
      <c r="H16" s="73">
        <f t="shared" ref="H16:H20" si="15">VLOOKUP($A16+$I$2,T$3:U$501,2)</f>
        <v>120.99</v>
      </c>
      <c r="I16" s="31">
        <f t="shared" ref="I16:I29" si="16">(H16/$H$14-1)*$D$5</f>
        <v>32009.92555830484</v>
      </c>
      <c r="J16" s="32">
        <f t="shared" ref="J16:J29" si="17">-1*(A16-$A$14)/360*$D$7*$D$5</f>
        <v>-10105</v>
      </c>
      <c r="K16" s="73">
        <f t="shared" ref="K16:K20" si="18">VLOOKUP($A16+$I$2,V$3:W$501,2)</f>
        <v>99.552999999999997</v>
      </c>
      <c r="L16" s="31">
        <f t="shared" ref="L16:L29" si="19">(K16-$K$14)/100*$E$5</f>
        <v>29929.99999999725</v>
      </c>
      <c r="M16" s="32">
        <f t="shared" ref="M16:M29" si="20">(A16-$A$14)/360*$E$6*$E$5-(A16-$A$14)/360*$E$7*$E$5*$K$14/100</f>
        <v>-4573.7868888888906</v>
      </c>
      <c r="N16" s="79">
        <f t="shared" si="8"/>
        <v>-107288.81744881991</v>
      </c>
      <c r="P16" s="72">
        <v>45790.625</v>
      </c>
      <c r="Q16" s="54">
        <v>93.02</v>
      </c>
      <c r="R16" s="72">
        <v>45789.625</v>
      </c>
      <c r="S16" s="54">
        <v>101.15600000000001</v>
      </c>
      <c r="T16" s="122">
        <v>45791.625</v>
      </c>
      <c r="U16" s="54">
        <v>120.27</v>
      </c>
      <c r="V16" s="72">
        <v>45863.625</v>
      </c>
      <c r="W16" s="54">
        <v>99.524000000000001</v>
      </c>
    </row>
    <row r="17" spans="1:23" x14ac:dyDescent="0.3">
      <c r="A17" s="36">
        <v>45940</v>
      </c>
      <c r="B17" s="73">
        <f t="shared" si="9"/>
        <v>91.78</v>
      </c>
      <c r="C17" s="31">
        <f t="shared" si="10"/>
        <v>-159683.88004763413</v>
      </c>
      <c r="D17" s="32">
        <f t="shared" si="11"/>
        <v>-8812.4999999999982</v>
      </c>
      <c r="E17" s="73">
        <f t="shared" si="12"/>
        <v>101.017</v>
      </c>
      <c r="F17" s="31">
        <f t="shared" si="13"/>
        <v>23399.999999998046</v>
      </c>
      <c r="G17" s="32">
        <f t="shared" si="14"/>
        <v>-3113.45</v>
      </c>
      <c r="H17" s="73">
        <f t="shared" si="15"/>
        <v>121</v>
      </c>
      <c r="I17" s="31">
        <f t="shared" si="16"/>
        <v>35566.583953676287</v>
      </c>
      <c r="J17" s="32">
        <f t="shared" si="17"/>
        <v>-15157.499999999998</v>
      </c>
      <c r="K17" s="73">
        <f t="shared" si="18"/>
        <v>99.754000000000005</v>
      </c>
      <c r="L17" s="31">
        <f t="shared" si="19"/>
        <v>112340.00000000036</v>
      </c>
      <c r="M17" s="32">
        <f t="shared" si="20"/>
        <v>-6860.6803333333337</v>
      </c>
      <c r="N17" s="79">
        <f t="shared" si="8"/>
        <v>-103712.69433464142</v>
      </c>
      <c r="P17" s="72">
        <v>45791.625</v>
      </c>
      <c r="Q17" s="54">
        <v>92.87</v>
      </c>
      <c r="R17" s="72">
        <v>45790.625</v>
      </c>
      <c r="S17" s="54">
        <v>101.125</v>
      </c>
      <c r="T17" s="122">
        <v>45792.625</v>
      </c>
      <c r="U17" s="54">
        <v>120.4</v>
      </c>
      <c r="V17" s="72">
        <v>45866.625</v>
      </c>
      <c r="W17" s="54">
        <v>99.715000000000003</v>
      </c>
    </row>
    <row r="18" spans="1:23" x14ac:dyDescent="0.3">
      <c r="A18" s="36">
        <v>45943</v>
      </c>
      <c r="B18" s="73">
        <f t="shared" si="9"/>
        <v>91.79</v>
      </c>
      <c r="C18" s="31">
        <f t="shared" si="10"/>
        <v>-156977.37360614861</v>
      </c>
      <c r="D18" s="32">
        <f t="shared" si="11"/>
        <v>-17624.999999999996</v>
      </c>
      <c r="E18" s="73">
        <f t="shared" si="12"/>
        <v>101.122</v>
      </c>
      <c r="F18" s="31">
        <f t="shared" si="13"/>
        <v>44399.999999998843</v>
      </c>
      <c r="G18" s="32">
        <f t="shared" si="14"/>
        <v>-6226.9</v>
      </c>
      <c r="H18" s="73">
        <f t="shared" si="15"/>
        <v>121.1</v>
      </c>
      <c r="I18" s="31">
        <f t="shared" si="16"/>
        <v>71133.16790736212</v>
      </c>
      <c r="J18" s="32">
        <f t="shared" si="17"/>
        <v>-30314.999999999996</v>
      </c>
      <c r="K18" s="73">
        <f t="shared" si="18"/>
        <v>99.923000000000002</v>
      </c>
      <c r="L18" s="31">
        <f t="shared" si="19"/>
        <v>181629.9999999991</v>
      </c>
      <c r="M18" s="32">
        <f t="shared" si="20"/>
        <v>-13721.360666666667</v>
      </c>
      <c r="N18" s="79">
        <f t="shared" si="8"/>
        <v>-85685.002180177136</v>
      </c>
      <c r="P18" s="72">
        <v>45792.625</v>
      </c>
      <c r="Q18" s="54">
        <v>92.74</v>
      </c>
      <c r="R18" s="72">
        <v>45791.625</v>
      </c>
      <c r="S18" s="54">
        <v>101.087</v>
      </c>
      <c r="T18" s="122">
        <v>45793.625</v>
      </c>
      <c r="U18" s="54">
        <v>120.73</v>
      </c>
      <c r="V18" s="72">
        <v>45867.625</v>
      </c>
      <c r="W18" s="54">
        <v>99.623999999999995</v>
      </c>
    </row>
    <row r="19" spans="1:23" x14ac:dyDescent="0.3">
      <c r="A19" s="36">
        <v>45944</v>
      </c>
      <c r="B19" s="73">
        <f t="shared" si="9"/>
        <v>91.85</v>
      </c>
      <c r="C19" s="31">
        <f t="shared" si="10"/>
        <v>-140738.33495724108</v>
      </c>
      <c r="D19" s="32">
        <f t="shared" si="11"/>
        <v>-20562.5</v>
      </c>
      <c r="E19" s="73">
        <f t="shared" si="12"/>
        <v>101.13800000000001</v>
      </c>
      <c r="F19" s="31">
        <f t="shared" si="13"/>
        <v>47599.999999999905</v>
      </c>
      <c r="G19" s="32">
        <f t="shared" si="14"/>
        <v>-7264.7166666666653</v>
      </c>
      <c r="H19" s="73">
        <f t="shared" si="15"/>
        <v>121.2</v>
      </c>
      <c r="I19" s="31">
        <f t="shared" si="16"/>
        <v>106699.75186103841</v>
      </c>
      <c r="J19" s="32">
        <f t="shared" si="17"/>
        <v>-35367.5</v>
      </c>
      <c r="K19" s="73">
        <f t="shared" si="18"/>
        <v>99.977999999999994</v>
      </c>
      <c r="L19" s="31">
        <f t="shared" si="19"/>
        <v>204179.9999999961</v>
      </c>
      <c r="M19" s="32">
        <f t="shared" si="20"/>
        <v>-16008.254111111117</v>
      </c>
      <c r="N19" s="79">
        <f t="shared" si="8"/>
        <v>-84796.624262727753</v>
      </c>
      <c r="P19" s="72">
        <v>45793.625</v>
      </c>
      <c r="Q19" s="54">
        <v>92.96</v>
      </c>
      <c r="R19" s="72">
        <v>45792.625</v>
      </c>
      <c r="S19" s="54">
        <v>101.241</v>
      </c>
      <c r="T19" s="122">
        <v>45796.625</v>
      </c>
      <c r="U19" s="54">
        <v>120.66</v>
      </c>
      <c r="V19" s="72">
        <v>45868.625</v>
      </c>
      <c r="W19" s="54">
        <v>99.552999999999997</v>
      </c>
    </row>
    <row r="20" spans="1:23" x14ac:dyDescent="0.3">
      <c r="A20" s="36">
        <v>45945</v>
      </c>
      <c r="B20" s="73">
        <f t="shared" si="9"/>
        <v>92.38</v>
      </c>
      <c r="C20" s="31">
        <f t="shared" si="10"/>
        <v>2706.5064414855124</v>
      </c>
      <c r="D20" s="32">
        <f t="shared" si="11"/>
        <v>-23500</v>
      </c>
      <c r="E20" s="73">
        <f t="shared" si="12"/>
        <v>101.23699999999999</v>
      </c>
      <c r="F20" s="31">
        <f t="shared" si="13"/>
        <v>67399.999999997817</v>
      </c>
      <c r="G20" s="32">
        <f t="shared" si="14"/>
        <v>-8302.5333333333328</v>
      </c>
      <c r="H20" s="73">
        <f t="shared" si="15"/>
        <v>121.62</v>
      </c>
      <c r="I20" s="31">
        <f t="shared" si="16"/>
        <v>256079.40446650557</v>
      </c>
      <c r="J20" s="32">
        <f t="shared" si="17"/>
        <v>-40420</v>
      </c>
      <c r="K20" s="73">
        <f t="shared" si="18"/>
        <v>100.18899999999999</v>
      </c>
      <c r="L20" s="31">
        <f t="shared" si="19"/>
        <v>290689.99999999546</v>
      </c>
      <c r="M20" s="32">
        <f t="shared" si="20"/>
        <v>-18295.147555555563</v>
      </c>
      <c r="N20" s="79">
        <f t="shared" si="8"/>
        <v>-23155.512247244649</v>
      </c>
      <c r="P20" s="72">
        <v>45796.625</v>
      </c>
      <c r="Q20" s="54">
        <v>92.89</v>
      </c>
      <c r="R20" s="72">
        <v>45793.625</v>
      </c>
      <c r="S20" s="54">
        <v>101.34</v>
      </c>
      <c r="T20" s="122">
        <v>45797.625</v>
      </c>
      <c r="U20" s="54">
        <v>120.68</v>
      </c>
      <c r="V20" s="72">
        <v>45869.625</v>
      </c>
      <c r="W20" s="54">
        <v>99.549000000000007</v>
      </c>
    </row>
    <row r="21" spans="1:23" x14ac:dyDescent="0.3">
      <c r="A21" s="36">
        <v>45946</v>
      </c>
      <c r="B21" s="73">
        <f t="shared" ref="B21" si="21">VLOOKUP($A21+$I$2,P$3:Q$501,2)</f>
        <v>92.23</v>
      </c>
      <c r="C21" s="31">
        <f t="shared" si="10"/>
        <v>-37891.090180794396</v>
      </c>
      <c r="D21" s="32">
        <f t="shared" si="11"/>
        <v>-26437.5</v>
      </c>
      <c r="E21" s="73">
        <f t="shared" ref="E21" si="22">VLOOKUP($A21+$I$2,R$3:S$501,2)</f>
        <v>101.221</v>
      </c>
      <c r="F21" s="31">
        <f t="shared" si="13"/>
        <v>64199.999999999585</v>
      </c>
      <c r="G21" s="32">
        <f t="shared" si="14"/>
        <v>-9340.3499999999967</v>
      </c>
      <c r="H21" s="73">
        <f t="shared" ref="H21" si="23">VLOOKUP($A21+$I$2,T$3:U$501,2)</f>
        <v>121.6</v>
      </c>
      <c r="I21" s="31">
        <f t="shared" si="16"/>
        <v>248966.08767576268</v>
      </c>
      <c r="J21" s="32">
        <f t="shared" si="17"/>
        <v>-45472.5</v>
      </c>
      <c r="K21" s="73">
        <f t="shared" ref="K21" si="24">VLOOKUP($A21+$I$2,V$3:W$501,2)</f>
        <v>100.14700000000001</v>
      </c>
      <c r="L21" s="31">
        <f t="shared" si="19"/>
        <v>273470.00000000064</v>
      </c>
      <c r="M21" s="32">
        <f t="shared" si="20"/>
        <v>-20582.041000000005</v>
      </c>
      <c r="N21" s="79">
        <f t="shared" ref="N21" si="25">C21+D21-F21-G21-I21-J21+L21+M21</f>
        <v>-69793.868856556044</v>
      </c>
      <c r="P21" s="72">
        <v>45797.625</v>
      </c>
      <c r="Q21" s="54">
        <v>93.05</v>
      </c>
      <c r="R21" s="72">
        <v>45796.625</v>
      </c>
      <c r="S21" s="54">
        <v>101.408</v>
      </c>
      <c r="T21" s="122">
        <v>45798.625</v>
      </c>
      <c r="U21" s="54">
        <v>120.59</v>
      </c>
      <c r="V21" s="72">
        <v>45870.625</v>
      </c>
      <c r="W21" s="54">
        <v>99.751000000000005</v>
      </c>
    </row>
    <row r="22" spans="1:23" x14ac:dyDescent="0.3">
      <c r="A22" s="128">
        <v>45947</v>
      </c>
      <c r="B22" s="73">
        <f t="shared" ref="B22:B23" si="26">VLOOKUP($A22+$I$2,P$3:Q$501,2)</f>
        <v>92.1</v>
      </c>
      <c r="C22" s="31">
        <f t="shared" si="10"/>
        <v>-73075.673920106055</v>
      </c>
      <c r="D22" s="32">
        <f t="shared" si="11"/>
        <v>-29374.999999999996</v>
      </c>
      <c r="E22" s="73">
        <f t="shared" ref="E22:E23" si="27">VLOOKUP($A22+$I$2,R$3:S$501,2)</f>
        <v>101.253</v>
      </c>
      <c r="F22" s="31">
        <f t="shared" si="13"/>
        <v>70599.99999999888</v>
      </c>
      <c r="G22" s="32">
        <f t="shared" si="14"/>
        <v>-10378.166666666664</v>
      </c>
      <c r="H22" s="73">
        <f t="shared" ref="H22:H23" si="28">VLOOKUP($A22+$I$2,T$3:U$501,2)</f>
        <v>121.51</v>
      </c>
      <c r="I22" s="31">
        <f t="shared" si="16"/>
        <v>216956.16211744829</v>
      </c>
      <c r="J22" s="32">
        <f t="shared" si="17"/>
        <v>-50524.999999999993</v>
      </c>
      <c r="K22" s="73">
        <f t="shared" ref="K22:K23" si="29">VLOOKUP($A22+$I$2,V$3:W$501,2)</f>
        <v>100.146</v>
      </c>
      <c r="L22" s="31">
        <f t="shared" si="19"/>
        <v>273059.99999999866</v>
      </c>
      <c r="M22" s="32">
        <f t="shared" si="20"/>
        <v>-22868.93444444444</v>
      </c>
      <c r="N22" s="79">
        <f t="shared" ref="N22:N23" si="30">C22+D22-F22-G22-I22-J22+L22+M22</f>
        <v>-78912.603815332302</v>
      </c>
      <c r="P22" s="72">
        <v>45798.625</v>
      </c>
      <c r="Q22" s="54">
        <v>92.95</v>
      </c>
      <c r="R22" s="72">
        <v>45797.625</v>
      </c>
      <c r="S22" s="54">
        <v>101.352</v>
      </c>
      <c r="T22" s="122">
        <v>45799.625</v>
      </c>
      <c r="U22" s="54">
        <v>120.57</v>
      </c>
      <c r="V22" s="72">
        <v>45873.625</v>
      </c>
      <c r="W22" s="54">
        <v>99.884</v>
      </c>
    </row>
    <row r="23" spans="1:23" x14ac:dyDescent="0.3">
      <c r="A23" s="128">
        <v>45950</v>
      </c>
      <c r="B23" s="73">
        <f t="shared" si="26"/>
        <v>92.33</v>
      </c>
      <c r="C23" s="31">
        <f t="shared" si="10"/>
        <v>-10826.025765942049</v>
      </c>
      <c r="D23" s="32">
        <f t="shared" si="11"/>
        <v>-38187.499999999993</v>
      </c>
      <c r="E23" s="73">
        <f t="shared" si="27"/>
        <v>101.25</v>
      </c>
      <c r="F23" s="31">
        <f t="shared" si="13"/>
        <v>69999.999999998865</v>
      </c>
      <c r="G23" s="32">
        <f t="shared" si="14"/>
        <v>-13491.616666666669</v>
      </c>
      <c r="H23" s="73">
        <f t="shared" si="28"/>
        <v>121.57</v>
      </c>
      <c r="I23" s="31">
        <f t="shared" si="16"/>
        <v>238296.11248965788</v>
      </c>
      <c r="J23" s="32">
        <f t="shared" si="17"/>
        <v>-65682.499999999985</v>
      </c>
      <c r="K23" s="73">
        <f t="shared" si="29"/>
        <v>100.10599999999999</v>
      </c>
      <c r="L23" s="31">
        <f t="shared" si="19"/>
        <v>256659.99999999613</v>
      </c>
      <c r="M23" s="32">
        <f t="shared" si="20"/>
        <v>-29729.614777777777</v>
      </c>
      <c r="N23" s="79">
        <f t="shared" si="30"/>
        <v>-51205.136366713792</v>
      </c>
      <c r="P23" s="72">
        <v>45799.625</v>
      </c>
      <c r="Q23" s="54">
        <v>92.82</v>
      </c>
      <c r="R23" s="72">
        <v>45798.625</v>
      </c>
      <c r="S23" s="54">
        <v>101.282</v>
      </c>
      <c r="T23" s="122">
        <v>45800.625</v>
      </c>
      <c r="U23" s="54">
        <v>120.79</v>
      </c>
      <c r="V23" s="72">
        <v>45874.625</v>
      </c>
      <c r="W23" s="54">
        <v>99.923000000000002</v>
      </c>
    </row>
    <row r="24" spans="1:23" x14ac:dyDescent="0.3">
      <c r="A24" s="128">
        <v>45951</v>
      </c>
      <c r="B24" s="73">
        <f t="shared" ref="B24" si="31">VLOOKUP($A24+$I$2,P$3:Q$501,2)</f>
        <v>92.33</v>
      </c>
      <c r="C24" s="31">
        <f t="shared" si="10"/>
        <v>-10826.025765942049</v>
      </c>
      <c r="D24" s="32">
        <f t="shared" si="11"/>
        <v>-41125</v>
      </c>
      <c r="E24" s="73">
        <f t="shared" ref="E24" si="32">VLOOKUP($A24+$I$2,R$3:S$501,2)</f>
        <v>101.289</v>
      </c>
      <c r="F24" s="31">
        <f t="shared" si="13"/>
        <v>77799.999999999156</v>
      </c>
      <c r="G24" s="32">
        <f t="shared" si="14"/>
        <v>-14529.433333333331</v>
      </c>
      <c r="H24" s="73">
        <f t="shared" ref="H24" si="33">VLOOKUP($A24+$I$2,T$3:U$501,2)</f>
        <v>121.57</v>
      </c>
      <c r="I24" s="31">
        <f t="shared" si="16"/>
        <v>238296.11248965788</v>
      </c>
      <c r="J24" s="32">
        <f t="shared" si="17"/>
        <v>-70735</v>
      </c>
      <c r="K24" s="73">
        <f t="shared" ref="K24" si="34">VLOOKUP($A24+$I$2,V$3:W$501,2)</f>
        <v>100.206</v>
      </c>
      <c r="L24" s="31">
        <f t="shared" si="19"/>
        <v>297659.99999999965</v>
      </c>
      <c r="M24" s="32">
        <f t="shared" si="20"/>
        <v>-32016.508222222234</v>
      </c>
      <c r="N24" s="79">
        <f t="shared" ref="N24" si="35">C24+D24-F24-G24-I24-J24+L24+M24</f>
        <v>-17139.213144488305</v>
      </c>
      <c r="P24" s="72">
        <v>45800.625</v>
      </c>
      <c r="Q24" s="54">
        <v>92.47</v>
      </c>
      <c r="R24" s="72">
        <v>45799.625</v>
      </c>
      <c r="S24" s="54">
        <v>101.363</v>
      </c>
      <c r="T24" s="122">
        <v>45804.625</v>
      </c>
      <c r="U24" s="54">
        <v>121.1</v>
      </c>
      <c r="V24" s="72">
        <v>45875.625</v>
      </c>
      <c r="W24" s="54">
        <v>99.869</v>
      </c>
    </row>
    <row r="25" spans="1:23" x14ac:dyDescent="0.3">
      <c r="A25" s="128">
        <v>45952</v>
      </c>
      <c r="B25" s="73">
        <f t="shared" ref="B25" si="36">VLOOKUP($A25+$I$2,P$3:Q$501,2)</f>
        <v>92.37</v>
      </c>
      <c r="C25" s="31">
        <f t="shared" si="10"/>
        <v>0</v>
      </c>
      <c r="D25" s="32">
        <f t="shared" si="11"/>
        <v>-44062.499999999993</v>
      </c>
      <c r="E25" s="73">
        <f t="shared" ref="E25" si="37">VLOOKUP($A25+$I$2,R$3:S$501,2)</f>
        <v>101.261</v>
      </c>
      <c r="F25" s="31">
        <f t="shared" si="13"/>
        <v>72199.999999997992</v>
      </c>
      <c r="G25" s="32">
        <f t="shared" si="14"/>
        <v>-15567.249999999993</v>
      </c>
      <c r="H25" s="73">
        <f t="shared" ref="H25" si="38">VLOOKUP($A25+$I$2,T$3:U$501,2)</f>
        <v>121.65</v>
      </c>
      <c r="I25" s="31">
        <f t="shared" si="16"/>
        <v>266749.37965260079</v>
      </c>
      <c r="J25" s="32">
        <f t="shared" si="17"/>
        <v>-75787.499999999985</v>
      </c>
      <c r="K25" s="73">
        <f t="shared" ref="K25" si="39">VLOOKUP($A25+$I$2,V$3:W$501,2)</f>
        <v>100.13800000000001</v>
      </c>
      <c r="L25" s="31">
        <f t="shared" si="19"/>
        <v>269780.00000000052</v>
      </c>
      <c r="M25" s="32">
        <f t="shared" si="20"/>
        <v>-34303.401666666658</v>
      </c>
      <c r="N25" s="79">
        <f t="shared" ref="N25" si="40">C25+D25-F25-G25-I25-J25+L25+M25</f>
        <v>-56180.53131926489</v>
      </c>
      <c r="P25" s="72">
        <v>45804.625</v>
      </c>
      <c r="Q25" s="54">
        <v>93.11</v>
      </c>
      <c r="R25" s="72">
        <v>45800.625</v>
      </c>
      <c r="S25" s="54">
        <v>101.581</v>
      </c>
      <c r="T25" s="122">
        <v>45805.625</v>
      </c>
      <c r="U25" s="54">
        <v>120.98</v>
      </c>
      <c r="V25" s="72">
        <v>45876.625</v>
      </c>
      <c r="W25" s="54">
        <v>99.838999999999999</v>
      </c>
    </row>
    <row r="26" spans="1:23" x14ac:dyDescent="0.3">
      <c r="A26" s="128">
        <v>45953</v>
      </c>
      <c r="B26" s="73">
        <f t="shared" ref="B26" si="41">VLOOKUP($A26+$I$2,P$3:Q$501,2)</f>
        <v>92.5</v>
      </c>
      <c r="C26" s="31">
        <f t="shared" si="10"/>
        <v>35184.583739306108</v>
      </c>
      <c r="D26" s="32">
        <f t="shared" si="11"/>
        <v>-47000</v>
      </c>
      <c r="E26" s="73">
        <f t="shared" ref="E26" si="42">VLOOKUP($A26+$I$2,R$3:S$501,2)</f>
        <v>101.229</v>
      </c>
      <c r="F26" s="31">
        <f t="shared" si="13"/>
        <v>65799.999999998705</v>
      </c>
      <c r="G26" s="32">
        <f t="shared" si="14"/>
        <v>-16605.066666666666</v>
      </c>
      <c r="H26" s="73">
        <f t="shared" ref="H26" si="43">VLOOKUP($A26+$I$2,T$3:U$501,2)</f>
        <v>121.61</v>
      </c>
      <c r="I26" s="31">
        <f t="shared" si="16"/>
        <v>252522.74607113411</v>
      </c>
      <c r="J26" s="32">
        <f t="shared" si="17"/>
        <v>-80840</v>
      </c>
      <c r="K26" s="73">
        <f t="shared" ref="K26" si="44">VLOOKUP($A26+$I$2,V$3:W$501,2)</f>
        <v>100.104</v>
      </c>
      <c r="L26" s="31">
        <f t="shared" si="19"/>
        <v>255839.99999999805</v>
      </c>
      <c r="M26" s="32">
        <f t="shared" si="20"/>
        <v>-36590.295111111125</v>
      </c>
      <c r="N26" s="79">
        <f t="shared" ref="N26" si="45">C26+D26-F26-G26-I26-J26+L26+M26</f>
        <v>-13443.390776273118</v>
      </c>
      <c r="P26" s="72">
        <v>45805.625</v>
      </c>
      <c r="Q26" s="54">
        <v>93.01</v>
      </c>
      <c r="R26" s="72">
        <v>45803.625</v>
      </c>
      <c r="S26" s="54">
        <v>101.53100000000001</v>
      </c>
      <c r="T26" s="122">
        <v>45806.625</v>
      </c>
      <c r="U26" s="54">
        <v>121.25</v>
      </c>
      <c r="V26" s="72">
        <v>45877.625</v>
      </c>
      <c r="W26" s="54">
        <v>99.611000000000004</v>
      </c>
    </row>
    <row r="27" spans="1:23" x14ac:dyDescent="0.3">
      <c r="A27" s="128">
        <v>45954</v>
      </c>
      <c r="B27" s="73">
        <f t="shared" ref="B27" si="46">VLOOKUP($A27+$I$2,P$3:Q$501,2)</f>
        <v>92.56</v>
      </c>
      <c r="C27" s="31">
        <f t="shared" si="10"/>
        <v>51423.622388219184</v>
      </c>
      <c r="D27" s="32">
        <f t="shared" si="11"/>
        <v>-49937.499999999993</v>
      </c>
      <c r="E27" s="73">
        <f t="shared" ref="E27" si="47">VLOOKUP($A27+$I$2,R$3:S$501,2)</f>
        <v>101.092</v>
      </c>
      <c r="F27" s="31">
        <f t="shared" si="13"/>
        <v>38399.99999999861</v>
      </c>
      <c r="G27" s="32">
        <f t="shared" si="14"/>
        <v>-17642.883333333328</v>
      </c>
      <c r="H27" s="73">
        <f t="shared" ref="H27" si="48">VLOOKUP($A27+$I$2,T$3:U$501,2)</f>
        <v>121.49</v>
      </c>
      <c r="I27" s="31">
        <f t="shared" si="16"/>
        <v>209842.84532671495</v>
      </c>
      <c r="J27" s="32">
        <f t="shared" si="17"/>
        <v>-85892.499999999985</v>
      </c>
      <c r="K27" s="73">
        <f t="shared" ref="K27" si="49">VLOOKUP($A27+$I$2,V$3:W$501,2)</f>
        <v>99.841999999999999</v>
      </c>
      <c r="L27" s="31">
        <f t="shared" si="19"/>
        <v>148419.99999999788</v>
      </c>
      <c r="M27" s="32">
        <f t="shared" si="20"/>
        <v>-38877.188555555542</v>
      </c>
      <c r="N27" s="79">
        <f t="shared" ref="N27" si="50">C27+D27-F27-G27-I27-J27+L27+M27</f>
        <v>-33678.528160718713</v>
      </c>
      <c r="P27" s="72">
        <v>45806.625</v>
      </c>
      <c r="Q27" s="54">
        <v>93.33</v>
      </c>
      <c r="R27" s="72">
        <v>45804.625</v>
      </c>
      <c r="S27" s="54">
        <v>101.529</v>
      </c>
      <c r="T27" s="122">
        <v>45810.625</v>
      </c>
      <c r="U27" s="54">
        <v>121.27</v>
      </c>
      <c r="V27" s="72">
        <v>45880.625</v>
      </c>
      <c r="W27" s="54">
        <v>99.561999999999998</v>
      </c>
    </row>
    <row r="28" spans="1:23" x14ac:dyDescent="0.3">
      <c r="A28" s="36">
        <v>45957</v>
      </c>
      <c r="B28" s="73">
        <f t="shared" ref="B28" si="51">VLOOKUP($A28+$I$2,P$3:Q$501,2)</f>
        <v>92.8</v>
      </c>
      <c r="C28" s="31">
        <f t="shared" si="10"/>
        <v>116379.77698386593</v>
      </c>
      <c r="D28" s="32">
        <f t="shared" si="11"/>
        <v>-58749.999999999993</v>
      </c>
      <c r="E28" s="73">
        <f t="shared" ref="E28" si="52">VLOOKUP($A28+$I$2,R$3:S$501,2)</f>
        <v>101.077</v>
      </c>
      <c r="F28" s="31">
        <f t="shared" si="13"/>
        <v>35399.999999998501</v>
      </c>
      <c r="G28" s="32">
        <f t="shared" si="14"/>
        <v>-20756.333333333328</v>
      </c>
      <c r="H28" s="73">
        <f t="shared" ref="H28" si="53">VLOOKUP($A28+$I$2,T$3:U$501,2)</f>
        <v>121.55</v>
      </c>
      <c r="I28" s="31">
        <f t="shared" si="16"/>
        <v>231182.79569892451</v>
      </c>
      <c r="J28" s="32">
        <f t="shared" si="17"/>
        <v>-101049.99999999999</v>
      </c>
      <c r="K28" s="73">
        <f t="shared" ref="K28" si="54">VLOOKUP($A28+$I$2,V$3:W$501,2)</f>
        <v>99.850999999999999</v>
      </c>
      <c r="L28" s="31">
        <f t="shared" si="19"/>
        <v>152109.99999999799</v>
      </c>
      <c r="M28" s="32">
        <f t="shared" si="20"/>
        <v>-45737.868888888879</v>
      </c>
      <c r="N28" s="79">
        <f t="shared" ref="N28" si="55">C28+D28-F28-G28-I28-J28+L28+M28</f>
        <v>19225.445729385356</v>
      </c>
      <c r="P28" s="72">
        <v>45807.625</v>
      </c>
      <c r="Q28" s="54">
        <v>93.44</v>
      </c>
      <c r="R28" s="72">
        <v>45805.625</v>
      </c>
      <c r="S28" s="54">
        <v>101.491</v>
      </c>
      <c r="T28" s="122">
        <v>45811.625</v>
      </c>
      <c r="U28" s="54">
        <v>121.47</v>
      </c>
      <c r="V28" s="72">
        <v>45881.625</v>
      </c>
      <c r="W28" s="54">
        <v>99.405000000000001</v>
      </c>
    </row>
    <row r="29" spans="1:23" x14ac:dyDescent="0.3">
      <c r="A29" s="36">
        <v>45958</v>
      </c>
      <c r="B29" s="73">
        <f t="shared" ref="B29" si="56">VLOOKUP($A29+$I$2,P$3:Q$501,2)</f>
        <v>92.79</v>
      </c>
      <c r="C29" s="31">
        <f t="shared" si="10"/>
        <v>113673.27054238596</v>
      </c>
      <c r="D29" s="32">
        <f t="shared" si="11"/>
        <v>-61687.5</v>
      </c>
      <c r="E29" s="73">
        <f t="shared" ref="E29" si="57">VLOOKUP($A29+$I$2,R$3:S$501,2)</f>
        <v>101.083</v>
      </c>
      <c r="F29" s="31">
        <f t="shared" si="13"/>
        <v>36599.999999998545</v>
      </c>
      <c r="G29" s="32">
        <f t="shared" si="14"/>
        <v>-21794.15</v>
      </c>
      <c r="H29" s="73">
        <f t="shared" ref="H29" si="58">VLOOKUP($A29+$I$2,T$3:U$501,2)</f>
        <v>121.6</v>
      </c>
      <c r="I29" s="31">
        <f t="shared" si="16"/>
        <v>248966.08767576268</v>
      </c>
      <c r="J29" s="32">
        <f t="shared" si="17"/>
        <v>-106102.5</v>
      </c>
      <c r="K29" s="73">
        <f t="shared" ref="K29" si="59">VLOOKUP($A29+$I$2,V$3:W$501,2)</f>
        <v>99.867999999999995</v>
      </c>
      <c r="L29" s="31">
        <f t="shared" si="19"/>
        <v>159079.9999999963</v>
      </c>
      <c r="M29" s="32">
        <f t="shared" si="20"/>
        <v>-48024.762333333332</v>
      </c>
      <c r="N29" s="79">
        <f t="shared" ref="N29" si="60">C29+D29-F29-G29-I29-J29+L29+M29</f>
        <v>5371.5705332876969</v>
      </c>
      <c r="P29" s="72">
        <v>45810.625</v>
      </c>
      <c r="Q29" s="54">
        <v>93.5</v>
      </c>
      <c r="R29" s="72">
        <v>45806.625</v>
      </c>
      <c r="S29" s="54">
        <v>101.58</v>
      </c>
      <c r="T29" s="122">
        <v>45812.625</v>
      </c>
      <c r="U29" s="54">
        <v>121.35</v>
      </c>
      <c r="V29" s="72">
        <v>45882.625</v>
      </c>
      <c r="W29" s="54">
        <v>99.745000000000005</v>
      </c>
    </row>
    <row r="30" spans="1:23" x14ac:dyDescent="0.3">
      <c r="A30" s="36">
        <v>45959</v>
      </c>
      <c r="B30" s="73">
        <f t="shared" ref="B30" si="61">VLOOKUP($A30+$I$2,P$3:Q$501,2)</f>
        <v>92.78</v>
      </c>
      <c r="C30" s="31">
        <f t="shared" ref="C30" si="62">(B30/$B$14-1)*$B$5</f>
        <v>110966.7641008949</v>
      </c>
      <c r="D30" s="32">
        <f t="shared" ref="D30" si="63">-1*(A30-$A$14)/360*$B$7*$B$5</f>
        <v>-64624.999999999993</v>
      </c>
      <c r="E30" s="73">
        <f t="shared" ref="E30" si="64">VLOOKUP($A30+$I$2,R$3:S$501,2)</f>
        <v>101.07899999999999</v>
      </c>
      <c r="F30" s="31">
        <f t="shared" ref="F30" si="65">(E30-$E$14)/100*$C$5</f>
        <v>35799.999999997563</v>
      </c>
      <c r="G30" s="32">
        <f t="shared" ref="G30" si="66">(A30-$A$14)/360*$C$6*$C$5-(A30-$A$14)/360*$C$7*$C$5*$E$14/100</f>
        <v>-22831.966666666671</v>
      </c>
      <c r="H30" s="73">
        <f t="shared" ref="H30" si="67">VLOOKUP($A30+$I$2,T$3:U$501,2)</f>
        <v>121.65</v>
      </c>
      <c r="I30" s="31">
        <f t="shared" ref="I30" si="68">(H30/$H$14-1)*$D$5</f>
        <v>266749.37965260079</v>
      </c>
      <c r="J30" s="32">
        <f t="shared" ref="J30" si="69">-1*(A30-$A$14)/360*$D$7*$D$5</f>
        <v>-111154.99999999999</v>
      </c>
      <c r="K30" s="73">
        <f t="shared" ref="K30" si="70">VLOOKUP($A30+$I$2,V$3:W$501,2)</f>
        <v>99.85</v>
      </c>
      <c r="L30" s="31">
        <f t="shared" ref="L30" si="71">(K30-$K$14)/100*$E$5</f>
        <v>151699.99999999604</v>
      </c>
      <c r="M30" s="32">
        <f t="shared" ref="M30" si="72">(A30-$A$14)/360*$E$6*$E$5-(A30-$A$14)/360*$E$7*$E$5*$K$14/100</f>
        <v>-50311.655777777763</v>
      </c>
      <c r="N30" s="79">
        <f t="shared" ref="N30" si="73">C30+D30-F30-G30-I30-J30+L30+M30</f>
        <v>-20832.304662818497</v>
      </c>
      <c r="P30" s="72">
        <v>45811.625</v>
      </c>
      <c r="Q30" s="54">
        <v>93.62</v>
      </c>
      <c r="R30" s="72">
        <v>45807.625</v>
      </c>
      <c r="S30" s="54">
        <v>101.56</v>
      </c>
      <c r="T30" s="122">
        <v>45813.625</v>
      </c>
      <c r="U30" s="54">
        <v>121.02</v>
      </c>
      <c r="V30" s="72">
        <v>45883.625</v>
      </c>
      <c r="W30" s="54">
        <v>99.620999999999995</v>
      </c>
    </row>
    <row r="31" spans="1:23" x14ac:dyDescent="0.3">
      <c r="A31" s="36">
        <v>45960</v>
      </c>
      <c r="B31" s="73">
        <f t="shared" ref="B31" si="74">VLOOKUP($A31+$I$2,P$3:Q$501,2)</f>
        <v>92.49</v>
      </c>
      <c r="C31" s="31">
        <f t="shared" ref="C31:C32" si="75">(B31/$B$14-1)*$B$5</f>
        <v>32478.077297820597</v>
      </c>
      <c r="D31" s="32">
        <f t="shared" ref="D31:D32" si="76">-1*(A31-$A$14)/360*$B$7*$B$5</f>
        <v>-67562.499999999985</v>
      </c>
      <c r="E31" s="73">
        <f t="shared" ref="E31" si="77">VLOOKUP($A31+$I$2,R$3:S$501,2)</f>
        <v>101.026</v>
      </c>
      <c r="F31" s="31">
        <f t="shared" ref="F31:F32" si="78">(E31-$E$14)/100*$C$5</f>
        <v>25199.999999998116</v>
      </c>
      <c r="G31" s="32">
        <f t="shared" ref="G31:G32" si="79">(A31-$A$14)/360*$C$6*$C$5-(A31-$A$14)/360*$C$7*$C$5*$E$14/100</f>
        <v>-23869.783333333333</v>
      </c>
      <c r="H31" s="73">
        <f t="shared" ref="H31" si="80">VLOOKUP($A31+$I$2,T$3:U$501,2)</f>
        <v>121.55</v>
      </c>
      <c r="I31" s="31">
        <f t="shared" ref="I31:I32" si="81">(H31/$H$14-1)*$D$5</f>
        <v>231182.79569892451</v>
      </c>
      <c r="J31" s="32">
        <f t="shared" ref="J31:J32" si="82">-1*(A31-$A$14)/360*$D$7*$D$5</f>
        <v>-116207.49999999999</v>
      </c>
      <c r="K31" s="73">
        <f t="shared" ref="K31" si="83">VLOOKUP($A31+$I$2,V$3:W$501,2)</f>
        <v>99.772999999999996</v>
      </c>
      <c r="L31" s="31">
        <f t="shared" ref="L31:L32" si="84">(K31-$K$14)/100*$E$5</f>
        <v>120129.99999999677</v>
      </c>
      <c r="M31" s="32">
        <f t="shared" ref="M31:M32" si="85">(A31-$A$14)/360*$E$6*$E$5-(A31-$A$14)/360*$E$7*$E$5*$K$14/100</f>
        <v>-52598.549222222224</v>
      </c>
      <c r="N31" s="79">
        <f t="shared" ref="N31:N32" si="86">C31+D31-F31-G31-I31-J31+L31+M31</f>
        <v>-83858.484289994129</v>
      </c>
      <c r="P31" s="72">
        <v>45812.625</v>
      </c>
      <c r="Q31" s="54">
        <v>93.7</v>
      </c>
      <c r="R31" s="72">
        <v>45810.625</v>
      </c>
      <c r="S31" s="54">
        <v>101.574</v>
      </c>
      <c r="T31" s="122">
        <v>45814.625</v>
      </c>
      <c r="U31" s="54">
        <v>121.27</v>
      </c>
      <c r="V31" s="72">
        <v>45884.625</v>
      </c>
      <c r="W31" s="54">
        <v>99.375</v>
      </c>
    </row>
    <row r="32" spans="1:23" x14ac:dyDescent="0.3">
      <c r="A32" s="36">
        <v>45961</v>
      </c>
      <c r="B32" s="73">
        <f>B10</f>
        <v>92.55</v>
      </c>
      <c r="C32" s="31">
        <f t="shared" si="75"/>
        <v>48717.115946733669</v>
      </c>
      <c r="D32" s="32">
        <f t="shared" si="76"/>
        <v>-70499.999999999985</v>
      </c>
      <c r="E32" s="73">
        <f>C10</f>
        <v>101.01600000000001</v>
      </c>
      <c r="F32" s="31">
        <f t="shared" si="78"/>
        <v>23199.999999999931</v>
      </c>
      <c r="G32" s="32">
        <f t="shared" si="79"/>
        <v>-24907.599999999999</v>
      </c>
      <c r="H32" s="73">
        <f>D10</f>
        <v>121.34</v>
      </c>
      <c r="I32" s="31">
        <f t="shared" si="81"/>
        <v>156492.96939619095</v>
      </c>
      <c r="J32" s="32">
        <f t="shared" si="82"/>
        <v>-121259.99999999999</v>
      </c>
      <c r="K32" s="73">
        <f>E10</f>
        <v>99.747</v>
      </c>
      <c r="L32" s="31">
        <f t="shared" si="84"/>
        <v>109469.99999999831</v>
      </c>
      <c r="M32" s="32">
        <f t="shared" si="85"/>
        <v>-54885.44266666667</v>
      </c>
      <c r="N32" s="79">
        <f t="shared" si="86"/>
        <v>-723.69611612557492</v>
      </c>
      <c r="P32" s="72">
        <v>45813.625</v>
      </c>
      <c r="Q32" s="54">
        <v>93.55</v>
      </c>
      <c r="R32" s="72">
        <v>45811.625</v>
      </c>
      <c r="S32" s="54">
        <v>101.60599999999999</v>
      </c>
      <c r="T32" s="122">
        <v>45817.625</v>
      </c>
      <c r="U32" s="54">
        <v>121.32</v>
      </c>
      <c r="V32" s="72">
        <v>45887.625</v>
      </c>
      <c r="W32" s="54">
        <v>99.388999999999996</v>
      </c>
    </row>
    <row r="33" spans="1:23" x14ac:dyDescent="0.3">
      <c r="A33" s="36">
        <v>45964</v>
      </c>
      <c r="B33" s="45"/>
      <c r="C33" s="31"/>
      <c r="D33" s="31"/>
      <c r="E33" s="4"/>
      <c r="F33" s="31"/>
      <c r="G33" s="32"/>
      <c r="H33" s="4"/>
      <c r="I33" s="31"/>
      <c r="J33" s="32"/>
      <c r="K33" s="4"/>
      <c r="L33" s="31"/>
      <c r="M33" s="32"/>
      <c r="N33" s="38"/>
      <c r="P33" s="72">
        <v>45814.625</v>
      </c>
      <c r="Q33" s="54">
        <v>93.7</v>
      </c>
      <c r="R33" s="72">
        <v>45812.625</v>
      </c>
      <c r="S33" s="54">
        <v>101.54</v>
      </c>
      <c r="T33" s="122">
        <v>45818.625</v>
      </c>
      <c r="U33" s="54">
        <v>121.52</v>
      </c>
      <c r="V33" s="72">
        <v>45888.625</v>
      </c>
      <c r="W33" s="54">
        <v>99.484999999999999</v>
      </c>
    </row>
    <row r="34" spans="1:23" x14ac:dyDescent="0.3">
      <c r="A34" s="36">
        <v>45965</v>
      </c>
      <c r="B34" s="45"/>
      <c r="C34" s="31"/>
      <c r="D34" s="31"/>
      <c r="E34" s="4"/>
      <c r="F34" s="31"/>
      <c r="G34" s="32"/>
      <c r="H34" s="4"/>
      <c r="I34" s="31"/>
      <c r="J34" s="32"/>
      <c r="K34" s="4"/>
      <c r="L34" s="31"/>
      <c r="M34" s="32"/>
      <c r="N34" s="38"/>
      <c r="P34" s="72">
        <v>45817.625</v>
      </c>
      <c r="Q34" s="54">
        <v>93.62</v>
      </c>
      <c r="R34" s="72">
        <v>45813.625</v>
      </c>
      <c r="S34" s="54">
        <v>101.26</v>
      </c>
      <c r="T34" s="122">
        <v>45819.625</v>
      </c>
      <c r="U34" s="54">
        <v>121.56</v>
      </c>
      <c r="V34" s="72">
        <v>45889.625</v>
      </c>
      <c r="W34" s="54">
        <v>99.653999999999996</v>
      </c>
    </row>
    <row r="35" spans="1:23" x14ac:dyDescent="0.3">
      <c r="A35" s="36">
        <v>45966</v>
      </c>
      <c r="B35" s="45"/>
      <c r="C35" s="31"/>
      <c r="D35" s="31"/>
      <c r="E35" s="4"/>
      <c r="F35" s="31"/>
      <c r="G35" s="32"/>
      <c r="H35" s="4"/>
      <c r="I35" s="31"/>
      <c r="J35" s="32"/>
      <c r="K35" s="4"/>
      <c r="L35" s="31"/>
      <c r="M35" s="32"/>
      <c r="N35" s="38"/>
      <c r="P35" s="72">
        <v>45818.625</v>
      </c>
      <c r="Q35" s="54">
        <v>93.67</v>
      </c>
      <c r="R35" s="72">
        <v>45814.625</v>
      </c>
      <c r="S35" s="54">
        <v>101.29900000000001</v>
      </c>
      <c r="T35" s="122">
        <v>45820.625</v>
      </c>
      <c r="U35" s="54">
        <v>121.7</v>
      </c>
      <c r="V35" s="72">
        <v>45890.625</v>
      </c>
      <c r="W35" s="54">
        <v>99.468999999999994</v>
      </c>
    </row>
    <row r="36" spans="1:23" x14ac:dyDescent="0.3">
      <c r="A36" s="36">
        <v>45967</v>
      </c>
      <c r="B36" s="45"/>
      <c r="C36" s="31"/>
      <c r="D36" s="31"/>
      <c r="E36" s="4"/>
      <c r="F36" s="31"/>
      <c r="G36" s="32"/>
      <c r="H36" s="4"/>
      <c r="I36" s="31"/>
      <c r="J36" s="32"/>
      <c r="K36" s="4"/>
      <c r="L36" s="31"/>
      <c r="M36" s="32"/>
      <c r="N36" s="38"/>
      <c r="P36" s="72">
        <v>45819.625</v>
      </c>
      <c r="Q36" s="54">
        <v>93.76</v>
      </c>
      <c r="R36" s="72">
        <v>45817.625</v>
      </c>
      <c r="S36" s="54">
        <v>101.297</v>
      </c>
      <c r="T36" s="122">
        <v>45821.625</v>
      </c>
      <c r="U36" s="54">
        <v>121.38</v>
      </c>
      <c r="V36" s="72">
        <v>45891.625</v>
      </c>
      <c r="W36" s="54">
        <v>99.596000000000004</v>
      </c>
    </row>
    <row r="37" spans="1:23" x14ac:dyDescent="0.3">
      <c r="A37" s="36">
        <v>45968</v>
      </c>
      <c r="B37" s="45"/>
      <c r="C37" s="31"/>
      <c r="D37" s="31"/>
      <c r="E37" s="4"/>
      <c r="F37" s="31"/>
      <c r="G37" s="32"/>
      <c r="H37" s="4"/>
      <c r="I37" s="31"/>
      <c r="J37" s="32"/>
      <c r="K37" s="4"/>
      <c r="L37" s="31"/>
      <c r="M37" s="32"/>
      <c r="N37" s="38"/>
      <c r="P37" s="72">
        <v>45820.625</v>
      </c>
      <c r="Q37" s="54">
        <v>93.76</v>
      </c>
      <c r="R37" s="72">
        <v>45818.625</v>
      </c>
      <c r="S37" s="54">
        <v>101.38500000000001</v>
      </c>
      <c r="T37" s="122">
        <v>45825.625</v>
      </c>
      <c r="U37" s="54">
        <v>121.5</v>
      </c>
      <c r="V37" s="72">
        <v>45894.625</v>
      </c>
      <c r="W37" s="54">
        <v>99.394999999999996</v>
      </c>
    </row>
    <row r="38" spans="1:23" x14ac:dyDescent="0.3">
      <c r="A38" s="36">
        <v>45969</v>
      </c>
      <c r="B38" s="45"/>
      <c r="C38" s="31"/>
      <c r="D38" s="31"/>
      <c r="E38" s="4"/>
      <c r="F38" s="31"/>
      <c r="G38" s="32"/>
      <c r="H38" s="4"/>
      <c r="I38" s="31"/>
      <c r="J38" s="32"/>
      <c r="K38" s="4"/>
      <c r="L38" s="31"/>
      <c r="M38" s="32"/>
      <c r="N38" s="38"/>
      <c r="P38" s="72">
        <v>45821.625</v>
      </c>
      <c r="Q38" s="54">
        <v>93.42</v>
      </c>
      <c r="R38" s="72">
        <v>45819.625</v>
      </c>
      <c r="S38" s="54">
        <v>101.398</v>
      </c>
      <c r="T38" s="122">
        <v>45826.625</v>
      </c>
      <c r="U38" s="54">
        <v>121.52</v>
      </c>
      <c r="V38" s="72">
        <v>45895.625</v>
      </c>
      <c r="W38" s="54">
        <v>99.643000000000001</v>
      </c>
    </row>
    <row r="39" spans="1:23" x14ac:dyDescent="0.3">
      <c r="A39" s="36">
        <v>45970</v>
      </c>
      <c r="B39" s="45"/>
      <c r="C39" s="31"/>
      <c r="D39" s="31"/>
      <c r="E39" s="4"/>
      <c r="F39" s="31"/>
      <c r="G39" s="32"/>
      <c r="H39" s="4"/>
      <c r="I39" s="31"/>
      <c r="J39" s="32"/>
      <c r="K39" s="4"/>
      <c r="L39" s="31"/>
      <c r="M39" s="32"/>
      <c r="N39" s="38"/>
      <c r="P39" s="72">
        <v>45824.625</v>
      </c>
      <c r="Q39" s="54">
        <v>93.76</v>
      </c>
      <c r="R39" s="72">
        <v>45820.625</v>
      </c>
      <c r="S39" s="54">
        <v>101.509</v>
      </c>
      <c r="T39" s="122">
        <v>45827.625</v>
      </c>
      <c r="U39" s="54">
        <v>121.37</v>
      </c>
      <c r="V39" s="72">
        <v>45896.625</v>
      </c>
      <c r="W39" s="54">
        <v>99.801000000000002</v>
      </c>
    </row>
    <row r="40" spans="1:23" x14ac:dyDescent="0.3">
      <c r="A40" s="15"/>
      <c r="B40" s="45"/>
      <c r="C40" s="31"/>
      <c r="D40" s="31"/>
      <c r="E40" s="4"/>
      <c r="F40" s="31"/>
      <c r="G40" s="32"/>
      <c r="H40" s="4"/>
      <c r="I40" s="31"/>
      <c r="J40" s="32"/>
      <c r="K40" s="4"/>
      <c r="L40" s="31"/>
      <c r="M40" s="32"/>
      <c r="N40" s="38"/>
      <c r="P40" s="72">
        <v>45825.625</v>
      </c>
      <c r="Q40" s="54">
        <v>93.56</v>
      </c>
      <c r="R40" s="72">
        <v>45821.625</v>
      </c>
      <c r="S40" s="54">
        <v>101.375</v>
      </c>
      <c r="T40" s="122">
        <v>45828.625</v>
      </c>
      <c r="U40" s="54">
        <v>121.48</v>
      </c>
      <c r="V40" s="72">
        <v>45897.625</v>
      </c>
      <c r="W40" s="54">
        <v>99.775999999999996</v>
      </c>
    </row>
    <row r="41" spans="1:23" x14ac:dyDescent="0.3">
      <c r="A41" s="15"/>
      <c r="B41" s="45"/>
      <c r="C41" s="31"/>
      <c r="D41" s="31"/>
      <c r="E41" s="4"/>
      <c r="F41" s="31"/>
      <c r="G41" s="32"/>
      <c r="H41" s="4"/>
      <c r="I41" s="31"/>
      <c r="J41" s="32"/>
      <c r="K41" s="4"/>
      <c r="L41" s="31"/>
      <c r="M41" s="32"/>
      <c r="N41" s="38"/>
      <c r="P41" s="72">
        <v>45826.625</v>
      </c>
      <c r="Q41" s="54">
        <v>93.37</v>
      </c>
      <c r="R41" s="72">
        <v>45824.625</v>
      </c>
      <c r="S41" s="54">
        <v>101.402</v>
      </c>
      <c r="T41" s="122">
        <v>45831.625</v>
      </c>
      <c r="U41" s="54">
        <v>121.56</v>
      </c>
      <c r="V41" s="72">
        <v>45898.625</v>
      </c>
      <c r="W41" s="54">
        <v>99.783000000000001</v>
      </c>
    </row>
    <row r="42" spans="1:23" ht="15" thickBot="1" x14ac:dyDescent="0.35">
      <c r="A42" s="16"/>
      <c r="B42" s="48"/>
      <c r="C42" s="49"/>
      <c r="D42" s="49"/>
      <c r="E42" s="11"/>
      <c r="F42" s="49"/>
      <c r="G42" s="50"/>
      <c r="H42" s="11"/>
      <c r="I42" s="49"/>
      <c r="J42" s="50"/>
      <c r="K42" s="11"/>
      <c r="L42" s="49"/>
      <c r="M42" s="50"/>
      <c r="N42" s="51"/>
      <c r="P42" s="72">
        <v>45827.625</v>
      </c>
      <c r="Q42" s="54">
        <v>93.19</v>
      </c>
      <c r="R42" s="72">
        <v>45825.625</v>
      </c>
      <c r="S42" s="54">
        <v>101.369</v>
      </c>
      <c r="T42" s="122">
        <v>45832.625</v>
      </c>
      <c r="U42" s="54">
        <v>121.66</v>
      </c>
      <c r="V42" s="72">
        <v>45901.625</v>
      </c>
      <c r="W42" s="54">
        <v>99.632000000000005</v>
      </c>
    </row>
    <row r="43" spans="1:23" x14ac:dyDescent="0.3">
      <c r="B43" s="56"/>
      <c r="C43" s="56"/>
      <c r="D43" s="56"/>
      <c r="F43" s="55"/>
      <c r="G43" s="55"/>
      <c r="I43" s="55"/>
      <c r="J43" s="55"/>
      <c r="L43" s="55"/>
      <c r="M43" s="55"/>
      <c r="N43" s="55"/>
      <c r="P43" s="72">
        <v>45828.625</v>
      </c>
      <c r="Q43" s="54">
        <v>93.4</v>
      </c>
      <c r="R43" s="72">
        <v>45826.625</v>
      </c>
      <c r="S43" s="54">
        <v>101.449</v>
      </c>
      <c r="T43" s="122">
        <v>45833.625</v>
      </c>
      <c r="U43" s="54">
        <v>121.62</v>
      </c>
      <c r="V43" s="72">
        <v>45902.625</v>
      </c>
      <c r="W43" s="54">
        <v>99.481999999999999</v>
      </c>
    </row>
    <row r="44" spans="1:23" x14ac:dyDescent="0.3">
      <c r="B44" s="56"/>
      <c r="C44" s="56"/>
      <c r="D44" s="56"/>
      <c r="I44" s="55"/>
      <c r="J44" s="55"/>
      <c r="L44" s="55"/>
      <c r="M44" s="55"/>
      <c r="N44" s="55"/>
      <c r="P44" s="72">
        <v>45831.625</v>
      </c>
      <c r="Q44" s="54">
        <v>93.3</v>
      </c>
      <c r="R44" s="72">
        <v>45827.625</v>
      </c>
      <c r="S44" s="54">
        <v>101.432</v>
      </c>
      <c r="T44" s="122">
        <v>45834.625</v>
      </c>
      <c r="U44" s="54">
        <v>121.66</v>
      </c>
      <c r="V44" s="72">
        <v>45903.625</v>
      </c>
      <c r="W44" s="54">
        <v>99.596000000000004</v>
      </c>
    </row>
    <row r="45" spans="1:23" x14ac:dyDescent="0.3">
      <c r="B45" s="56"/>
      <c r="C45" s="56"/>
      <c r="D45" s="56"/>
      <c r="I45" s="55"/>
      <c r="J45" s="55"/>
      <c r="L45" s="55"/>
      <c r="M45" s="55"/>
      <c r="N45" s="55"/>
      <c r="P45" s="72">
        <v>45832.625</v>
      </c>
      <c r="Q45" s="54">
        <v>93.63</v>
      </c>
      <c r="R45" s="72">
        <v>45828.625</v>
      </c>
      <c r="S45" s="54">
        <v>101.38200000000001</v>
      </c>
      <c r="T45" s="122">
        <v>45835.625</v>
      </c>
      <c r="U45" s="54">
        <v>121.55</v>
      </c>
      <c r="V45" s="72">
        <v>45904.625</v>
      </c>
      <c r="W45" s="54">
        <v>99.653999999999996</v>
      </c>
    </row>
    <row r="46" spans="1:23" x14ac:dyDescent="0.3">
      <c r="B46" s="56"/>
      <c r="C46" s="56"/>
      <c r="D46" s="56"/>
      <c r="I46" s="55"/>
      <c r="J46" s="55"/>
      <c r="L46" s="55"/>
      <c r="M46" s="55"/>
      <c r="N46" s="55"/>
      <c r="P46" s="72">
        <v>45833.625</v>
      </c>
      <c r="Q46" s="54">
        <v>93.47</v>
      </c>
      <c r="R46" s="72">
        <v>45831.625</v>
      </c>
      <c r="S46" s="54">
        <v>101.441</v>
      </c>
      <c r="T46" s="122">
        <v>45838.625</v>
      </c>
      <c r="U46" s="54">
        <v>121.69</v>
      </c>
      <c r="V46" s="72">
        <v>45905.625</v>
      </c>
      <c r="W46" s="54">
        <v>99.900999999999996</v>
      </c>
    </row>
    <row r="47" spans="1:23" x14ac:dyDescent="0.3">
      <c r="B47" s="56"/>
      <c r="C47" s="56"/>
      <c r="D47" s="56"/>
      <c r="P47" s="72">
        <v>45834.625</v>
      </c>
      <c r="Q47" s="54">
        <v>93.5</v>
      </c>
      <c r="R47" s="72">
        <v>45832.625</v>
      </c>
      <c r="S47" s="54">
        <v>101.40600000000001</v>
      </c>
      <c r="T47" s="122">
        <v>45839.625</v>
      </c>
      <c r="U47" s="54">
        <v>121.84</v>
      </c>
      <c r="V47" s="72">
        <v>45908.625</v>
      </c>
      <c r="W47" s="54">
        <v>99.972999999999999</v>
      </c>
    </row>
    <row r="48" spans="1:23" x14ac:dyDescent="0.3">
      <c r="B48" s="56"/>
      <c r="C48" s="56"/>
      <c r="D48" s="56"/>
      <c r="P48" s="72">
        <v>45835.625</v>
      </c>
      <c r="Q48" s="54">
        <v>93.63</v>
      </c>
      <c r="R48" s="72">
        <v>45833.625</v>
      </c>
      <c r="S48" s="54">
        <v>101.367</v>
      </c>
      <c r="T48" s="122">
        <v>45840.625</v>
      </c>
      <c r="U48" s="54">
        <v>121.82</v>
      </c>
      <c r="V48" s="72">
        <v>45909.625</v>
      </c>
      <c r="W48" s="54">
        <v>99.885999999999996</v>
      </c>
    </row>
    <row r="49" spans="2:23" x14ac:dyDescent="0.3">
      <c r="B49" s="56"/>
      <c r="C49" s="56"/>
      <c r="D49" s="56"/>
      <c r="P49" s="72">
        <v>45838.625</v>
      </c>
      <c r="Q49" s="54">
        <v>93.64</v>
      </c>
      <c r="R49" s="72">
        <v>45834.625</v>
      </c>
      <c r="S49" s="54">
        <v>101.43</v>
      </c>
      <c r="T49" s="122">
        <v>45841.625</v>
      </c>
      <c r="U49" s="54">
        <v>122.16</v>
      </c>
      <c r="V49" s="72">
        <v>45910.625</v>
      </c>
      <c r="W49" s="54">
        <v>99.86</v>
      </c>
    </row>
    <row r="50" spans="2:23" x14ac:dyDescent="0.3">
      <c r="B50" s="56"/>
      <c r="C50" s="56"/>
      <c r="D50" s="56"/>
      <c r="P50" s="72">
        <v>45839.625</v>
      </c>
      <c r="Q50" s="54">
        <v>93.68</v>
      </c>
      <c r="R50" s="72">
        <v>45835.625</v>
      </c>
      <c r="S50" s="54">
        <v>101.3</v>
      </c>
      <c r="T50" s="122">
        <v>45842.625</v>
      </c>
      <c r="U50" s="54">
        <v>122.27</v>
      </c>
      <c r="V50" s="72">
        <v>45911.625</v>
      </c>
      <c r="W50" s="54">
        <v>99.715000000000003</v>
      </c>
    </row>
    <row r="51" spans="2:23" x14ac:dyDescent="0.3">
      <c r="B51" s="56"/>
      <c r="C51" s="56"/>
      <c r="D51" s="56"/>
      <c r="P51" s="72">
        <v>45840.625</v>
      </c>
      <c r="Q51" s="54">
        <v>93.74</v>
      </c>
      <c r="R51" s="72">
        <v>45838.625</v>
      </c>
      <c r="S51" s="54">
        <v>101.331</v>
      </c>
      <c r="T51" s="122">
        <v>45845.625</v>
      </c>
      <c r="U51" s="54">
        <v>122.05</v>
      </c>
      <c r="V51" s="72">
        <v>45912.625</v>
      </c>
      <c r="W51" s="54">
        <v>99.519000000000005</v>
      </c>
    </row>
    <row r="52" spans="2:23" x14ac:dyDescent="0.3">
      <c r="B52" s="56"/>
      <c r="C52" s="56"/>
      <c r="D52" s="56"/>
      <c r="P52" s="72">
        <v>45841.625</v>
      </c>
      <c r="Q52" s="54">
        <v>93.9</v>
      </c>
      <c r="R52" s="72">
        <v>45839.625</v>
      </c>
      <c r="S52" s="54">
        <v>101.357</v>
      </c>
      <c r="T52" s="122">
        <v>45846.625</v>
      </c>
      <c r="U52" s="54">
        <v>121.9</v>
      </c>
      <c r="V52" s="72">
        <v>45915.625</v>
      </c>
      <c r="W52" s="54">
        <v>99.558000000000007</v>
      </c>
    </row>
    <row r="53" spans="2:23" x14ac:dyDescent="0.3">
      <c r="B53" s="56"/>
      <c r="C53" s="56"/>
      <c r="D53" s="56"/>
      <c r="P53" s="72">
        <v>45842.625</v>
      </c>
      <c r="Q53" s="54">
        <v>93.86</v>
      </c>
      <c r="R53" s="72">
        <v>45840.625</v>
      </c>
      <c r="S53" s="54">
        <v>101.286</v>
      </c>
      <c r="T53" s="122">
        <v>45847.625</v>
      </c>
      <c r="U53" s="54">
        <v>122</v>
      </c>
      <c r="V53" s="72">
        <v>45916.625</v>
      </c>
      <c r="W53" s="54">
        <v>99.569000000000003</v>
      </c>
    </row>
    <row r="54" spans="2:23" x14ac:dyDescent="0.3">
      <c r="B54" s="56"/>
      <c r="C54" s="56"/>
      <c r="D54" s="56"/>
      <c r="P54" s="72">
        <v>45845.625</v>
      </c>
      <c r="Q54" s="54">
        <v>93.91</v>
      </c>
      <c r="R54" s="72">
        <v>45841.625</v>
      </c>
      <c r="S54" s="54">
        <v>101.379</v>
      </c>
      <c r="T54" s="122">
        <v>45848.625</v>
      </c>
      <c r="U54" s="54">
        <v>121.86</v>
      </c>
      <c r="V54" s="72">
        <v>45917.625</v>
      </c>
      <c r="W54" s="54">
        <v>99.600999999999999</v>
      </c>
    </row>
    <row r="55" spans="2:23" x14ac:dyDescent="0.3">
      <c r="P55" s="72">
        <v>45846.625</v>
      </c>
      <c r="Q55" s="54">
        <v>93.9</v>
      </c>
      <c r="R55" s="72">
        <v>45842.625</v>
      </c>
      <c r="S55" s="54">
        <v>101.465</v>
      </c>
      <c r="T55" s="122">
        <v>45849.625</v>
      </c>
      <c r="U55" s="54">
        <v>121.72</v>
      </c>
      <c r="V55" s="72">
        <v>45918.625</v>
      </c>
      <c r="W55" s="54">
        <v>99.516000000000005</v>
      </c>
    </row>
    <row r="56" spans="2:23" x14ac:dyDescent="0.3">
      <c r="P56" s="72">
        <v>45847.625</v>
      </c>
      <c r="Q56" s="54">
        <v>94.17</v>
      </c>
      <c r="R56" s="72">
        <v>45845.625</v>
      </c>
      <c r="S56" s="54">
        <v>101.348</v>
      </c>
      <c r="T56" s="122">
        <v>45852.625</v>
      </c>
      <c r="U56" s="54">
        <v>121.74</v>
      </c>
      <c r="V56" s="72">
        <v>45919.625</v>
      </c>
      <c r="W56" s="54">
        <v>99.414000000000001</v>
      </c>
    </row>
    <row r="57" spans="2:23" x14ac:dyDescent="0.3">
      <c r="P57" s="72">
        <v>45848.625</v>
      </c>
      <c r="Q57" s="54">
        <v>94.22</v>
      </c>
      <c r="R57" s="72">
        <v>45846.625</v>
      </c>
      <c r="S57" s="54">
        <v>101.241</v>
      </c>
      <c r="T57" s="122">
        <v>45853.625</v>
      </c>
      <c r="U57" s="54">
        <v>121.85</v>
      </c>
      <c r="V57" s="72">
        <v>45922.625</v>
      </c>
      <c r="W57" s="54">
        <v>99.441000000000003</v>
      </c>
    </row>
    <row r="58" spans="2:23" x14ac:dyDescent="0.3">
      <c r="P58" s="72">
        <v>45849.625</v>
      </c>
      <c r="Q58" s="54">
        <v>94.12</v>
      </c>
      <c r="R58" s="72">
        <v>45847.625</v>
      </c>
      <c r="S58" s="54">
        <v>101.289</v>
      </c>
      <c r="T58" s="122">
        <v>45854.625</v>
      </c>
      <c r="U58" s="54">
        <v>121.87</v>
      </c>
      <c r="V58" s="72">
        <v>45923.625</v>
      </c>
      <c r="W58" s="54">
        <v>99.381</v>
      </c>
    </row>
    <row r="59" spans="2:23" x14ac:dyDescent="0.3">
      <c r="P59" s="72">
        <v>45852.625</v>
      </c>
      <c r="Q59" s="54">
        <v>94.05</v>
      </c>
      <c r="R59" s="72">
        <v>45848.625</v>
      </c>
      <c r="S59" s="54">
        <v>101.181</v>
      </c>
      <c r="T59" s="122">
        <v>45855.625</v>
      </c>
      <c r="U59" s="54">
        <v>120.13</v>
      </c>
      <c r="V59" s="72">
        <v>45924.625</v>
      </c>
      <c r="W59" s="54">
        <v>99.414000000000001</v>
      </c>
    </row>
    <row r="60" spans="2:23" x14ac:dyDescent="0.3">
      <c r="P60" s="72">
        <v>45853.625</v>
      </c>
      <c r="Q60" s="54">
        <v>94.05</v>
      </c>
      <c r="R60" s="72">
        <v>45849.625</v>
      </c>
      <c r="S60" s="54">
        <v>101.123</v>
      </c>
      <c r="T60" s="122">
        <v>45856.625</v>
      </c>
      <c r="U60" s="54">
        <v>120.01</v>
      </c>
      <c r="V60" s="72">
        <v>45925.625</v>
      </c>
      <c r="W60" s="54">
        <v>99.263000000000005</v>
      </c>
    </row>
    <row r="61" spans="2:23" x14ac:dyDescent="0.3">
      <c r="P61" s="72">
        <v>45854.625</v>
      </c>
      <c r="Q61" s="54">
        <v>93.96</v>
      </c>
      <c r="R61" s="72">
        <v>45852.625</v>
      </c>
      <c r="S61" s="54">
        <v>101.181</v>
      </c>
      <c r="T61" s="122">
        <v>45859.625</v>
      </c>
      <c r="U61" s="54">
        <v>120.31</v>
      </c>
      <c r="V61" s="72">
        <v>45926.625</v>
      </c>
      <c r="W61" s="54">
        <v>99.38</v>
      </c>
    </row>
    <row r="62" spans="2:23" x14ac:dyDescent="0.3">
      <c r="P62" s="72">
        <v>45855.625</v>
      </c>
      <c r="Q62" s="54">
        <v>94.08</v>
      </c>
      <c r="R62" s="72">
        <v>45853.625</v>
      </c>
      <c r="S62" s="54">
        <v>101.23699999999999</v>
      </c>
      <c r="T62" s="122">
        <v>45860.625</v>
      </c>
      <c r="U62" s="54">
        <v>120.48</v>
      </c>
      <c r="V62" s="72">
        <v>45929.625</v>
      </c>
      <c r="W62" s="54">
        <v>99.456000000000003</v>
      </c>
    </row>
    <row r="63" spans="2:23" x14ac:dyDescent="0.3">
      <c r="P63" s="72">
        <v>45856.625</v>
      </c>
      <c r="Q63" s="54">
        <v>94.09</v>
      </c>
      <c r="R63" s="72">
        <v>45854.625</v>
      </c>
      <c r="S63" s="54">
        <v>101.31</v>
      </c>
      <c r="T63" s="122">
        <v>45861.625</v>
      </c>
      <c r="U63" s="54">
        <v>120.5</v>
      </c>
      <c r="V63" s="72">
        <v>45930.625</v>
      </c>
      <c r="W63" s="54">
        <v>99.484999999999999</v>
      </c>
    </row>
    <row r="64" spans="2:23" x14ac:dyDescent="0.3">
      <c r="P64" s="72">
        <v>45859.625</v>
      </c>
      <c r="Q64" s="54">
        <v>94.13</v>
      </c>
      <c r="R64" s="72">
        <v>45855.625</v>
      </c>
      <c r="S64" s="54">
        <v>101.328</v>
      </c>
      <c r="T64" s="122">
        <v>45862.625</v>
      </c>
      <c r="U64" s="54">
        <v>120.16</v>
      </c>
      <c r="V64" s="72">
        <v>45931.625</v>
      </c>
      <c r="W64" s="54">
        <v>99.536000000000001</v>
      </c>
    </row>
    <row r="65" spans="16:23" x14ac:dyDescent="0.3">
      <c r="P65" s="72">
        <v>45860.625</v>
      </c>
      <c r="Q65" s="54">
        <v>94.13</v>
      </c>
      <c r="R65" s="72">
        <v>45856.625</v>
      </c>
      <c r="S65" s="54">
        <v>101.28</v>
      </c>
      <c r="T65" s="122">
        <v>45863.625</v>
      </c>
      <c r="U65" s="54">
        <v>120.06</v>
      </c>
      <c r="V65" s="72">
        <v>45932.625</v>
      </c>
      <c r="W65" s="54">
        <v>99.51</v>
      </c>
    </row>
    <row r="66" spans="16:23" x14ac:dyDescent="0.3">
      <c r="P66" s="72">
        <v>45861.625</v>
      </c>
      <c r="Q66" s="54">
        <v>94.21</v>
      </c>
      <c r="R66" s="72">
        <v>45859.625</v>
      </c>
      <c r="S66" s="54">
        <v>101.45</v>
      </c>
      <c r="T66" s="122">
        <v>45866.625</v>
      </c>
      <c r="U66" s="54">
        <v>120.25</v>
      </c>
      <c r="V66" s="72">
        <v>45933.625</v>
      </c>
      <c r="W66" s="54">
        <v>99.492999999999995</v>
      </c>
    </row>
    <row r="67" spans="16:23" x14ac:dyDescent="0.3">
      <c r="P67" s="72">
        <v>45862.625</v>
      </c>
      <c r="Q67" s="54">
        <v>94.34</v>
      </c>
      <c r="R67" s="72">
        <v>45860.625</v>
      </c>
      <c r="S67" s="54">
        <v>101.5</v>
      </c>
      <c r="T67" s="122">
        <v>45867.625</v>
      </c>
      <c r="U67" s="54">
        <v>120.32</v>
      </c>
      <c r="V67" s="72">
        <v>45936.625</v>
      </c>
      <c r="W67" s="54">
        <v>99.536000000000001</v>
      </c>
    </row>
    <row r="68" spans="16:23" x14ac:dyDescent="0.3">
      <c r="P68" s="72">
        <v>45863.625</v>
      </c>
      <c r="Q68" s="54">
        <v>94.27</v>
      </c>
      <c r="R68" s="72">
        <v>45861.625</v>
      </c>
      <c r="S68" s="54">
        <v>101.505</v>
      </c>
      <c r="T68" s="122">
        <v>45868.625</v>
      </c>
      <c r="U68" s="54">
        <v>120.21</v>
      </c>
      <c r="V68" s="72">
        <v>45937.625</v>
      </c>
      <c r="W68" s="54">
        <v>99.483000000000004</v>
      </c>
    </row>
    <row r="69" spans="16:23" x14ac:dyDescent="0.3">
      <c r="P69" s="72">
        <v>45866.625</v>
      </c>
      <c r="Q69" s="54">
        <v>94.37</v>
      </c>
      <c r="R69" s="72">
        <v>45862.625</v>
      </c>
      <c r="S69" s="54">
        <v>101.15300000000001</v>
      </c>
      <c r="T69" s="122">
        <v>45869.625</v>
      </c>
      <c r="U69" s="54">
        <v>120.26</v>
      </c>
      <c r="V69" s="72">
        <v>45938.625</v>
      </c>
      <c r="W69" s="54">
        <v>99.673000000000002</v>
      </c>
    </row>
    <row r="70" spans="16:23" x14ac:dyDescent="0.3">
      <c r="P70" s="72">
        <v>45867.625</v>
      </c>
      <c r="Q70" s="54">
        <v>94.46</v>
      </c>
      <c r="R70" s="72">
        <v>45863.625</v>
      </c>
      <c r="S70" s="54">
        <v>101.054</v>
      </c>
      <c r="T70" s="122">
        <v>45870.625</v>
      </c>
      <c r="U70" s="54">
        <v>120.22</v>
      </c>
      <c r="V70" s="72">
        <v>45939.625</v>
      </c>
      <c r="W70" s="54">
        <v>99.552999999999997</v>
      </c>
    </row>
    <row r="71" spans="16:23" x14ac:dyDescent="0.3">
      <c r="P71" s="72">
        <v>45868.625</v>
      </c>
      <c r="Q71" s="54">
        <v>94.48</v>
      </c>
      <c r="R71" s="72">
        <v>45866.625</v>
      </c>
      <c r="S71" s="54">
        <v>101.17</v>
      </c>
      <c r="T71" s="122">
        <v>45873.625</v>
      </c>
      <c r="U71" s="54">
        <v>120.41</v>
      </c>
      <c r="V71" s="72">
        <v>45940.625</v>
      </c>
      <c r="W71" s="54">
        <v>99.754000000000005</v>
      </c>
    </row>
    <row r="72" spans="16:23" x14ac:dyDescent="0.3">
      <c r="P72" s="72">
        <v>45869.625</v>
      </c>
      <c r="Q72" s="54">
        <v>94.45</v>
      </c>
      <c r="R72" s="72">
        <v>45867.625</v>
      </c>
      <c r="S72" s="54">
        <v>101.105</v>
      </c>
      <c r="T72" s="122">
        <v>45874.625</v>
      </c>
      <c r="U72" s="54">
        <v>120.52</v>
      </c>
      <c r="V72" s="72">
        <v>45943.625</v>
      </c>
      <c r="W72" s="54">
        <v>99.923000000000002</v>
      </c>
    </row>
    <row r="73" spans="16:23" x14ac:dyDescent="0.3">
      <c r="P73" s="72">
        <v>45870.625</v>
      </c>
      <c r="Q73" s="54">
        <v>94.32</v>
      </c>
      <c r="R73" s="72">
        <v>45868.625</v>
      </c>
      <c r="S73" s="54">
        <v>101.048</v>
      </c>
      <c r="T73" s="122">
        <v>45875.625</v>
      </c>
      <c r="U73" s="54">
        <v>120.41</v>
      </c>
      <c r="V73" s="72">
        <v>45944.625</v>
      </c>
      <c r="W73" s="54">
        <v>99.977999999999994</v>
      </c>
    </row>
    <row r="74" spans="16:23" x14ac:dyDescent="0.3">
      <c r="P74" s="72">
        <v>45873.625</v>
      </c>
      <c r="Q74" s="54">
        <v>94.38</v>
      </c>
      <c r="R74" s="72">
        <v>45869.625</v>
      </c>
      <c r="S74" s="54">
        <v>101.02200000000001</v>
      </c>
      <c r="T74" s="122">
        <v>45876.625</v>
      </c>
      <c r="U74" s="54">
        <v>120.52</v>
      </c>
      <c r="V74" s="72">
        <v>45945.625</v>
      </c>
      <c r="W74" s="54">
        <v>100.18899999999999</v>
      </c>
    </row>
    <row r="75" spans="16:23" x14ac:dyDescent="0.3">
      <c r="P75" s="72">
        <v>45874.625</v>
      </c>
      <c r="Q75" s="54">
        <v>94.45</v>
      </c>
      <c r="R75" s="72">
        <v>45870.625</v>
      </c>
      <c r="S75" s="54">
        <v>101.155</v>
      </c>
      <c r="T75" s="122">
        <v>45877.625</v>
      </c>
      <c r="U75" s="54">
        <v>120.29</v>
      </c>
      <c r="V75" s="72">
        <v>45946.625</v>
      </c>
      <c r="W75" s="54">
        <v>100.14700000000001</v>
      </c>
    </row>
    <row r="76" spans="16:23" x14ac:dyDescent="0.3">
      <c r="P76" s="72">
        <v>45875.625</v>
      </c>
      <c r="Q76" s="54">
        <v>94.47</v>
      </c>
      <c r="R76" s="72">
        <v>45873.625</v>
      </c>
      <c r="S76" s="54">
        <v>101.214</v>
      </c>
      <c r="T76" s="122">
        <v>45880.625</v>
      </c>
      <c r="U76" s="54">
        <v>120.27</v>
      </c>
      <c r="V76" s="72">
        <v>45947.625</v>
      </c>
      <c r="W76" s="54">
        <v>100.146</v>
      </c>
    </row>
    <row r="77" spans="16:23" x14ac:dyDescent="0.3">
      <c r="P77" s="72">
        <v>45876.625</v>
      </c>
      <c r="Q77" s="54">
        <v>94.64</v>
      </c>
      <c r="R77" s="72">
        <v>45874.625</v>
      </c>
      <c r="S77" s="54">
        <v>101.217</v>
      </c>
      <c r="T77" s="122">
        <v>45881.625</v>
      </c>
      <c r="U77" s="54">
        <v>120.15</v>
      </c>
      <c r="V77" s="72">
        <v>45950.625</v>
      </c>
      <c r="W77" s="54">
        <v>100.10599999999999</v>
      </c>
    </row>
    <row r="78" spans="16:23" x14ac:dyDescent="0.3">
      <c r="P78" s="72">
        <v>45877.625</v>
      </c>
      <c r="Q78" s="54">
        <v>94.67</v>
      </c>
      <c r="R78" s="72">
        <v>45875.625</v>
      </c>
      <c r="S78" s="54">
        <v>101.197</v>
      </c>
      <c r="T78" s="122">
        <v>45882.625</v>
      </c>
      <c r="U78" s="54">
        <v>120.52</v>
      </c>
      <c r="V78" s="72">
        <v>45951.625</v>
      </c>
      <c r="W78" s="54">
        <v>100.206</v>
      </c>
    </row>
    <row r="79" spans="16:23" x14ac:dyDescent="0.3">
      <c r="P79" s="72">
        <v>45880.625</v>
      </c>
      <c r="Q79" s="54">
        <v>94.66</v>
      </c>
      <c r="R79" s="72">
        <v>45876.625</v>
      </c>
      <c r="S79" s="54">
        <v>101.16500000000001</v>
      </c>
      <c r="T79" s="122">
        <v>45883.625</v>
      </c>
      <c r="U79" s="54">
        <v>120.46</v>
      </c>
      <c r="V79" s="72">
        <v>45952.625</v>
      </c>
      <c r="W79" s="54">
        <v>100.13800000000001</v>
      </c>
    </row>
    <row r="80" spans="16:23" x14ac:dyDescent="0.3">
      <c r="P80" s="72">
        <v>45881.625</v>
      </c>
      <c r="Q80" s="54">
        <v>94.75</v>
      </c>
      <c r="R80" s="72">
        <v>45877.625</v>
      </c>
      <c r="S80" s="54">
        <v>101.039</v>
      </c>
      <c r="T80" s="122">
        <v>45887.625</v>
      </c>
      <c r="U80" s="54">
        <v>120.14</v>
      </c>
      <c r="V80" s="72">
        <v>45953.625</v>
      </c>
      <c r="W80" s="54">
        <v>100.104</v>
      </c>
    </row>
    <row r="81" spans="16:23" x14ac:dyDescent="0.3">
      <c r="P81" s="72">
        <v>45882.625</v>
      </c>
      <c r="Q81" s="54">
        <v>94.88</v>
      </c>
      <c r="R81" s="72">
        <v>45880.625</v>
      </c>
      <c r="S81" s="54">
        <v>101.004</v>
      </c>
      <c r="T81" s="122">
        <v>45888.625</v>
      </c>
      <c r="U81" s="54">
        <v>120.27</v>
      </c>
      <c r="V81" s="72">
        <v>45954.625</v>
      </c>
      <c r="W81" s="54">
        <v>99.841999999999999</v>
      </c>
    </row>
    <row r="82" spans="16:23" x14ac:dyDescent="0.3">
      <c r="P82" s="72">
        <v>45883.625</v>
      </c>
      <c r="Q82" s="54">
        <v>94.94</v>
      </c>
      <c r="R82" s="72">
        <v>45881.625</v>
      </c>
      <c r="S82" s="54">
        <v>100.947</v>
      </c>
      <c r="T82" s="122">
        <v>45889.625</v>
      </c>
      <c r="U82" s="54">
        <v>120.39</v>
      </c>
      <c r="V82" s="72">
        <v>45957.625</v>
      </c>
      <c r="W82" s="54">
        <v>99.850999999999999</v>
      </c>
    </row>
    <row r="83" spans="16:23" x14ac:dyDescent="0.3">
      <c r="P83" s="72">
        <v>45884.625</v>
      </c>
      <c r="Q83" s="54">
        <v>94.87</v>
      </c>
      <c r="R83" s="72">
        <v>45882.625</v>
      </c>
      <c r="S83" s="54">
        <v>101.11799999999999</v>
      </c>
      <c r="T83" s="122">
        <v>45890.625</v>
      </c>
      <c r="U83" s="54">
        <v>120.12</v>
      </c>
      <c r="V83" s="72">
        <v>45958.625</v>
      </c>
      <c r="W83" s="54">
        <v>99.867999999999995</v>
      </c>
    </row>
    <row r="84" spans="16:23" x14ac:dyDescent="0.3">
      <c r="P84" s="72">
        <v>45887.625</v>
      </c>
      <c r="Q84" s="54">
        <v>94.83</v>
      </c>
      <c r="R84" s="72">
        <v>45883.625</v>
      </c>
      <c r="S84" s="54">
        <v>101.057</v>
      </c>
      <c r="T84" s="122">
        <v>45891.625</v>
      </c>
      <c r="U84" s="54">
        <v>120.28</v>
      </c>
      <c r="V84" s="72">
        <v>45959.625</v>
      </c>
      <c r="W84" s="54">
        <v>99.85</v>
      </c>
    </row>
    <row r="85" spans="16:23" x14ac:dyDescent="0.3">
      <c r="P85" s="72">
        <v>45888.625</v>
      </c>
      <c r="Q85" s="54">
        <v>94.8</v>
      </c>
      <c r="R85" s="72">
        <v>45884.625</v>
      </c>
      <c r="S85" s="54">
        <v>100.946</v>
      </c>
      <c r="T85" s="122">
        <v>45898.625</v>
      </c>
      <c r="U85" s="54">
        <v>120.25</v>
      </c>
      <c r="V85" s="72">
        <v>45960.625</v>
      </c>
      <c r="W85" s="54">
        <v>99.772999999999996</v>
      </c>
    </row>
    <row r="86" spans="16:23" x14ac:dyDescent="0.3">
      <c r="P86" s="72">
        <v>45889.625</v>
      </c>
      <c r="Q86" s="54">
        <v>94.64</v>
      </c>
      <c r="R86" s="72">
        <v>45887.625</v>
      </c>
      <c r="S86" s="54">
        <v>100.953</v>
      </c>
      <c r="T86" s="122">
        <v>45901.625</v>
      </c>
      <c r="U86" s="54">
        <v>120.1</v>
      </c>
      <c r="V86" s="72">
        <v>45961.625</v>
      </c>
      <c r="W86" s="54">
        <v>99.798000000000002</v>
      </c>
    </row>
    <row r="87" spans="16:23" x14ac:dyDescent="0.3">
      <c r="P87" s="72">
        <v>45890.625</v>
      </c>
      <c r="Q87" s="54">
        <v>94.47</v>
      </c>
      <c r="R87" s="72">
        <v>45888.625</v>
      </c>
      <c r="S87" s="54">
        <v>100.99</v>
      </c>
      <c r="T87" s="122">
        <v>45902.625</v>
      </c>
      <c r="U87" s="54">
        <v>119.81</v>
      </c>
      <c r="V87" s="72">
        <v>45964.625</v>
      </c>
      <c r="W87" s="54">
        <v>99.748000000000005</v>
      </c>
    </row>
    <row r="88" spans="16:23" x14ac:dyDescent="0.3">
      <c r="P88" s="72">
        <v>45891.625</v>
      </c>
      <c r="Q88" s="54">
        <v>94.76</v>
      </c>
      <c r="R88" s="72">
        <v>45889.625</v>
      </c>
      <c r="S88" s="54">
        <v>101.083</v>
      </c>
      <c r="T88" s="122">
        <v>45903.625</v>
      </c>
      <c r="U88" s="54">
        <v>120.08</v>
      </c>
    </row>
    <row r="89" spans="16:23" x14ac:dyDescent="0.3">
      <c r="P89" s="72">
        <v>45895.625</v>
      </c>
      <c r="Q89" s="54">
        <v>94.59</v>
      </c>
      <c r="R89" s="72">
        <v>45890.625</v>
      </c>
      <c r="S89" s="54">
        <v>100.955</v>
      </c>
      <c r="T89" s="122">
        <v>45904.625</v>
      </c>
      <c r="U89" s="54">
        <v>120.3</v>
      </c>
    </row>
    <row r="90" spans="16:23" x14ac:dyDescent="0.3">
      <c r="P90" s="72">
        <v>45896.625</v>
      </c>
      <c r="Q90" s="54">
        <v>94.56</v>
      </c>
      <c r="R90" s="72">
        <v>45891.625</v>
      </c>
      <c r="S90" s="54">
        <v>101.027</v>
      </c>
      <c r="T90" s="122">
        <v>45905.625</v>
      </c>
      <c r="U90" s="54">
        <v>120.64</v>
      </c>
    </row>
    <row r="91" spans="16:23" x14ac:dyDescent="0.3">
      <c r="P91" s="72">
        <v>45897.625</v>
      </c>
      <c r="Q91" s="54">
        <v>94.44</v>
      </c>
      <c r="R91" s="72">
        <v>45894.625</v>
      </c>
      <c r="S91" s="54">
        <v>100.916</v>
      </c>
      <c r="T91" s="122">
        <v>45908.625</v>
      </c>
      <c r="U91" s="54">
        <v>120.74</v>
      </c>
    </row>
    <row r="92" spans="16:23" x14ac:dyDescent="0.3">
      <c r="P92" s="72">
        <v>45898.625</v>
      </c>
      <c r="Q92" s="54">
        <v>94.44</v>
      </c>
      <c r="R92" s="72">
        <v>45895.625</v>
      </c>
      <c r="S92" s="54">
        <v>101.051</v>
      </c>
      <c r="T92" s="122">
        <v>45909.625</v>
      </c>
      <c r="U92" s="54">
        <v>120.66</v>
      </c>
    </row>
    <row r="93" spans="16:23" x14ac:dyDescent="0.3">
      <c r="P93" s="72">
        <v>45901.625</v>
      </c>
      <c r="Q93" s="54">
        <v>94.4</v>
      </c>
      <c r="R93" s="72">
        <v>45896.625</v>
      </c>
      <c r="S93" s="54">
        <v>101.142</v>
      </c>
      <c r="T93" s="122">
        <v>45910.625</v>
      </c>
      <c r="U93" s="54">
        <v>120.75</v>
      </c>
    </row>
    <row r="94" spans="16:23" x14ac:dyDescent="0.3">
      <c r="P94" s="72">
        <v>45902.625</v>
      </c>
      <c r="Q94" s="54">
        <v>94.24</v>
      </c>
      <c r="R94" s="72">
        <v>45897.625</v>
      </c>
      <c r="S94" s="54">
        <v>101.092</v>
      </c>
      <c r="T94" s="122">
        <v>45911.625</v>
      </c>
      <c r="U94" s="54">
        <v>120.76</v>
      </c>
    </row>
    <row r="95" spans="16:23" x14ac:dyDescent="0.3">
      <c r="P95" s="72">
        <v>45903.625</v>
      </c>
      <c r="Q95" s="54">
        <v>94.38</v>
      </c>
      <c r="R95" s="72">
        <v>45898.625</v>
      </c>
      <c r="S95" s="54">
        <v>101.096</v>
      </c>
      <c r="T95" s="122">
        <v>45912.625</v>
      </c>
      <c r="U95" s="54">
        <v>120.63</v>
      </c>
    </row>
    <row r="96" spans="16:23" x14ac:dyDescent="0.3">
      <c r="P96" s="72">
        <v>45904.625</v>
      </c>
      <c r="Q96" s="54">
        <v>94.54</v>
      </c>
      <c r="R96" s="72">
        <v>45901.625</v>
      </c>
      <c r="S96" s="54">
        <v>101.01900000000001</v>
      </c>
      <c r="T96" s="122">
        <v>45915.625</v>
      </c>
      <c r="U96" s="54">
        <v>120.7</v>
      </c>
    </row>
    <row r="97" spans="16:21" x14ac:dyDescent="0.3">
      <c r="P97" s="72">
        <v>45905.625</v>
      </c>
      <c r="Q97" s="54">
        <v>94.64</v>
      </c>
      <c r="R97" s="72">
        <v>45902.625</v>
      </c>
      <c r="S97" s="54">
        <v>100.976</v>
      </c>
      <c r="T97" s="122">
        <v>45916.625</v>
      </c>
      <c r="U97" s="54">
        <v>120.66</v>
      </c>
    </row>
    <row r="98" spans="16:21" x14ac:dyDescent="0.3">
      <c r="P98" s="72">
        <v>45908.625</v>
      </c>
      <c r="Q98" s="54">
        <v>94.65</v>
      </c>
      <c r="R98" s="72">
        <v>45903.625</v>
      </c>
      <c r="S98" s="54">
        <v>101.038</v>
      </c>
      <c r="T98" s="122">
        <v>45917.625</v>
      </c>
      <c r="U98" s="54">
        <v>120.67</v>
      </c>
    </row>
    <row r="99" spans="16:21" x14ac:dyDescent="0.3">
      <c r="P99" s="72">
        <v>45909.625</v>
      </c>
      <c r="Q99" s="54">
        <v>94.54</v>
      </c>
      <c r="R99" s="72">
        <v>45904.625</v>
      </c>
      <c r="S99" s="54">
        <v>101.06399999999999</v>
      </c>
      <c r="T99" s="122">
        <v>45918.625</v>
      </c>
      <c r="U99" s="54">
        <v>120.7</v>
      </c>
    </row>
    <row r="100" spans="16:21" x14ac:dyDescent="0.3">
      <c r="P100" s="72">
        <v>45910.625</v>
      </c>
      <c r="Q100" s="54">
        <v>94.53</v>
      </c>
      <c r="R100" s="72">
        <v>45905.625</v>
      </c>
      <c r="S100" s="54">
        <v>101.19</v>
      </c>
      <c r="T100" s="122">
        <v>45919.625</v>
      </c>
      <c r="U100" s="54">
        <v>120.71</v>
      </c>
    </row>
    <row r="101" spans="16:21" x14ac:dyDescent="0.3">
      <c r="P101" s="72">
        <v>45911.625</v>
      </c>
      <c r="Q101" s="54">
        <v>92.29</v>
      </c>
      <c r="R101" s="72">
        <v>45908.625</v>
      </c>
      <c r="S101" s="54">
        <v>101.23099999999999</v>
      </c>
      <c r="T101" s="122">
        <v>45922.625</v>
      </c>
      <c r="U101" s="54">
        <v>120.61</v>
      </c>
    </row>
    <row r="102" spans="16:21" x14ac:dyDescent="0.3">
      <c r="P102" s="72">
        <v>45912.625</v>
      </c>
      <c r="Q102" s="54">
        <v>92.46</v>
      </c>
      <c r="R102" s="72">
        <v>45909.625</v>
      </c>
      <c r="S102" s="54">
        <v>101.163</v>
      </c>
      <c r="T102" s="122">
        <v>45923.625</v>
      </c>
      <c r="U102" s="54">
        <v>120.6</v>
      </c>
    </row>
    <row r="103" spans="16:21" x14ac:dyDescent="0.3">
      <c r="P103" s="72">
        <v>45915.625</v>
      </c>
      <c r="Q103" s="54">
        <v>92.46</v>
      </c>
      <c r="R103" s="72">
        <v>45910.625</v>
      </c>
      <c r="S103" s="54">
        <v>101.126</v>
      </c>
      <c r="T103" s="122">
        <v>45924.625</v>
      </c>
      <c r="U103" s="54">
        <v>120.67</v>
      </c>
    </row>
    <row r="104" spans="16:21" x14ac:dyDescent="0.3">
      <c r="P104" s="72">
        <v>45916.625</v>
      </c>
      <c r="Q104" s="54">
        <v>92.35</v>
      </c>
      <c r="R104" s="72">
        <v>45911.625</v>
      </c>
      <c r="S104" s="54">
        <v>101.012</v>
      </c>
      <c r="T104" s="122">
        <v>45925.625</v>
      </c>
      <c r="U104" s="54">
        <v>120.43</v>
      </c>
    </row>
    <row r="105" spans="16:21" x14ac:dyDescent="0.3">
      <c r="P105" s="72">
        <v>45917.625</v>
      </c>
      <c r="Q105" s="54">
        <v>92.39</v>
      </c>
      <c r="R105" s="72">
        <v>45912.625</v>
      </c>
      <c r="S105" s="54">
        <v>100.934</v>
      </c>
      <c r="T105" s="122">
        <v>45929.625</v>
      </c>
      <c r="U105" s="54">
        <v>120.76</v>
      </c>
    </row>
    <row r="106" spans="16:21" x14ac:dyDescent="0.3">
      <c r="P106" s="72">
        <v>45918.625</v>
      </c>
      <c r="Q106" s="54">
        <v>92.67</v>
      </c>
      <c r="R106" s="72">
        <v>45915.625</v>
      </c>
      <c r="S106" s="54">
        <v>100.944</v>
      </c>
      <c r="T106" s="122">
        <v>45930.625</v>
      </c>
      <c r="U106" s="54">
        <v>120.78</v>
      </c>
    </row>
    <row r="107" spans="16:21" x14ac:dyDescent="0.3">
      <c r="P107" s="72">
        <v>45919.625</v>
      </c>
      <c r="Q107" s="54">
        <v>92.67</v>
      </c>
      <c r="R107" s="72">
        <v>45916.625</v>
      </c>
      <c r="S107" s="54">
        <v>100.953</v>
      </c>
      <c r="T107" s="122">
        <v>45931.625</v>
      </c>
      <c r="U107" s="54">
        <v>120.85</v>
      </c>
    </row>
    <row r="108" spans="16:21" x14ac:dyDescent="0.3">
      <c r="P108" s="72">
        <v>45922.625</v>
      </c>
      <c r="Q108" s="54">
        <v>92.52</v>
      </c>
      <c r="R108" s="72">
        <v>45917.625</v>
      </c>
      <c r="S108" s="54">
        <v>100.971</v>
      </c>
      <c r="T108" s="122">
        <v>45932.625</v>
      </c>
      <c r="U108" s="54">
        <v>120.92</v>
      </c>
    </row>
    <row r="109" spans="16:21" x14ac:dyDescent="0.3">
      <c r="P109" s="72">
        <v>45923.625</v>
      </c>
      <c r="Q109" s="54">
        <v>92.67</v>
      </c>
      <c r="R109" s="72">
        <v>45918.625</v>
      </c>
      <c r="S109" s="54">
        <v>100.956</v>
      </c>
      <c r="T109" s="122">
        <v>45933.625</v>
      </c>
      <c r="U109" s="54">
        <v>120.97</v>
      </c>
    </row>
    <row r="110" spans="16:21" x14ac:dyDescent="0.3">
      <c r="P110" s="72">
        <v>45924.625</v>
      </c>
      <c r="Q110" s="54">
        <v>92.59</v>
      </c>
      <c r="R110" s="72">
        <v>45919.625</v>
      </c>
      <c r="S110" s="54">
        <v>100.904</v>
      </c>
      <c r="T110" s="122">
        <v>45936.625</v>
      </c>
      <c r="U110" s="54">
        <v>120.96</v>
      </c>
    </row>
    <row r="111" spans="16:21" x14ac:dyDescent="0.3">
      <c r="P111" s="72">
        <v>45925.625</v>
      </c>
      <c r="Q111" s="54">
        <v>92.45</v>
      </c>
      <c r="R111" s="72">
        <v>45922.625</v>
      </c>
      <c r="S111" s="54">
        <v>100.913</v>
      </c>
      <c r="T111" s="122">
        <v>45937.625</v>
      </c>
      <c r="U111" s="54">
        <v>120.93</v>
      </c>
    </row>
    <row r="112" spans="16:21" x14ac:dyDescent="0.3">
      <c r="P112" s="72">
        <v>45926.625</v>
      </c>
      <c r="Q112" s="54">
        <v>92.46</v>
      </c>
      <c r="R112" s="72">
        <v>45923.625</v>
      </c>
      <c r="S112" s="54">
        <v>100.883</v>
      </c>
      <c r="T112" s="122">
        <v>45938.625</v>
      </c>
      <c r="U112" s="54">
        <v>121.12</v>
      </c>
    </row>
    <row r="113" spans="16:21" x14ac:dyDescent="0.3">
      <c r="P113" s="72">
        <v>45929.625</v>
      </c>
      <c r="Q113" s="54">
        <v>92.5</v>
      </c>
      <c r="R113" s="72">
        <v>45924.625</v>
      </c>
      <c r="S113" s="54">
        <v>100.893</v>
      </c>
      <c r="T113" s="122">
        <v>45939.625</v>
      </c>
      <c r="U113" s="54">
        <v>120.99</v>
      </c>
    </row>
    <row r="114" spans="16:21" x14ac:dyDescent="0.3">
      <c r="P114" s="72">
        <v>45930.625</v>
      </c>
      <c r="Q114" s="54">
        <v>92.47</v>
      </c>
      <c r="R114" s="72">
        <v>45925.625</v>
      </c>
      <c r="S114" s="54">
        <v>100.822</v>
      </c>
      <c r="T114" s="122">
        <v>45940.625</v>
      </c>
      <c r="U114" s="54">
        <v>121</v>
      </c>
    </row>
    <row r="115" spans="16:21" x14ac:dyDescent="0.3">
      <c r="P115" s="72">
        <v>45931.625</v>
      </c>
      <c r="Q115" s="54">
        <v>92.57</v>
      </c>
      <c r="R115" s="72">
        <v>45926.625</v>
      </c>
      <c r="S115" s="54">
        <v>100.866</v>
      </c>
      <c r="T115" s="122">
        <v>45943.625</v>
      </c>
      <c r="U115" s="54">
        <v>121.1</v>
      </c>
    </row>
    <row r="116" spans="16:21" x14ac:dyDescent="0.3">
      <c r="P116" s="72">
        <v>45932.625</v>
      </c>
      <c r="Q116" s="54">
        <v>92.64</v>
      </c>
      <c r="R116" s="72">
        <v>45929.625</v>
      </c>
      <c r="S116" s="54">
        <v>100.89</v>
      </c>
      <c r="T116" s="122">
        <v>45944.625</v>
      </c>
      <c r="U116" s="54">
        <v>121.2</v>
      </c>
    </row>
    <row r="117" spans="16:21" x14ac:dyDescent="0.3">
      <c r="P117" s="72">
        <v>45933.625</v>
      </c>
      <c r="Q117" s="54">
        <v>92.6</v>
      </c>
      <c r="R117" s="72">
        <v>45930.625</v>
      </c>
      <c r="S117" s="54">
        <v>100.89400000000001</v>
      </c>
      <c r="T117" s="122">
        <v>45945.625</v>
      </c>
      <c r="U117" s="54">
        <v>121.62</v>
      </c>
    </row>
    <row r="118" spans="16:21" x14ac:dyDescent="0.3">
      <c r="P118" s="72">
        <v>45936.625</v>
      </c>
      <c r="Q118" s="54">
        <v>92.49</v>
      </c>
      <c r="R118" s="72">
        <v>45931.625</v>
      </c>
      <c r="S118" s="54">
        <v>100.92</v>
      </c>
      <c r="T118" s="122">
        <v>45946.625</v>
      </c>
      <c r="U118" s="54">
        <v>121.6</v>
      </c>
    </row>
    <row r="119" spans="16:21" x14ac:dyDescent="0.3">
      <c r="P119" s="72">
        <v>45937.625</v>
      </c>
      <c r="Q119" s="54">
        <v>92.19</v>
      </c>
      <c r="R119" s="72">
        <v>45932.625</v>
      </c>
      <c r="S119" s="54">
        <v>100.905</v>
      </c>
      <c r="T119" s="122">
        <v>45947.625</v>
      </c>
      <c r="U119" s="54">
        <v>121.51</v>
      </c>
    </row>
    <row r="120" spans="16:21" x14ac:dyDescent="0.3">
      <c r="P120" s="72">
        <v>45938.625</v>
      </c>
      <c r="Q120" s="54">
        <v>92.12</v>
      </c>
      <c r="R120" s="72">
        <v>45933.625</v>
      </c>
      <c r="S120" s="54">
        <v>100.893</v>
      </c>
      <c r="T120" s="122">
        <v>45950.625</v>
      </c>
      <c r="U120" s="54">
        <v>121.57</v>
      </c>
    </row>
    <row r="121" spans="16:21" x14ac:dyDescent="0.3">
      <c r="P121" s="72">
        <v>45939.625</v>
      </c>
      <c r="Q121" s="54">
        <v>92</v>
      </c>
      <c r="R121" s="72">
        <v>45936.625</v>
      </c>
      <c r="S121" s="54">
        <v>100.928</v>
      </c>
      <c r="T121" s="122">
        <v>45952.625</v>
      </c>
      <c r="U121" s="54">
        <v>121.65</v>
      </c>
    </row>
    <row r="122" spans="16:21" x14ac:dyDescent="0.3">
      <c r="P122" s="72">
        <v>45940.625</v>
      </c>
      <c r="Q122" s="54">
        <v>91.78</v>
      </c>
      <c r="R122" s="72">
        <v>45937.625</v>
      </c>
      <c r="S122" s="54">
        <v>100.908</v>
      </c>
      <c r="T122" s="122">
        <v>45953.625</v>
      </c>
      <c r="U122" s="54">
        <v>121.61</v>
      </c>
    </row>
    <row r="123" spans="16:21" x14ac:dyDescent="0.3">
      <c r="P123" s="72">
        <v>45943.625</v>
      </c>
      <c r="Q123" s="54">
        <v>91.79</v>
      </c>
      <c r="R123" s="72">
        <v>45938.625</v>
      </c>
      <c r="S123" s="54">
        <v>100.99299999999999</v>
      </c>
      <c r="T123" s="122">
        <v>45954.625</v>
      </c>
      <c r="U123" s="54">
        <v>121.49</v>
      </c>
    </row>
    <row r="124" spans="16:21" x14ac:dyDescent="0.3">
      <c r="P124" s="72">
        <v>45944.625</v>
      </c>
      <c r="Q124" s="54">
        <v>91.85</v>
      </c>
      <c r="R124" s="72">
        <v>45939.625</v>
      </c>
      <c r="S124" s="54">
        <v>100.934</v>
      </c>
      <c r="T124" s="122">
        <v>45957.625</v>
      </c>
      <c r="U124" s="54">
        <v>121.55</v>
      </c>
    </row>
    <row r="125" spans="16:21" x14ac:dyDescent="0.3">
      <c r="P125" s="72">
        <v>45945.625</v>
      </c>
      <c r="Q125" s="54">
        <v>92.38</v>
      </c>
      <c r="R125" s="72">
        <v>45940.625</v>
      </c>
      <c r="S125" s="54">
        <v>101.017</v>
      </c>
      <c r="T125" s="122">
        <v>45958.625</v>
      </c>
      <c r="U125" s="54">
        <v>121.6</v>
      </c>
    </row>
    <row r="126" spans="16:21" x14ac:dyDescent="0.3">
      <c r="P126" s="72">
        <v>45946.625</v>
      </c>
      <c r="Q126" s="54">
        <v>92.23</v>
      </c>
      <c r="R126" s="72">
        <v>45943.625</v>
      </c>
      <c r="S126" s="54">
        <v>101.122</v>
      </c>
      <c r="T126" s="122">
        <v>45959.625</v>
      </c>
      <c r="U126" s="54">
        <v>121.65</v>
      </c>
    </row>
    <row r="127" spans="16:21" x14ac:dyDescent="0.3">
      <c r="P127" s="72">
        <v>45947.625</v>
      </c>
      <c r="Q127" s="54">
        <v>92.1</v>
      </c>
      <c r="R127" s="72">
        <v>45944.625</v>
      </c>
      <c r="S127" s="54">
        <v>101.13800000000001</v>
      </c>
      <c r="T127" s="122">
        <v>45960.625</v>
      </c>
      <c r="U127" s="54">
        <v>121.55</v>
      </c>
    </row>
    <row r="128" spans="16:21" x14ac:dyDescent="0.3">
      <c r="P128" s="72">
        <v>45950.625</v>
      </c>
      <c r="Q128" s="54">
        <v>92.33</v>
      </c>
      <c r="R128" s="72">
        <v>45945.625</v>
      </c>
      <c r="S128" s="54">
        <v>101.23699999999999</v>
      </c>
      <c r="T128" s="122">
        <v>45961.625</v>
      </c>
      <c r="U128" s="54">
        <v>121.49</v>
      </c>
    </row>
    <row r="129" spans="16:21" x14ac:dyDescent="0.3">
      <c r="P129" s="72">
        <v>45952.625</v>
      </c>
      <c r="Q129" s="54">
        <v>92.37</v>
      </c>
      <c r="R129" s="72">
        <v>45946.625</v>
      </c>
      <c r="S129" s="54">
        <v>101.221</v>
      </c>
      <c r="T129" s="122">
        <v>45964.625</v>
      </c>
      <c r="U129" s="54">
        <v>121.34</v>
      </c>
    </row>
    <row r="130" spans="16:21" x14ac:dyDescent="0.3">
      <c r="P130" s="72">
        <v>45953.625</v>
      </c>
      <c r="Q130" s="54">
        <v>92.5</v>
      </c>
      <c r="R130" s="72">
        <v>45947.625</v>
      </c>
      <c r="S130" s="54">
        <v>101.253</v>
      </c>
    </row>
    <row r="131" spans="16:21" x14ac:dyDescent="0.3">
      <c r="P131" s="72">
        <v>45954.625</v>
      </c>
      <c r="Q131" s="54">
        <v>92.56</v>
      </c>
      <c r="R131" s="72">
        <v>45950.625</v>
      </c>
      <c r="S131" s="54">
        <v>101.25</v>
      </c>
    </row>
    <row r="132" spans="16:21" x14ac:dyDescent="0.3">
      <c r="P132" s="72">
        <v>45957.625</v>
      </c>
      <c r="Q132" s="54">
        <v>92.8</v>
      </c>
      <c r="R132" s="72">
        <v>45951.625</v>
      </c>
      <c r="S132" s="54">
        <v>101.289</v>
      </c>
    </row>
    <row r="133" spans="16:21" x14ac:dyDescent="0.3">
      <c r="P133" s="72">
        <v>45958.625</v>
      </c>
      <c r="Q133" s="54">
        <v>92.79</v>
      </c>
      <c r="R133" s="72">
        <v>45952.625</v>
      </c>
      <c r="S133" s="54">
        <v>101.261</v>
      </c>
    </row>
    <row r="134" spans="16:21" x14ac:dyDescent="0.3">
      <c r="P134" s="72">
        <v>45959.625</v>
      </c>
      <c r="Q134" s="54">
        <v>92.78</v>
      </c>
      <c r="R134" s="72">
        <v>45953.625</v>
      </c>
      <c r="S134" s="54">
        <v>101.229</v>
      </c>
    </row>
    <row r="135" spans="16:21" x14ac:dyDescent="0.3">
      <c r="P135" s="72">
        <v>45960.625</v>
      </c>
      <c r="Q135" s="54">
        <v>92.49</v>
      </c>
      <c r="R135" s="72">
        <v>45954.625</v>
      </c>
      <c r="S135" s="54">
        <v>101.092</v>
      </c>
    </row>
    <row r="136" spans="16:21" x14ac:dyDescent="0.3">
      <c r="P136" s="72">
        <v>45961.625</v>
      </c>
      <c r="Q136" s="54">
        <v>92.63</v>
      </c>
      <c r="R136" s="72">
        <v>45957.625</v>
      </c>
      <c r="S136" s="54">
        <v>101.077</v>
      </c>
    </row>
    <row r="137" spans="16:21" x14ac:dyDescent="0.3">
      <c r="P137" s="72">
        <v>45964.625</v>
      </c>
      <c r="Q137" s="54">
        <v>92.55</v>
      </c>
      <c r="R137" s="72">
        <v>45958.625</v>
      </c>
      <c r="S137" s="54">
        <v>101.083</v>
      </c>
    </row>
    <row r="138" spans="16:21" x14ac:dyDescent="0.3">
      <c r="R138" s="72">
        <v>45959.625</v>
      </c>
      <c r="S138" s="54">
        <v>101.07899999999999</v>
      </c>
    </row>
    <row r="139" spans="16:21" x14ac:dyDescent="0.3">
      <c r="R139" s="72">
        <v>45960.625</v>
      </c>
      <c r="S139" s="54">
        <v>101.026</v>
      </c>
    </row>
    <row r="140" spans="16:21" x14ac:dyDescent="0.3">
      <c r="R140" s="72">
        <v>45961.625</v>
      </c>
      <c r="S140" s="54">
        <v>101.04900000000001</v>
      </c>
    </row>
    <row r="141" spans="16:21" x14ac:dyDescent="0.3">
      <c r="R141" s="72">
        <v>45964.625</v>
      </c>
      <c r="S141" s="54">
        <v>101.01600000000001</v>
      </c>
    </row>
  </sheetData>
  <mergeCells count="4">
    <mergeCell ref="B12:D12"/>
    <mergeCell ref="E12:G12"/>
    <mergeCell ref="H12:J12"/>
    <mergeCell ref="K12:M12"/>
  </mergeCells>
  <conditionalFormatting sqref="N13:N32">
    <cfRule type="cellIs" dxfId="12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2E2-30FB-4041-93E7-EF55E3F5C380}">
  <dimension ref="A1:AG138"/>
  <sheetViews>
    <sheetView topLeftCell="I23" zoomScale="70" zoomScaleNormal="70" workbookViewId="0">
      <selection activeCell="A49" sqref="A49:A55"/>
    </sheetView>
  </sheetViews>
  <sheetFormatPr defaultColWidth="8.88671875" defaultRowHeight="14.4" x14ac:dyDescent="0.3"/>
  <cols>
    <col min="1" max="1" width="15.44140625" style="130" bestFit="1" customWidth="1"/>
    <col min="2" max="5" width="13.33203125" style="54" bestFit="1" customWidth="1"/>
    <col min="6" max="6" width="12.44140625" style="54" customWidth="1"/>
    <col min="7" max="7" width="13.33203125" style="54" bestFit="1" customWidth="1"/>
    <col min="8" max="8" width="10.6640625" style="54" customWidth="1"/>
    <col min="9" max="9" width="13.33203125" style="54" bestFit="1" customWidth="1"/>
    <col min="10" max="10" width="11.5546875" style="54" bestFit="1" customWidth="1"/>
    <col min="11" max="11" width="10.6640625" style="54" customWidth="1"/>
    <col min="12" max="12" width="11.5546875" style="54" bestFit="1" customWidth="1"/>
    <col min="13" max="16" width="10.6640625" style="54" customWidth="1"/>
    <col min="17" max="17" width="13.88671875" style="54" bestFit="1" customWidth="1"/>
    <col min="18" max="18" width="11.5546875" style="54" bestFit="1" customWidth="1"/>
    <col min="19" max="20" width="13.33203125" style="54" bestFit="1" customWidth="1"/>
    <col min="21" max="21" width="9.109375"/>
    <col min="22" max="22" width="17.109375" style="72" hidden="1" customWidth="1"/>
    <col min="23" max="23" width="7.6640625" style="54" hidden="1" customWidth="1"/>
    <col min="24" max="24" width="11.5546875" style="72" hidden="1" customWidth="1"/>
    <col min="25" max="25" width="13.33203125" style="54" hidden="1" customWidth="1"/>
    <col min="26" max="26" width="11.5546875" style="72" hidden="1" customWidth="1"/>
    <col min="27" max="27" width="8.88671875" style="54" hidden="1" customWidth="1"/>
    <col min="28" max="28" width="11.5546875" style="72" hidden="1" customWidth="1"/>
    <col min="29" max="29" width="13.33203125" style="54" hidden="1" customWidth="1"/>
    <col min="30" max="30" width="11.5546875" style="72" hidden="1" customWidth="1"/>
    <col min="31" max="31" width="12.33203125" style="54" hidden="1" customWidth="1"/>
    <col min="32" max="32" width="11.5546875" style="72" hidden="1" customWidth="1"/>
    <col min="33" max="33" width="12.33203125" style="54" hidden="1" customWidth="1"/>
    <col min="34" max="16384" width="8.88671875" style="54"/>
  </cols>
  <sheetData>
    <row r="1" spans="1:33" ht="15" thickBot="1" x14ac:dyDescent="0.35">
      <c r="A1" s="1"/>
      <c r="B1" s="1"/>
      <c r="C1" s="1"/>
      <c r="D1" s="1"/>
      <c r="E1" s="1"/>
      <c r="F1" s="1"/>
      <c r="G1" s="1"/>
      <c r="I1" s="116" t="s">
        <v>100</v>
      </c>
      <c r="J1" s="117">
        <v>0.625</v>
      </c>
      <c r="V1" s="53"/>
      <c r="W1" s="1"/>
      <c r="X1" s="53"/>
      <c r="Y1" s="1"/>
      <c r="Z1" s="53"/>
      <c r="AA1" s="1"/>
      <c r="AB1" s="53"/>
      <c r="AC1" s="1"/>
      <c r="AD1" s="53"/>
      <c r="AE1" s="1"/>
      <c r="AF1" s="53"/>
    </row>
    <row r="2" spans="1:33" ht="15" thickBot="1" x14ac:dyDescent="0.35">
      <c r="A2" s="30"/>
      <c r="B2" s="40" t="s">
        <v>0</v>
      </c>
      <c r="C2" s="44" t="s">
        <v>1</v>
      </c>
      <c r="D2" s="68" t="s">
        <v>1</v>
      </c>
      <c r="E2" s="74" t="s">
        <v>0</v>
      </c>
      <c r="F2" s="68" t="s">
        <v>0</v>
      </c>
      <c r="G2" s="69" t="s">
        <v>0</v>
      </c>
      <c r="V2" s="99" t="s">
        <v>0</v>
      </c>
      <c r="W2" s="1"/>
      <c r="X2" s="100" t="s">
        <v>1</v>
      </c>
      <c r="Y2" s="2"/>
      <c r="Z2" s="101" t="s">
        <v>1</v>
      </c>
      <c r="AA2" s="1"/>
      <c r="AB2" s="102" t="s">
        <v>0</v>
      </c>
      <c r="AD2" s="103" t="s">
        <v>0</v>
      </c>
      <c r="AF2" s="98" t="s">
        <v>0</v>
      </c>
    </row>
    <row r="3" spans="1:33" x14ac:dyDescent="0.3">
      <c r="A3" s="15" t="s">
        <v>32</v>
      </c>
      <c r="B3" s="61" t="s">
        <v>64</v>
      </c>
      <c r="C3" s="70" t="s">
        <v>66</v>
      </c>
      <c r="D3" s="70" t="s">
        <v>67</v>
      </c>
      <c r="E3" s="70" t="s">
        <v>66</v>
      </c>
      <c r="F3" s="70" t="s">
        <v>68</v>
      </c>
      <c r="G3" s="62" t="s">
        <v>69</v>
      </c>
      <c r="I3" s="91" t="s">
        <v>80</v>
      </c>
      <c r="J3" s="83" t="s">
        <v>64</v>
      </c>
      <c r="K3" s="84" t="s">
        <v>67</v>
      </c>
      <c r="V3" s="52" cm="1">
        <f t="array" ref="V3:W138">_xll.BDH(B4, "LAST_PRICE", "01/01/2025 15:00:00", "01/01/2035 16:00:00", "BarSize=60", "BarType=T", "RecurDaily=True", "TZ=New_York")</f>
        <v>45768.625</v>
      </c>
      <c r="W3" s="1">
        <v>77.31</v>
      </c>
      <c r="X3" s="52" cm="1">
        <f t="array" ref="X3:Y50">_xll.BDH(C4, "LAST_PRICE", "01/01/2025 15:00:00", "01/01/2035 16:00:00", "BarSize=60", "BarType=T", "RecurDaily=True", "TZ=New_York")</f>
        <v>45896.625</v>
      </c>
      <c r="Y3" s="46">
        <v>99.6484375</v>
      </c>
      <c r="Z3" s="52" cm="1">
        <f t="array" ref="Z3:AA138">_xll.BDH(D4, "LAST_PRICE", "01/01/2025 15:00:00", "01/01/2035 16:00:00", "BarSize=60", "BarType=T", "RecurDaily=True", "TZ=New_York")</f>
        <v>45768.625</v>
      </c>
      <c r="AA3" s="1">
        <v>105.6</v>
      </c>
      <c r="AB3" s="52" cm="1">
        <f t="array" ref="AB3:AC50">_xll.BDH(E4, "LAST_PRICE", "01/01/2025 15:00:00", "01/01/2035 16:00:00", "BarSize=60", "BarType=T", "RecurDaily=True", "TZ=New_York")</f>
        <v>45896.625</v>
      </c>
      <c r="AC3" s="54">
        <v>99.6484375</v>
      </c>
      <c r="AD3" s="52" cm="1">
        <f t="array" ref="AD3:AE65">_xll.BDH(F4, "LAST_PRICE", "01/01/2025 15:00:00", "01/01/2035 16:00:00", "BarSize=60", "BarType=T", "RecurDaily=True", "TZ=New_York")</f>
        <v>45875.625</v>
      </c>
      <c r="AE3" s="54">
        <v>100.140625</v>
      </c>
      <c r="AF3" s="52" cm="1">
        <f t="array" ref="AF3:AG64">_xll.BDH(G4, "LAST_PRICE", "01/01/2025 15:00:00", "01/01/2035 16:00:00", "BarSize=60", "BarType=T", "RecurDaily=True", "TZ=New_York")</f>
        <v>45876.625</v>
      </c>
      <c r="AG3" s="54">
        <v>98.9375</v>
      </c>
    </row>
    <row r="4" spans="1:33" ht="32.25" customHeight="1" thickBot="1" x14ac:dyDescent="0.35">
      <c r="A4" s="15" t="s">
        <v>33</v>
      </c>
      <c r="B4" s="63" t="s">
        <v>65</v>
      </c>
      <c r="C4" s="41" t="s">
        <v>73</v>
      </c>
      <c r="D4" s="41" t="s">
        <v>70</v>
      </c>
      <c r="E4" s="41" t="s">
        <v>73</v>
      </c>
      <c r="F4" s="41" t="s">
        <v>72</v>
      </c>
      <c r="G4" s="42" t="s">
        <v>71</v>
      </c>
      <c r="I4" s="85"/>
      <c r="J4" s="86">
        <f>B5/B14</f>
        <v>431220.35360068991</v>
      </c>
      <c r="K4" s="87">
        <f>D5/H14</f>
        <v>320241.96059244761</v>
      </c>
      <c r="V4" s="72">
        <v>45769.625</v>
      </c>
      <c r="W4" s="54">
        <v>77.61</v>
      </c>
      <c r="X4" s="72">
        <v>45897.625</v>
      </c>
      <c r="Y4" s="54">
        <v>99.6953125</v>
      </c>
      <c r="Z4" s="72">
        <v>45769.625</v>
      </c>
      <c r="AA4" s="54">
        <v>105.86</v>
      </c>
      <c r="AB4" s="72">
        <v>45897.625</v>
      </c>
      <c r="AC4" s="54">
        <v>99.6953125</v>
      </c>
      <c r="AD4" s="72">
        <v>45876.625</v>
      </c>
      <c r="AE4" s="54">
        <v>100.0625</v>
      </c>
      <c r="AF4" s="72">
        <v>45877.625</v>
      </c>
      <c r="AG4" s="54">
        <v>98.4375</v>
      </c>
    </row>
    <row r="5" spans="1:33" ht="15" thickBot="1" x14ac:dyDescent="0.35">
      <c r="A5" s="15" t="s">
        <v>8</v>
      </c>
      <c r="B5" s="64">
        <f>35*10^6</f>
        <v>35000000</v>
      </c>
      <c r="C5" s="7">
        <f>19.5*10^6</f>
        <v>19500000</v>
      </c>
      <c r="D5" s="7">
        <f>36*10^6</f>
        <v>36000000</v>
      </c>
      <c r="E5" s="7">
        <f>17*10^6</f>
        <v>17000000</v>
      </c>
      <c r="F5" s="7">
        <f>7.5*10^6</f>
        <v>7500000</v>
      </c>
      <c r="G5" s="8">
        <f>10.5*10^6</f>
        <v>10500000</v>
      </c>
      <c r="I5" s="53"/>
      <c r="J5" s="1"/>
      <c r="K5" s="53"/>
      <c r="V5" s="72">
        <v>45770.625</v>
      </c>
      <c r="W5" s="54">
        <v>78</v>
      </c>
      <c r="X5" s="72">
        <v>45898.625</v>
      </c>
      <c r="Y5" s="54">
        <v>99.703125</v>
      </c>
      <c r="Z5" s="72">
        <v>45770.625</v>
      </c>
      <c r="AA5" s="54">
        <v>106.33</v>
      </c>
      <c r="AB5" s="72">
        <v>45898.625</v>
      </c>
      <c r="AC5" s="54">
        <v>99.703125</v>
      </c>
      <c r="AD5" s="72">
        <v>45877.625</v>
      </c>
      <c r="AE5" s="54">
        <v>99.734375</v>
      </c>
      <c r="AF5" s="72">
        <v>45880.625</v>
      </c>
      <c r="AG5" s="54">
        <v>98.53125</v>
      </c>
    </row>
    <row r="6" spans="1:33" x14ac:dyDescent="0.3">
      <c r="A6" s="15" t="s">
        <v>10</v>
      </c>
      <c r="B6" s="66">
        <v>0</v>
      </c>
      <c r="C6" s="71">
        <f>(3+5/8)*0.01</f>
        <v>3.6249999999999998E-2</v>
      </c>
      <c r="D6" s="71">
        <v>0</v>
      </c>
      <c r="E6" s="71">
        <f>(3+5/8)*0.01</f>
        <v>3.6249999999999998E-2</v>
      </c>
      <c r="F6" s="71">
        <v>4.2500000000000003E-2</v>
      </c>
      <c r="G6" s="10">
        <v>4.7500000000000001E-2</v>
      </c>
      <c r="I6" s="92" t="s">
        <v>79</v>
      </c>
      <c r="J6" s="70" t="s">
        <v>64</v>
      </c>
      <c r="K6" s="88" t="s">
        <v>67</v>
      </c>
      <c r="V6" s="72">
        <v>45771.625</v>
      </c>
      <c r="W6" s="54">
        <v>78.62</v>
      </c>
      <c r="X6" s="72">
        <v>45901.625</v>
      </c>
      <c r="Y6" s="54">
        <v>99.6796875</v>
      </c>
      <c r="Z6" s="72">
        <v>45771.625</v>
      </c>
      <c r="AA6" s="54">
        <v>107.38</v>
      </c>
      <c r="AB6" s="72">
        <v>45901.625</v>
      </c>
      <c r="AC6" s="54">
        <v>99.6796875</v>
      </c>
      <c r="AD6" s="72">
        <v>45880.625</v>
      </c>
      <c r="AE6" s="54">
        <v>99.8125</v>
      </c>
      <c r="AF6" s="72">
        <v>45881.625</v>
      </c>
      <c r="AG6" s="54">
        <v>98</v>
      </c>
    </row>
    <row r="7" spans="1:33" ht="15" thickBot="1" x14ac:dyDescent="0.35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71">
        <v>4.2299999999999997E-2</v>
      </c>
      <c r="F7" s="71">
        <v>4.2299999999999997E-2</v>
      </c>
      <c r="G7" s="10">
        <v>4.2299999999999997E-2</v>
      </c>
      <c r="I7" s="76"/>
      <c r="J7" s="21">
        <v>0.38100000000000001</v>
      </c>
      <c r="K7" s="89">
        <v>0.40600000000000003</v>
      </c>
      <c r="L7" s="1"/>
      <c r="P7" s="1"/>
      <c r="T7" s="1"/>
      <c r="V7" s="72">
        <v>45772.625</v>
      </c>
      <c r="W7" s="54">
        <v>78.77</v>
      </c>
      <c r="X7" s="72">
        <v>45902.625</v>
      </c>
      <c r="Y7" s="54">
        <v>99.53125</v>
      </c>
      <c r="Z7" s="72">
        <v>45772.625</v>
      </c>
      <c r="AA7" s="54">
        <v>107.99</v>
      </c>
      <c r="AB7" s="72">
        <v>45902.625</v>
      </c>
      <c r="AC7" s="54">
        <v>99.53125</v>
      </c>
      <c r="AD7" s="72">
        <v>45881.625</v>
      </c>
      <c r="AE7" s="54">
        <v>99.6875</v>
      </c>
      <c r="AF7" s="72">
        <v>45882.625</v>
      </c>
      <c r="AG7" s="54">
        <v>98.796875</v>
      </c>
    </row>
    <row r="8" spans="1:33" ht="15" thickBot="1" x14ac:dyDescent="0.35">
      <c r="A8" s="15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53"/>
      <c r="J8" s="1"/>
      <c r="K8" s="53"/>
      <c r="L8" s="1"/>
      <c r="P8" s="1"/>
      <c r="T8" s="1"/>
      <c r="V8" s="72">
        <v>45775.625</v>
      </c>
      <c r="W8" s="54">
        <v>78.81</v>
      </c>
      <c r="X8" s="72">
        <v>45903.625</v>
      </c>
      <c r="Y8" s="54">
        <v>99.6796875</v>
      </c>
      <c r="Z8" s="72">
        <v>45775.625</v>
      </c>
      <c r="AA8" s="54">
        <v>108.24</v>
      </c>
      <c r="AB8" s="72">
        <v>45903.625</v>
      </c>
      <c r="AC8" s="54">
        <v>99.6796875</v>
      </c>
      <c r="AD8" s="72">
        <v>45882.625</v>
      </c>
      <c r="AE8" s="54">
        <v>100.125</v>
      </c>
      <c r="AF8" s="72">
        <v>45883.625</v>
      </c>
      <c r="AG8" s="54">
        <v>98.03125</v>
      </c>
    </row>
    <row r="9" spans="1:33" ht="15" thickBot="1" x14ac:dyDescent="0.35">
      <c r="A9" s="15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93" t="s">
        <v>81</v>
      </c>
      <c r="J9" s="90">
        <f>J4*J7-K4*K7</f>
        <v>34276.718721329118</v>
      </c>
      <c r="K9" s="53"/>
      <c r="L9" s="1"/>
      <c r="P9" s="1"/>
      <c r="Q9" s="53"/>
      <c r="R9" s="1"/>
      <c r="S9" s="53"/>
      <c r="T9" s="1"/>
      <c r="V9" s="72">
        <v>45776.625</v>
      </c>
      <c r="W9" s="54">
        <v>79.02</v>
      </c>
      <c r="X9" s="72">
        <v>45904.625</v>
      </c>
      <c r="Y9" s="54">
        <v>99.9140625</v>
      </c>
      <c r="Z9" s="72">
        <v>45776.625</v>
      </c>
      <c r="AA9" s="54">
        <v>108.49</v>
      </c>
      <c r="AB9" s="72">
        <v>45904.625</v>
      </c>
      <c r="AC9" s="54">
        <v>99.9140625</v>
      </c>
      <c r="AD9" s="72">
        <v>45883.625</v>
      </c>
      <c r="AE9" s="54">
        <v>99.703125</v>
      </c>
      <c r="AF9" s="72">
        <v>45884.625</v>
      </c>
      <c r="AG9" s="54">
        <v>97.375</v>
      </c>
    </row>
    <row r="10" spans="1:33" ht="15" thickBot="1" x14ac:dyDescent="0.35">
      <c r="A10" s="16" t="s">
        <v>28</v>
      </c>
      <c r="B10" s="11" cm="1">
        <f t="array" ref="B10">_xll.BDP(B4,"px_last")</f>
        <v>80.290000000000006</v>
      </c>
      <c r="C10" s="21" cm="1">
        <f t="array" ref="C10">_xll.BDP(C4,"px_last")</f>
        <v>99.640625</v>
      </c>
      <c r="D10" s="21" cm="1">
        <f t="array" ref="D10">_xll.BDP(D4,"px_last")</f>
        <v>110.48</v>
      </c>
      <c r="E10" s="21" cm="1">
        <f t="array" ref="E10">_xll.BDP(E4,"px_last")</f>
        <v>99.640625</v>
      </c>
      <c r="F10" s="21" cm="1">
        <f t="array" ref="F10">_xll.BDP(F4,"px_last")</f>
        <v>101.140625</v>
      </c>
      <c r="G10" s="22" cm="1">
        <f t="array" ref="G10">_xll.BDP(G4,"px_last")</f>
        <v>100.890625</v>
      </c>
      <c r="H10" s="1"/>
      <c r="I10" s="53"/>
      <c r="J10" s="1"/>
      <c r="K10" s="53"/>
      <c r="L10" s="1"/>
      <c r="M10" s="53"/>
      <c r="N10" s="1"/>
      <c r="O10" s="53"/>
      <c r="P10" s="1"/>
      <c r="Q10" s="53"/>
      <c r="R10" s="1"/>
      <c r="S10" s="53"/>
      <c r="T10" s="1"/>
      <c r="V10" s="72">
        <v>45777.625</v>
      </c>
      <c r="W10" s="54">
        <v>78.599999999999994</v>
      </c>
      <c r="X10" s="72">
        <v>45905.625</v>
      </c>
      <c r="Y10" s="54">
        <v>100.1328125</v>
      </c>
      <c r="Z10" s="72">
        <v>45777.625</v>
      </c>
      <c r="AA10" s="54">
        <v>108</v>
      </c>
      <c r="AB10" s="72">
        <v>45905.625</v>
      </c>
      <c r="AC10" s="54">
        <v>100.1328125</v>
      </c>
      <c r="AD10" s="72">
        <v>45884.625</v>
      </c>
      <c r="AE10" s="54">
        <v>99.4375</v>
      </c>
      <c r="AF10" s="72">
        <v>45887.625</v>
      </c>
      <c r="AG10" s="54">
        <v>97.078125</v>
      </c>
    </row>
    <row r="11" spans="1:33" ht="15" thickBot="1" x14ac:dyDescent="0.35">
      <c r="A11" s="54"/>
      <c r="C11" s="1"/>
      <c r="D11" s="1"/>
      <c r="E11" s="1"/>
      <c r="F11" s="1"/>
      <c r="G11" s="1"/>
      <c r="H11" s="1"/>
      <c r="I11" s="53"/>
      <c r="J11" s="1"/>
      <c r="K11" s="53"/>
      <c r="L11" s="1"/>
      <c r="M11" s="53"/>
      <c r="N11" s="1"/>
      <c r="O11" s="53"/>
      <c r="P11" s="1"/>
      <c r="Q11" s="53"/>
      <c r="R11" s="1"/>
      <c r="S11" s="53"/>
      <c r="T11" s="1"/>
      <c r="V11" s="72">
        <v>45778.625</v>
      </c>
      <c r="W11" s="54">
        <v>78.3</v>
      </c>
      <c r="X11" s="72">
        <v>45908.625</v>
      </c>
      <c r="Y11" s="54">
        <v>100.265625</v>
      </c>
      <c r="Z11" s="72">
        <v>45778.625</v>
      </c>
      <c r="AA11" s="54">
        <v>107.17</v>
      </c>
      <c r="AB11" s="72">
        <v>45908.625</v>
      </c>
      <c r="AC11" s="54">
        <v>100.265625</v>
      </c>
      <c r="AD11" s="72">
        <v>45887.625</v>
      </c>
      <c r="AE11" s="54">
        <v>99.3125</v>
      </c>
      <c r="AF11" s="72">
        <v>45888.625</v>
      </c>
      <c r="AG11" s="54">
        <v>97.640625</v>
      </c>
    </row>
    <row r="12" spans="1:33" ht="15" thickBot="1" x14ac:dyDescent="0.35">
      <c r="A12" s="39" t="s">
        <v>22</v>
      </c>
      <c r="B12" s="169" t="s">
        <v>0</v>
      </c>
      <c r="C12" s="170"/>
      <c r="D12" s="170"/>
      <c r="E12" s="175" t="s">
        <v>1</v>
      </c>
      <c r="F12" s="176"/>
      <c r="G12" s="177"/>
      <c r="H12" s="172" t="s">
        <v>1</v>
      </c>
      <c r="I12" s="183"/>
      <c r="J12" s="174"/>
      <c r="K12" s="184" t="s">
        <v>0</v>
      </c>
      <c r="L12" s="185"/>
      <c r="M12" s="186"/>
      <c r="N12" s="172" t="s">
        <v>0</v>
      </c>
      <c r="O12" s="183"/>
      <c r="P12" s="174"/>
      <c r="Q12" s="181" t="s">
        <v>0</v>
      </c>
      <c r="R12" s="179"/>
      <c r="S12" s="182"/>
      <c r="T12" s="39" t="s">
        <v>16</v>
      </c>
      <c r="V12" s="72">
        <v>45779.625</v>
      </c>
      <c r="W12" s="54">
        <v>78.540000000000006</v>
      </c>
      <c r="X12" s="72">
        <v>45909.625</v>
      </c>
      <c r="Y12" s="54">
        <v>100.09375</v>
      </c>
      <c r="Z12" s="72">
        <v>45779.625</v>
      </c>
      <c r="AA12" s="54">
        <v>106.91</v>
      </c>
      <c r="AB12" s="72">
        <v>45909.625</v>
      </c>
      <c r="AC12" s="54">
        <v>100.09375</v>
      </c>
      <c r="AD12" s="72">
        <v>45888.625</v>
      </c>
      <c r="AE12" s="54">
        <v>99.59375</v>
      </c>
      <c r="AF12" s="72">
        <v>45889.625</v>
      </c>
      <c r="AG12" s="54">
        <v>97.796875</v>
      </c>
    </row>
    <row r="13" spans="1:33" ht="15" thickBot="1" x14ac:dyDescent="0.35">
      <c r="A13" s="16"/>
      <c r="B13" s="11" t="s">
        <v>17</v>
      </c>
      <c r="C13" s="21" t="s">
        <v>21</v>
      </c>
      <c r="D13" s="21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75" t="s">
        <v>21</v>
      </c>
      <c r="J13" s="22" t="s">
        <v>20</v>
      </c>
      <c r="K13" s="76" t="s">
        <v>17</v>
      </c>
      <c r="L13" s="21" t="s">
        <v>21</v>
      </c>
      <c r="M13" s="77" t="s">
        <v>20</v>
      </c>
      <c r="N13" s="11" t="s">
        <v>17</v>
      </c>
      <c r="O13" s="75" t="s">
        <v>21</v>
      </c>
      <c r="P13" s="22" t="s">
        <v>20</v>
      </c>
      <c r="Q13" s="76" t="s">
        <v>17</v>
      </c>
      <c r="R13" s="21" t="s">
        <v>21</v>
      </c>
      <c r="S13" s="77" t="s">
        <v>20</v>
      </c>
      <c r="T13" s="96"/>
      <c r="V13" s="72">
        <v>45782.625</v>
      </c>
      <c r="W13" s="54">
        <v>78.510000000000005</v>
      </c>
      <c r="X13" s="72">
        <v>45910.625</v>
      </c>
      <c r="Y13" s="54">
        <v>100.1640625</v>
      </c>
      <c r="Z13" s="72">
        <v>45782.625</v>
      </c>
      <c r="AA13" s="54">
        <v>106.76</v>
      </c>
      <c r="AB13" s="72">
        <v>45910.625</v>
      </c>
      <c r="AC13" s="54">
        <v>100.1640625</v>
      </c>
      <c r="AD13" s="72">
        <v>45889.625</v>
      </c>
      <c r="AE13" s="54">
        <v>99.71875</v>
      </c>
      <c r="AF13" s="72">
        <v>45890.625</v>
      </c>
      <c r="AG13" s="54">
        <v>97.328125</v>
      </c>
    </row>
    <row r="14" spans="1:33" x14ac:dyDescent="0.3">
      <c r="A14" s="128">
        <v>45915</v>
      </c>
      <c r="B14" s="45">
        <v>81.165000000000006</v>
      </c>
      <c r="C14" s="46"/>
      <c r="D14" s="46"/>
      <c r="E14" s="45">
        <f>100+3/32+3/4*1/32</f>
        <v>100.1171875</v>
      </c>
      <c r="F14" s="46"/>
      <c r="G14" s="47"/>
      <c r="H14" s="45">
        <v>112.41500000000001</v>
      </c>
      <c r="I14" s="46"/>
      <c r="J14" s="47"/>
      <c r="K14" s="45">
        <f>100+3/32+3/4*1/32</f>
        <v>100.1171875</v>
      </c>
      <c r="L14" s="46"/>
      <c r="M14" s="47"/>
      <c r="N14" s="45">
        <f>101+24/32+3/4*1/32</f>
        <v>101.7734375</v>
      </c>
      <c r="O14" s="46"/>
      <c r="P14" s="47"/>
      <c r="Q14" s="45">
        <f>101+20/32+3/4*1/32</f>
        <v>101.6484375</v>
      </c>
      <c r="R14" s="46"/>
      <c r="S14" s="47"/>
      <c r="T14" s="79">
        <v>0</v>
      </c>
      <c r="V14" s="72">
        <v>45783.625</v>
      </c>
      <c r="W14" s="54">
        <v>78.45</v>
      </c>
      <c r="X14" s="72">
        <v>45911.625</v>
      </c>
      <c r="Y14" s="54">
        <v>100.1640625</v>
      </c>
      <c r="Z14" s="72">
        <v>45783.625</v>
      </c>
      <c r="AA14" s="54">
        <v>106.97</v>
      </c>
      <c r="AB14" s="72">
        <v>45911.625</v>
      </c>
      <c r="AC14" s="54">
        <v>100.1640625</v>
      </c>
      <c r="AD14" s="72">
        <v>45890.625</v>
      </c>
      <c r="AE14" s="54">
        <v>99.390625</v>
      </c>
      <c r="AF14" s="72">
        <v>45891.625</v>
      </c>
      <c r="AG14" s="54">
        <v>97.953125</v>
      </c>
    </row>
    <row r="15" spans="1:33" x14ac:dyDescent="0.3">
      <c r="A15" s="128">
        <v>45916</v>
      </c>
      <c r="B15" s="45">
        <f t="shared" ref="B15:B36" si="0">VLOOKUP($A15+$J$1,V:W,2)</f>
        <v>81.13</v>
      </c>
      <c r="C15" s="46">
        <f t="shared" ref="C15" si="1">(B15/$B$14-1)*$B$5</f>
        <v>-15092.712376026941</v>
      </c>
      <c r="D15" s="46">
        <f t="shared" ref="D15" si="2">-1*(A15-$A$14)/360*$B$7*$B$5</f>
        <v>-4112.5</v>
      </c>
      <c r="E15" s="45">
        <f t="shared" ref="E15:E36" si="3">VLOOKUP($A15+$J$1,X:Y,2)</f>
        <v>100.15625</v>
      </c>
      <c r="F15" s="46">
        <f t="shared" ref="F15" si="4">(E15-$E$14)/100*$C$5</f>
        <v>7617.1875</v>
      </c>
      <c r="G15" s="47">
        <f t="shared" ref="G15" si="5">(A15-$A$14)/360*$C$6*$C$5-(A15-$A$14)/360*$C$7*$C$5*$E$14/100</f>
        <v>-330.39339192708326</v>
      </c>
      <c r="H15" s="45">
        <f t="shared" ref="H15:H36" si="6">VLOOKUP($A15+$J$1,Z:AA,2)</f>
        <v>112.26</v>
      </c>
      <c r="I15" s="46">
        <f t="shared" ref="I15" si="7">(H15/$H$14-1)*$D$5</f>
        <v>-49637.503891829307</v>
      </c>
      <c r="J15" s="47">
        <f t="shared" ref="J15" si="8">-1*(A15-$A$14)/360*$D$7*$D$5</f>
        <v>-4230</v>
      </c>
      <c r="K15" s="45">
        <f t="shared" ref="K15:K36" si="9">VLOOKUP($A15+$J$1,AB:AC,2)</f>
        <v>100.15625</v>
      </c>
      <c r="L15" s="46">
        <f t="shared" ref="L15" si="10">(K15-$K$14)/100*$E$5</f>
        <v>6640.625</v>
      </c>
      <c r="M15" s="47">
        <f t="shared" ref="M15" si="11">(A15-$A$14)/360*$E$6*$E$5-(A15-$A$14)/360*$E$7*$E$5*$N$14/100</f>
        <v>-321.11885850694443</v>
      </c>
      <c r="N15" s="45">
        <f t="shared" ref="N15:N36" si="12">VLOOKUP($A15+$J$1,AD:AE,2)</f>
        <v>101.765625</v>
      </c>
      <c r="O15" s="46">
        <f t="shared" ref="O15" si="13">(N15-$N$14)/100*$F$5</f>
        <v>-585.9375</v>
      </c>
      <c r="P15" s="47">
        <f t="shared" ref="P15" si="14">(A15-$A$14)/360*$F$6*$F$5-(A15-$A$14)/360*$F$7*$F$5*$N$14/100</f>
        <v>-11.461751302083258</v>
      </c>
      <c r="Q15" s="45">
        <f t="shared" ref="Q15:Q36" si="15">VLOOKUP($A15+$J$1,AF:AG,2)</f>
        <v>101.578125</v>
      </c>
      <c r="R15" s="46">
        <f t="shared" ref="R15" si="16">(Q15-$Q$14)/100*$G$5</f>
        <v>-7382.8125</v>
      </c>
      <c r="S15" s="47">
        <f t="shared" ref="S15" si="17">(A15-$A$14)/360*$G$6*$G$5-(A15-$A$14)/360*$G$7*$G$5*$Q$14/100</f>
        <v>131.32906901041679</v>
      </c>
      <c r="T15" s="79">
        <f>C15+D15-F15-G15-I15-J15+L15+M15+O15+P15+R15+S15</f>
        <v>25846.120866930833</v>
      </c>
      <c r="V15" s="72">
        <v>45784.625</v>
      </c>
      <c r="W15" s="54">
        <v>78.52</v>
      </c>
      <c r="X15" s="72">
        <v>45912.625</v>
      </c>
      <c r="Y15" s="54">
        <v>99.9921875</v>
      </c>
      <c r="Z15" s="72">
        <v>45784.625</v>
      </c>
      <c r="AA15" s="54">
        <v>107.19</v>
      </c>
      <c r="AB15" s="72">
        <v>45912.625</v>
      </c>
      <c r="AC15" s="54">
        <v>99.9921875</v>
      </c>
      <c r="AD15" s="72">
        <v>45891.625</v>
      </c>
      <c r="AE15" s="54">
        <v>99.953125</v>
      </c>
      <c r="AF15" s="72">
        <v>45894.625</v>
      </c>
      <c r="AG15" s="54">
        <v>97.71875</v>
      </c>
    </row>
    <row r="16" spans="1:33" x14ac:dyDescent="0.3">
      <c r="A16" s="128">
        <v>45917</v>
      </c>
      <c r="B16" s="45">
        <f t="shared" si="0"/>
        <v>81.05</v>
      </c>
      <c r="C16" s="46">
        <f t="shared" ref="C16:C45" si="18">(B16/$B$14-1)*$B$5</f>
        <v>-49590.340664082411</v>
      </c>
      <c r="D16" s="46">
        <f t="shared" ref="D16:D45" si="19">-1*(A16-$A$14)/360*$B$7*$B$5</f>
        <v>-8225</v>
      </c>
      <c r="E16" s="45">
        <f t="shared" si="3"/>
        <v>99.953125</v>
      </c>
      <c r="F16" s="46">
        <f t="shared" ref="F16:F45" si="20">(E16-$E$14)/100*$C$5</f>
        <v>-31992.1875</v>
      </c>
      <c r="G16" s="47">
        <f t="shared" ref="G16:G45" si="21">(A16-$A$14)/360*$C$6*$C$5-(A16-$A$14)/360*$C$7*$C$5*$E$14/100</f>
        <v>-660.78678385416652</v>
      </c>
      <c r="H16" s="45">
        <f t="shared" si="6"/>
        <v>112.06</v>
      </c>
      <c r="I16" s="46">
        <f t="shared" ref="I16:I45" si="22">(H16/$H$14-1)*$D$5</f>
        <v>-113685.8960103213</v>
      </c>
      <c r="J16" s="47">
        <f t="shared" ref="J16:J45" si="23">-1*(A16-$A$14)/360*$D$7*$D$5</f>
        <v>-8460</v>
      </c>
      <c r="K16" s="45">
        <f t="shared" si="9"/>
        <v>99.953125</v>
      </c>
      <c r="L16" s="46">
        <f t="shared" ref="L16:L45" si="24">(K16-$K$14)/100*$E$5</f>
        <v>-27890.625</v>
      </c>
      <c r="M16" s="47">
        <f t="shared" ref="M16:M45" si="25">(A16-$A$14)/360*$E$6*$E$5-(A16-$A$14)/360*$E$7*$E$5*$N$14/100</f>
        <v>-642.23771701388887</v>
      </c>
      <c r="N16" s="45">
        <f t="shared" si="12"/>
        <v>101.5</v>
      </c>
      <c r="O16" s="46">
        <f t="shared" ref="O16:O45" si="26">(N16-$N$14)/100*$F$5</f>
        <v>-20507.8125</v>
      </c>
      <c r="P16" s="47">
        <f t="shared" ref="P16:P45" si="27">(A16-$A$14)/360*$F$6*$F$5-(A16-$A$14)/360*$F$7*$F$5*$N$14/100</f>
        <v>-22.923502604166515</v>
      </c>
      <c r="Q16" s="45">
        <f t="shared" si="15"/>
        <v>101.375</v>
      </c>
      <c r="R16" s="46">
        <f t="shared" ref="R16:R45" si="28">(Q16-$Q$14)/100*$G$5</f>
        <v>-28710.937499999996</v>
      </c>
      <c r="S16" s="47">
        <f t="shared" ref="S16:S45" si="29">(A16-$A$14)/360*$G$6*$G$5-(A16-$A$14)/360*$G$7*$G$5*$Q$14/100</f>
        <v>262.65813802083358</v>
      </c>
      <c r="T16" s="79">
        <f t="shared" ref="T16:T25" si="30">C16+D16-F16-G16-I16-J16+L16+M16+O16+P16+R16+S16</f>
        <v>19471.651548495844</v>
      </c>
      <c r="V16" s="72">
        <v>45785.625</v>
      </c>
      <c r="W16" s="54">
        <v>78.5</v>
      </c>
      <c r="X16" s="72">
        <v>45915.625</v>
      </c>
      <c r="Y16" s="54">
        <v>100.09375</v>
      </c>
      <c r="Z16" s="72">
        <v>45785.625</v>
      </c>
      <c r="AA16" s="54">
        <v>106.65</v>
      </c>
      <c r="AB16" s="72">
        <v>45915.625</v>
      </c>
      <c r="AC16" s="54">
        <v>100.09375</v>
      </c>
      <c r="AD16" s="72">
        <v>45894.625</v>
      </c>
      <c r="AE16" s="54">
        <v>99.765625</v>
      </c>
      <c r="AF16" s="72">
        <v>45895.625</v>
      </c>
      <c r="AG16" s="54">
        <v>97.59375</v>
      </c>
    </row>
    <row r="17" spans="1:33" x14ac:dyDescent="0.3">
      <c r="A17" s="128">
        <v>45918</v>
      </c>
      <c r="B17" s="45">
        <f t="shared" si="0"/>
        <v>81.23</v>
      </c>
      <c r="C17" s="46">
        <f t="shared" si="18"/>
        <v>28029.322984043371</v>
      </c>
      <c r="D17" s="46">
        <f t="shared" si="19"/>
        <v>-12337.499999999998</v>
      </c>
      <c r="E17" s="45">
        <f t="shared" si="3"/>
        <v>99.7890625</v>
      </c>
      <c r="F17" s="46">
        <f t="shared" si="20"/>
        <v>-63984.375</v>
      </c>
      <c r="G17" s="47">
        <f t="shared" si="21"/>
        <v>-991.18017578125</v>
      </c>
      <c r="H17" s="45">
        <f t="shared" si="6"/>
        <v>111.83</v>
      </c>
      <c r="I17" s="46">
        <f t="shared" si="22"/>
        <v>-187341.54694658311</v>
      </c>
      <c r="J17" s="47">
        <f t="shared" si="23"/>
        <v>-12689.999999999998</v>
      </c>
      <c r="K17" s="45">
        <f t="shared" si="9"/>
        <v>99.7890625</v>
      </c>
      <c r="L17" s="46">
        <f t="shared" si="24"/>
        <v>-55781.25</v>
      </c>
      <c r="M17" s="47">
        <f t="shared" si="25"/>
        <v>-963.35657552083285</v>
      </c>
      <c r="N17" s="45">
        <f t="shared" si="12"/>
        <v>101.09375</v>
      </c>
      <c r="O17" s="46">
        <f t="shared" si="26"/>
        <v>-50976.5625</v>
      </c>
      <c r="P17" s="47">
        <f t="shared" si="27"/>
        <v>-34.385253906249545</v>
      </c>
      <c r="Q17" s="45">
        <f t="shared" si="15"/>
        <v>100.328125</v>
      </c>
      <c r="R17" s="46">
        <f t="shared" si="28"/>
        <v>-138632.8125</v>
      </c>
      <c r="S17" s="47">
        <f t="shared" si="29"/>
        <v>393.98720703125036</v>
      </c>
      <c r="T17" s="79">
        <f t="shared" si="30"/>
        <v>34704.545484011898</v>
      </c>
      <c r="V17" s="72">
        <v>45786.625</v>
      </c>
      <c r="W17" s="54">
        <v>78.55</v>
      </c>
      <c r="X17" s="72">
        <v>45916.625</v>
      </c>
      <c r="Y17" s="54">
        <v>100.15625</v>
      </c>
      <c r="Z17" s="72">
        <v>45786.625</v>
      </c>
      <c r="AA17" s="54">
        <v>106.61</v>
      </c>
      <c r="AB17" s="72">
        <v>45916.625</v>
      </c>
      <c r="AC17" s="54">
        <v>100.15625</v>
      </c>
      <c r="AD17" s="72">
        <v>45895.625</v>
      </c>
      <c r="AE17" s="54">
        <v>99.984375</v>
      </c>
      <c r="AF17" s="72">
        <v>45896.625</v>
      </c>
      <c r="AG17" s="54">
        <v>97.453125</v>
      </c>
    </row>
    <row r="18" spans="1:33" x14ac:dyDescent="0.3">
      <c r="A18" s="128">
        <v>45919</v>
      </c>
      <c r="B18" s="45">
        <f t="shared" si="0"/>
        <v>81.260000000000005</v>
      </c>
      <c r="C18" s="46">
        <f t="shared" si="18"/>
        <v>40965.933592067573</v>
      </c>
      <c r="D18" s="46">
        <f t="shared" si="19"/>
        <v>-16450</v>
      </c>
      <c r="E18" s="45">
        <f t="shared" si="3"/>
        <v>99.7734375</v>
      </c>
      <c r="F18" s="46">
        <f t="shared" si="20"/>
        <v>-67031.25</v>
      </c>
      <c r="G18" s="47">
        <f t="shared" si="21"/>
        <v>-1321.573567708333</v>
      </c>
      <c r="H18" s="45">
        <f t="shared" si="6"/>
        <v>111.74</v>
      </c>
      <c r="I18" s="46">
        <f t="shared" si="22"/>
        <v>-216163.3233999045</v>
      </c>
      <c r="J18" s="47">
        <f t="shared" si="23"/>
        <v>-16920</v>
      </c>
      <c r="K18" s="45">
        <f t="shared" si="9"/>
        <v>99.7734375</v>
      </c>
      <c r="L18" s="46">
        <f t="shared" si="24"/>
        <v>-58437.5</v>
      </c>
      <c r="M18" s="47">
        <f t="shared" si="25"/>
        <v>-1284.4754340277777</v>
      </c>
      <c r="N18" s="45">
        <f t="shared" si="12"/>
        <v>101.015625</v>
      </c>
      <c r="O18" s="46">
        <f t="shared" si="26"/>
        <v>-56835.9375</v>
      </c>
      <c r="P18" s="47">
        <f t="shared" si="27"/>
        <v>-45.84700520833303</v>
      </c>
      <c r="Q18" s="45">
        <f t="shared" si="15"/>
        <v>100.125</v>
      </c>
      <c r="R18" s="46">
        <f t="shared" si="28"/>
        <v>-159960.9375</v>
      </c>
      <c r="S18" s="47">
        <f t="shared" si="29"/>
        <v>525.31627604166715</v>
      </c>
      <c r="T18" s="79">
        <f t="shared" si="30"/>
        <v>49912.69939648595</v>
      </c>
      <c r="V18" s="72">
        <v>45789.625</v>
      </c>
      <c r="W18" s="54">
        <v>79.33</v>
      </c>
      <c r="X18" s="72">
        <v>45917.625</v>
      </c>
      <c r="Y18" s="54">
        <v>99.953125</v>
      </c>
      <c r="Z18" s="72">
        <v>45789.625</v>
      </c>
      <c r="AA18" s="54">
        <v>106.59</v>
      </c>
      <c r="AB18" s="72">
        <v>45917.625</v>
      </c>
      <c r="AC18" s="54">
        <v>99.953125</v>
      </c>
      <c r="AD18" s="72">
        <v>45896.625</v>
      </c>
      <c r="AE18" s="54">
        <v>100.125</v>
      </c>
      <c r="AF18" s="72">
        <v>45897.625</v>
      </c>
      <c r="AG18" s="54">
        <v>98.078125</v>
      </c>
    </row>
    <row r="19" spans="1:33" x14ac:dyDescent="0.3">
      <c r="A19" s="128">
        <v>45922</v>
      </c>
      <c r="B19" s="45">
        <f t="shared" si="0"/>
        <v>81.319999999999993</v>
      </c>
      <c r="C19" s="46">
        <f t="shared" si="18"/>
        <v>66839.154808100429</v>
      </c>
      <c r="D19" s="46">
        <f t="shared" si="19"/>
        <v>-28787.5</v>
      </c>
      <c r="E19" s="45">
        <f t="shared" si="3"/>
        <v>99.65625</v>
      </c>
      <c r="F19" s="46">
        <f t="shared" si="20"/>
        <v>-89882.8125</v>
      </c>
      <c r="G19" s="47">
        <f t="shared" si="21"/>
        <v>-2312.7537434895839</v>
      </c>
      <c r="H19" s="45">
        <f t="shared" si="6"/>
        <v>111.48</v>
      </c>
      <c r="I19" s="46">
        <f t="shared" si="22"/>
        <v>-299426.23315394012</v>
      </c>
      <c r="J19" s="47">
        <f t="shared" si="23"/>
        <v>-29610</v>
      </c>
      <c r="K19" s="45">
        <f t="shared" si="9"/>
        <v>99.65625</v>
      </c>
      <c r="L19" s="46">
        <f t="shared" si="24"/>
        <v>-78359.375</v>
      </c>
      <c r="M19" s="47">
        <f t="shared" si="25"/>
        <v>-2247.8320095486106</v>
      </c>
      <c r="N19" s="45">
        <f t="shared" si="12"/>
        <v>100.8125</v>
      </c>
      <c r="O19" s="46">
        <f t="shared" si="26"/>
        <v>-72070.3125</v>
      </c>
      <c r="P19" s="47">
        <f t="shared" si="27"/>
        <v>-80.23225911458303</v>
      </c>
      <c r="Q19" s="45">
        <f t="shared" si="15"/>
        <v>99.734375</v>
      </c>
      <c r="R19" s="46">
        <f t="shared" si="28"/>
        <v>-200976.56250000003</v>
      </c>
      <c r="S19" s="47">
        <f t="shared" si="29"/>
        <v>919.30348307291752</v>
      </c>
      <c r="T19" s="79">
        <f t="shared" si="30"/>
        <v>106468.44341993982</v>
      </c>
      <c r="V19" s="72">
        <v>45790.625</v>
      </c>
      <c r="W19" s="54">
        <v>79.47</v>
      </c>
      <c r="X19" s="72">
        <v>45918.625</v>
      </c>
      <c r="Y19" s="54">
        <v>99.7890625</v>
      </c>
      <c r="Z19" s="72">
        <v>45790.625</v>
      </c>
      <c r="AA19" s="54">
        <v>106.68</v>
      </c>
      <c r="AB19" s="72">
        <v>45918.625</v>
      </c>
      <c r="AC19" s="54">
        <v>99.7890625</v>
      </c>
      <c r="AD19" s="72">
        <v>45897.625</v>
      </c>
      <c r="AE19" s="54">
        <v>100.375</v>
      </c>
      <c r="AF19" s="72">
        <v>45898.625</v>
      </c>
      <c r="AG19" s="54">
        <v>97.34375</v>
      </c>
    </row>
    <row r="20" spans="1:33" x14ac:dyDescent="0.3">
      <c r="A20" s="128">
        <v>45923</v>
      </c>
      <c r="B20" s="45">
        <f t="shared" si="0"/>
        <v>81.260000000000005</v>
      </c>
      <c r="C20" s="46">
        <f t="shared" si="18"/>
        <v>40965.933592067573</v>
      </c>
      <c r="D20" s="46">
        <f t="shared" si="19"/>
        <v>-32900</v>
      </c>
      <c r="E20" s="45">
        <f t="shared" si="3"/>
        <v>99.796875</v>
      </c>
      <c r="F20" s="46">
        <f t="shared" si="20"/>
        <v>-62460.937499999993</v>
      </c>
      <c r="G20" s="47">
        <f t="shared" si="21"/>
        <v>-2643.1471354166661</v>
      </c>
      <c r="H20" s="45">
        <f t="shared" si="6"/>
        <v>111.71</v>
      </c>
      <c r="I20" s="46">
        <f t="shared" si="22"/>
        <v>-225770.58221767831</v>
      </c>
      <c r="J20" s="47">
        <f t="shared" si="23"/>
        <v>-33840</v>
      </c>
      <c r="K20" s="45">
        <f t="shared" si="9"/>
        <v>99.796875</v>
      </c>
      <c r="L20" s="46">
        <f t="shared" si="24"/>
        <v>-54453.125</v>
      </c>
      <c r="M20" s="47">
        <f t="shared" si="25"/>
        <v>-2568.9508680555555</v>
      </c>
      <c r="N20" s="45">
        <f t="shared" si="12"/>
        <v>101.140625</v>
      </c>
      <c r="O20" s="46">
        <f t="shared" si="26"/>
        <v>-47460.9375</v>
      </c>
      <c r="P20" s="47">
        <f t="shared" si="27"/>
        <v>-91.69401041666606</v>
      </c>
      <c r="Q20" s="45">
        <f t="shared" si="15"/>
        <v>100.421875</v>
      </c>
      <c r="R20" s="46">
        <f t="shared" si="28"/>
        <v>-128789.0625</v>
      </c>
      <c r="S20" s="47">
        <f t="shared" si="29"/>
        <v>1050.6325520833343</v>
      </c>
      <c r="T20" s="79">
        <f t="shared" si="30"/>
        <v>100467.46311877367</v>
      </c>
      <c r="V20" s="72">
        <v>45791.625</v>
      </c>
      <c r="W20" s="54">
        <v>79.180000000000007</v>
      </c>
      <c r="X20" s="72">
        <v>45919.625</v>
      </c>
      <c r="Y20" s="54">
        <v>99.7734375</v>
      </c>
      <c r="Z20" s="72">
        <v>45791.625</v>
      </c>
      <c r="AA20" s="54">
        <v>106.18</v>
      </c>
      <c r="AB20" s="72">
        <v>45919.625</v>
      </c>
      <c r="AC20" s="54">
        <v>99.7734375</v>
      </c>
      <c r="AD20" s="72">
        <v>45898.625</v>
      </c>
      <c r="AE20" s="54">
        <v>100.21875</v>
      </c>
      <c r="AF20" s="72">
        <v>45901.625</v>
      </c>
      <c r="AG20" s="54">
        <v>97.234375</v>
      </c>
    </row>
    <row r="21" spans="1:33" x14ac:dyDescent="0.3">
      <c r="A21" s="128">
        <v>45924</v>
      </c>
      <c r="B21" s="45">
        <f t="shared" si="0"/>
        <v>81.150000000000006</v>
      </c>
      <c r="C21" s="46">
        <f t="shared" si="18"/>
        <v>-6468.3053040121004</v>
      </c>
      <c r="D21" s="46">
        <f t="shared" si="19"/>
        <v>-37012.5</v>
      </c>
      <c r="E21" s="45">
        <f t="shared" si="3"/>
        <v>99.6015625</v>
      </c>
      <c r="F21" s="46">
        <f t="shared" si="20"/>
        <v>-100546.875</v>
      </c>
      <c r="G21" s="47">
        <f t="shared" si="21"/>
        <v>-2973.54052734375</v>
      </c>
      <c r="H21" s="45">
        <f t="shared" si="6"/>
        <v>111.26</v>
      </c>
      <c r="I21" s="46">
        <f t="shared" si="22"/>
        <v>-369879.46448427736</v>
      </c>
      <c r="J21" s="47">
        <f t="shared" si="23"/>
        <v>-38070</v>
      </c>
      <c r="K21" s="45">
        <f t="shared" si="9"/>
        <v>99.6015625</v>
      </c>
      <c r="L21" s="46">
        <f t="shared" si="24"/>
        <v>-87656.25</v>
      </c>
      <c r="M21" s="47">
        <f t="shared" si="25"/>
        <v>-2890.0697265625004</v>
      </c>
      <c r="N21" s="45">
        <f t="shared" si="12"/>
        <v>100.859375</v>
      </c>
      <c r="O21" s="46">
        <f t="shared" si="26"/>
        <v>-68554.6875</v>
      </c>
      <c r="P21" s="47">
        <f t="shared" si="27"/>
        <v>-103.15576171875</v>
      </c>
      <c r="Q21" s="45">
        <f t="shared" si="15"/>
        <v>100.015625</v>
      </c>
      <c r="R21" s="46">
        <f t="shared" si="28"/>
        <v>-171445.3125</v>
      </c>
      <c r="S21" s="47">
        <f t="shared" si="29"/>
        <v>1181.9616210937511</v>
      </c>
      <c r="T21" s="79">
        <f t="shared" si="30"/>
        <v>138521.56084042153</v>
      </c>
      <c r="V21" s="72">
        <v>45792.625</v>
      </c>
      <c r="W21" s="54">
        <v>79.33</v>
      </c>
      <c r="X21" s="72">
        <v>45922.625</v>
      </c>
      <c r="Y21" s="54">
        <v>99.65625</v>
      </c>
      <c r="Z21" s="72">
        <v>45792.625</v>
      </c>
      <c r="AA21" s="54">
        <v>106.9</v>
      </c>
      <c r="AB21" s="72">
        <v>45922.625</v>
      </c>
      <c r="AC21" s="54">
        <v>99.65625</v>
      </c>
      <c r="AD21" s="72">
        <v>45901.625</v>
      </c>
      <c r="AE21" s="54">
        <v>100.171875</v>
      </c>
      <c r="AF21" s="72">
        <v>45902.625</v>
      </c>
      <c r="AG21" s="54">
        <v>96.65625</v>
      </c>
    </row>
    <row r="22" spans="1:33" x14ac:dyDescent="0.3">
      <c r="A22" s="128">
        <v>45925</v>
      </c>
      <c r="B22" s="45">
        <f t="shared" si="0"/>
        <v>80.92</v>
      </c>
      <c r="C22" s="46">
        <f t="shared" si="18"/>
        <v>-105648.98663216915</v>
      </c>
      <c r="D22" s="46">
        <f t="shared" si="19"/>
        <v>-41124.999999999993</v>
      </c>
      <c r="E22" s="45">
        <f t="shared" si="3"/>
        <v>99.390625</v>
      </c>
      <c r="F22" s="46">
        <f t="shared" si="20"/>
        <v>-141679.6875</v>
      </c>
      <c r="G22" s="47">
        <f t="shared" si="21"/>
        <v>-3303.9339192708285</v>
      </c>
      <c r="H22" s="45">
        <f t="shared" si="6"/>
        <v>111.06</v>
      </c>
      <c r="I22" s="46">
        <f t="shared" si="22"/>
        <v>-433927.85660276935</v>
      </c>
      <c r="J22" s="47">
        <f t="shared" si="23"/>
        <v>-42299.999999999993</v>
      </c>
      <c r="K22" s="45">
        <f t="shared" si="9"/>
        <v>99.390625</v>
      </c>
      <c r="L22" s="46">
        <f t="shared" si="24"/>
        <v>-123515.625</v>
      </c>
      <c r="M22" s="47">
        <f t="shared" si="25"/>
        <v>-3211.1885850694416</v>
      </c>
      <c r="N22" s="45">
        <f t="shared" si="12"/>
        <v>100.640625</v>
      </c>
      <c r="O22" s="46">
        <f t="shared" si="26"/>
        <v>-84960.9375</v>
      </c>
      <c r="P22" s="47">
        <f t="shared" si="27"/>
        <v>-114.61751302083212</v>
      </c>
      <c r="Q22" s="45">
        <f t="shared" si="15"/>
        <v>100.03125</v>
      </c>
      <c r="R22" s="46">
        <f t="shared" si="28"/>
        <v>-169804.6875</v>
      </c>
      <c r="S22" s="47">
        <f t="shared" si="29"/>
        <v>1313.2906901041697</v>
      </c>
      <c r="T22" s="79">
        <f t="shared" si="30"/>
        <v>94143.725981884971</v>
      </c>
      <c r="V22" s="72">
        <v>45793.625</v>
      </c>
      <c r="W22" s="54">
        <v>79.42</v>
      </c>
      <c r="X22" s="72">
        <v>45923.625</v>
      </c>
      <c r="Y22" s="54">
        <v>99.796875</v>
      </c>
      <c r="Z22" s="72">
        <v>45793.625</v>
      </c>
      <c r="AA22" s="54">
        <v>107.1</v>
      </c>
      <c r="AB22" s="72">
        <v>45923.625</v>
      </c>
      <c r="AC22" s="54">
        <v>99.796875</v>
      </c>
      <c r="AD22" s="72">
        <v>45902.625</v>
      </c>
      <c r="AE22" s="54">
        <v>99.859375</v>
      </c>
      <c r="AF22" s="72">
        <v>45903.625</v>
      </c>
      <c r="AG22" s="54">
        <v>97.671875</v>
      </c>
    </row>
    <row r="23" spans="1:33" x14ac:dyDescent="0.3">
      <c r="A23" s="128">
        <v>45926</v>
      </c>
      <c r="B23" s="45">
        <f t="shared" si="0"/>
        <v>81.08</v>
      </c>
      <c r="C23" s="46">
        <f t="shared" si="18"/>
        <v>-36653.730056062093</v>
      </c>
      <c r="D23" s="46">
        <f t="shared" si="19"/>
        <v>-45237.499999999993</v>
      </c>
      <c r="E23" s="45">
        <f t="shared" si="3"/>
        <v>99.3828125</v>
      </c>
      <c r="F23" s="46">
        <f t="shared" si="20"/>
        <v>-143203.125</v>
      </c>
      <c r="G23" s="47">
        <f t="shared" si="21"/>
        <v>-3634.3273111979179</v>
      </c>
      <c r="H23" s="45">
        <f t="shared" si="6"/>
        <v>111.21</v>
      </c>
      <c r="I23" s="46">
        <f t="shared" si="22"/>
        <v>-385891.56251390436</v>
      </c>
      <c r="J23" s="47">
        <f t="shared" si="23"/>
        <v>-46529.999999999993</v>
      </c>
      <c r="K23" s="45">
        <f t="shared" si="9"/>
        <v>99.3828125</v>
      </c>
      <c r="L23" s="46">
        <f t="shared" si="24"/>
        <v>-124843.75</v>
      </c>
      <c r="M23" s="47">
        <f t="shared" si="25"/>
        <v>-3532.3074435763847</v>
      </c>
      <c r="N23" s="45">
        <f t="shared" si="12"/>
        <v>100.5625</v>
      </c>
      <c r="O23" s="46">
        <f t="shared" si="26"/>
        <v>-90820.3125</v>
      </c>
      <c r="P23" s="47">
        <f t="shared" si="27"/>
        <v>-126.07926432291606</v>
      </c>
      <c r="Q23" s="45">
        <f t="shared" si="15"/>
        <v>99.90625</v>
      </c>
      <c r="R23" s="46">
        <f t="shared" si="28"/>
        <v>-182929.6875</v>
      </c>
      <c r="S23" s="47">
        <f t="shared" si="29"/>
        <v>1444.6197591145847</v>
      </c>
      <c r="T23" s="79">
        <f t="shared" si="30"/>
        <v>96560.267820255438</v>
      </c>
      <c r="V23" s="72">
        <v>45796.625</v>
      </c>
      <c r="W23" s="54">
        <v>79.38</v>
      </c>
      <c r="X23" s="72">
        <v>45924.625</v>
      </c>
      <c r="Y23" s="54">
        <v>99.6015625</v>
      </c>
      <c r="Z23" s="72">
        <v>45796.625</v>
      </c>
      <c r="AA23" s="54">
        <v>107.11</v>
      </c>
      <c r="AB23" s="72">
        <v>45924.625</v>
      </c>
      <c r="AC23" s="54">
        <v>99.6015625</v>
      </c>
      <c r="AD23" s="72">
        <v>45903.625</v>
      </c>
      <c r="AE23" s="54">
        <v>100.234375</v>
      </c>
      <c r="AF23" s="72">
        <v>45904.625</v>
      </c>
      <c r="AG23" s="54">
        <v>98.296875</v>
      </c>
    </row>
    <row r="24" spans="1:33" x14ac:dyDescent="0.3">
      <c r="A24" s="128">
        <v>45929</v>
      </c>
      <c r="B24" s="45">
        <f t="shared" si="0"/>
        <v>81.22</v>
      </c>
      <c r="C24" s="46">
        <f t="shared" si="18"/>
        <v>23717.119448037894</v>
      </c>
      <c r="D24" s="46">
        <f t="shared" si="19"/>
        <v>-57575</v>
      </c>
      <c r="E24" s="45">
        <f t="shared" si="3"/>
        <v>99.4921875</v>
      </c>
      <c r="F24" s="46">
        <f t="shared" si="20"/>
        <v>-121875</v>
      </c>
      <c r="G24" s="47">
        <f t="shared" si="21"/>
        <v>-4625.5074869791679</v>
      </c>
      <c r="H24" s="45">
        <f t="shared" si="6"/>
        <v>111.58</v>
      </c>
      <c r="I24" s="46">
        <f t="shared" si="22"/>
        <v>-267402.03709469811</v>
      </c>
      <c r="J24" s="47">
        <f t="shared" si="23"/>
        <v>-59220</v>
      </c>
      <c r="K24" s="45">
        <f t="shared" si="9"/>
        <v>99.4921875</v>
      </c>
      <c r="L24" s="46">
        <f t="shared" si="24"/>
        <v>-106250</v>
      </c>
      <c r="M24" s="47">
        <f t="shared" si="25"/>
        <v>-4495.6640190972212</v>
      </c>
      <c r="N24" s="45">
        <f t="shared" si="12"/>
        <v>100.875</v>
      </c>
      <c r="O24" s="46">
        <f t="shared" si="26"/>
        <v>-67382.8125</v>
      </c>
      <c r="P24" s="47">
        <f t="shared" si="27"/>
        <v>-160.46451822916606</v>
      </c>
      <c r="Q24" s="45">
        <f t="shared" si="15"/>
        <v>100.65625</v>
      </c>
      <c r="R24" s="46">
        <f t="shared" si="28"/>
        <v>-104179.6875</v>
      </c>
      <c r="S24" s="47">
        <f t="shared" si="29"/>
        <v>1838.606966145835</v>
      </c>
      <c r="T24" s="79">
        <f t="shared" si="30"/>
        <v>138634.64245853462</v>
      </c>
      <c r="V24" s="72">
        <v>45797.625</v>
      </c>
      <c r="W24" s="54">
        <v>79.34</v>
      </c>
      <c r="X24" s="72">
        <v>45925.625</v>
      </c>
      <c r="Y24" s="54">
        <v>99.390625</v>
      </c>
      <c r="Z24" s="72">
        <v>45797.625</v>
      </c>
      <c r="AA24" s="54">
        <v>106.86</v>
      </c>
      <c r="AB24" s="72">
        <v>45925.625</v>
      </c>
      <c r="AC24" s="54">
        <v>99.390625</v>
      </c>
      <c r="AD24" s="72">
        <v>45904.625</v>
      </c>
      <c r="AE24" s="54">
        <v>100.71875</v>
      </c>
      <c r="AF24" s="72">
        <v>45905.625</v>
      </c>
      <c r="AG24" s="54">
        <v>99.6875</v>
      </c>
    </row>
    <row r="25" spans="1:33" x14ac:dyDescent="0.3">
      <c r="A25" s="128">
        <v>45930</v>
      </c>
      <c r="B25" s="45">
        <f t="shared" si="0"/>
        <v>81.19</v>
      </c>
      <c r="C25" s="46">
        <f t="shared" si="18"/>
        <v>10780.508840013692</v>
      </c>
      <c r="D25" s="46">
        <f t="shared" si="19"/>
        <v>-61687.499999999993</v>
      </c>
      <c r="E25" s="45">
        <f t="shared" si="3"/>
        <v>99.5078125</v>
      </c>
      <c r="F25" s="46">
        <f t="shared" si="20"/>
        <v>-118828.125</v>
      </c>
      <c r="G25" s="47">
        <f t="shared" si="21"/>
        <v>-4955.9008789062464</v>
      </c>
      <c r="H25" s="45">
        <f t="shared" si="6"/>
        <v>111.47</v>
      </c>
      <c r="I25" s="46">
        <f t="shared" si="22"/>
        <v>-302628.65275986475</v>
      </c>
      <c r="J25" s="47">
        <f t="shared" si="23"/>
        <v>-63449.999999999993</v>
      </c>
      <c r="K25" s="45">
        <f t="shared" si="9"/>
        <v>99.5078125</v>
      </c>
      <c r="L25" s="46">
        <f t="shared" si="24"/>
        <v>-103593.75</v>
      </c>
      <c r="M25" s="47">
        <f t="shared" si="25"/>
        <v>-4816.7828776041679</v>
      </c>
      <c r="N25" s="45">
        <f t="shared" si="12"/>
        <v>100.828125</v>
      </c>
      <c r="O25" s="46">
        <f t="shared" si="26"/>
        <v>-70898.4375</v>
      </c>
      <c r="P25" s="47">
        <f t="shared" si="27"/>
        <v>-171.92626953124636</v>
      </c>
      <c r="Q25" s="45">
        <f t="shared" si="15"/>
        <v>100.390625</v>
      </c>
      <c r="R25" s="46">
        <f t="shared" si="28"/>
        <v>-132070.3125</v>
      </c>
      <c r="S25" s="47">
        <f t="shared" si="29"/>
        <v>1969.93603515625</v>
      </c>
      <c r="T25" s="79">
        <f t="shared" si="30"/>
        <v>129374.41436680552</v>
      </c>
      <c r="V25" s="72">
        <v>45798.625</v>
      </c>
      <c r="W25" s="54">
        <v>78.81</v>
      </c>
      <c r="X25" s="72">
        <v>45926.625</v>
      </c>
      <c r="Y25" s="54">
        <v>99.3828125</v>
      </c>
      <c r="Z25" s="72">
        <v>45798.625</v>
      </c>
      <c r="AA25" s="54">
        <v>105.66</v>
      </c>
      <c r="AB25" s="72">
        <v>45926.625</v>
      </c>
      <c r="AC25" s="54">
        <v>99.3828125</v>
      </c>
      <c r="AD25" s="72">
        <v>45905.625</v>
      </c>
      <c r="AE25" s="54">
        <v>101.3125</v>
      </c>
      <c r="AF25" s="72">
        <v>45908.625</v>
      </c>
      <c r="AG25" s="54">
        <v>101</v>
      </c>
    </row>
    <row r="26" spans="1:33" x14ac:dyDescent="0.3">
      <c r="A26" s="128">
        <v>45931</v>
      </c>
      <c r="B26" s="45">
        <f t="shared" si="0"/>
        <v>80.959999999999994</v>
      </c>
      <c r="C26" s="46">
        <f t="shared" si="18"/>
        <v>-88400.172488147247</v>
      </c>
      <c r="D26" s="46">
        <f t="shared" si="19"/>
        <v>-65800</v>
      </c>
      <c r="E26" s="45">
        <f t="shared" si="3"/>
        <v>99.765625</v>
      </c>
      <c r="F26" s="46">
        <f t="shared" si="20"/>
        <v>-68554.6875</v>
      </c>
      <c r="G26" s="47">
        <f t="shared" si="21"/>
        <v>-5286.2942708333321</v>
      </c>
      <c r="H26" s="45">
        <f t="shared" si="6"/>
        <v>111.51</v>
      </c>
      <c r="I26" s="46">
        <f t="shared" si="22"/>
        <v>-289818.97433616634</v>
      </c>
      <c r="J26" s="47">
        <f t="shared" si="23"/>
        <v>-67680</v>
      </c>
      <c r="K26" s="45">
        <f t="shared" si="9"/>
        <v>99.765625</v>
      </c>
      <c r="L26" s="46">
        <f t="shared" si="24"/>
        <v>-59765.625</v>
      </c>
      <c r="M26" s="47">
        <f t="shared" si="25"/>
        <v>-5137.9017361111109</v>
      </c>
      <c r="N26" s="45">
        <f t="shared" si="12"/>
        <v>101.171875</v>
      </c>
      <c r="O26" s="46">
        <f t="shared" si="26"/>
        <v>-45117.1875</v>
      </c>
      <c r="P26" s="47">
        <f t="shared" si="27"/>
        <v>-183.38802083333212</v>
      </c>
      <c r="Q26" s="45">
        <f t="shared" si="15"/>
        <v>100.578125</v>
      </c>
      <c r="R26" s="46">
        <f t="shared" si="28"/>
        <v>-112382.81250000001</v>
      </c>
      <c r="S26" s="47">
        <f t="shared" si="29"/>
        <v>2101.2651041666686</v>
      </c>
      <c r="T26" s="79">
        <f t="shared" ref="T26:T36" si="31">C26+D26-F26-G26-I26-J26+L26+M26+O26+P26+R26+S26+$J$9</f>
        <v>90930.852687403749</v>
      </c>
      <c r="V26" s="72">
        <v>45799.625</v>
      </c>
      <c r="W26" s="54">
        <v>78.97</v>
      </c>
      <c r="X26" s="72">
        <v>45929.625</v>
      </c>
      <c r="Y26" s="54">
        <v>99.4921875</v>
      </c>
      <c r="Z26" s="72">
        <v>45799.625</v>
      </c>
      <c r="AA26" s="54">
        <v>106.2</v>
      </c>
      <c r="AB26" s="72">
        <v>45929.625</v>
      </c>
      <c r="AC26" s="54">
        <v>99.4921875</v>
      </c>
      <c r="AD26" s="72">
        <v>45908.625</v>
      </c>
      <c r="AE26" s="54">
        <v>101.6875</v>
      </c>
      <c r="AF26" s="72">
        <v>45909.625</v>
      </c>
      <c r="AG26" s="54">
        <v>100.4375</v>
      </c>
    </row>
    <row r="27" spans="1:33" x14ac:dyDescent="0.3">
      <c r="A27" s="128">
        <v>45932</v>
      </c>
      <c r="B27" s="45">
        <f t="shared" si="0"/>
        <v>80.930000000000007</v>
      </c>
      <c r="C27" s="46">
        <f t="shared" si="18"/>
        <v>-101336.78309616368</v>
      </c>
      <c r="D27" s="46">
        <f t="shared" si="19"/>
        <v>-69912.499999999985</v>
      </c>
      <c r="E27" s="45">
        <f t="shared" si="3"/>
        <v>99.78125</v>
      </c>
      <c r="F27" s="46">
        <f t="shared" si="20"/>
        <v>-65507.8125</v>
      </c>
      <c r="G27" s="47">
        <f t="shared" si="21"/>
        <v>-5616.6876627604142</v>
      </c>
      <c r="H27" s="45">
        <f t="shared" si="6"/>
        <v>111.69</v>
      </c>
      <c r="I27" s="46">
        <f t="shared" si="22"/>
        <v>-232175.42142952752</v>
      </c>
      <c r="J27" s="47">
        <f t="shared" si="23"/>
        <v>-71909.999999999985</v>
      </c>
      <c r="K27" s="45">
        <f t="shared" si="9"/>
        <v>99.78125</v>
      </c>
      <c r="L27" s="46">
        <f t="shared" si="24"/>
        <v>-57109.375</v>
      </c>
      <c r="M27" s="47">
        <f t="shared" si="25"/>
        <v>-5459.0205946180467</v>
      </c>
      <c r="N27" s="45">
        <f t="shared" si="12"/>
        <v>101.3125</v>
      </c>
      <c r="O27" s="46">
        <f t="shared" si="26"/>
        <v>-34570.3125</v>
      </c>
      <c r="P27" s="47">
        <f t="shared" si="27"/>
        <v>-194.84977213541424</v>
      </c>
      <c r="Q27" s="45">
        <f t="shared" si="15"/>
        <v>100.875</v>
      </c>
      <c r="R27" s="46">
        <f t="shared" si="28"/>
        <v>-81210.9375</v>
      </c>
      <c r="S27" s="47">
        <f t="shared" si="29"/>
        <v>2232.5941731770872</v>
      </c>
      <c r="T27" s="79">
        <f t="shared" si="31"/>
        <v>61925.456023876992</v>
      </c>
      <c r="V27" s="72">
        <v>45800.625</v>
      </c>
      <c r="W27" s="54">
        <v>78.95</v>
      </c>
      <c r="X27" s="72">
        <v>45930.625</v>
      </c>
      <c r="Y27" s="54">
        <v>99.5078125</v>
      </c>
      <c r="Z27" s="72">
        <v>45800.625</v>
      </c>
      <c r="AA27" s="54">
        <v>106.28</v>
      </c>
      <c r="AB27" s="72">
        <v>45930.625</v>
      </c>
      <c r="AC27" s="54">
        <v>99.5078125</v>
      </c>
      <c r="AD27" s="72">
        <v>45909.625</v>
      </c>
      <c r="AE27" s="54">
        <v>101.390625</v>
      </c>
      <c r="AF27" s="72">
        <v>45910.625</v>
      </c>
      <c r="AG27" s="54">
        <v>100.953125</v>
      </c>
    </row>
    <row r="28" spans="1:33" x14ac:dyDescent="0.3">
      <c r="A28" s="128">
        <v>45933</v>
      </c>
      <c r="B28" s="45">
        <f t="shared" si="0"/>
        <v>80.84</v>
      </c>
      <c r="C28" s="46">
        <f t="shared" si="18"/>
        <v>-140146.61492022462</v>
      </c>
      <c r="D28" s="46">
        <f t="shared" si="19"/>
        <v>-74025</v>
      </c>
      <c r="E28" s="45">
        <f t="shared" si="3"/>
        <v>99.6015625</v>
      </c>
      <c r="F28" s="46">
        <f t="shared" si="20"/>
        <v>-100546.875</v>
      </c>
      <c r="G28" s="47">
        <f t="shared" si="21"/>
        <v>-5947.0810546875</v>
      </c>
      <c r="H28" s="45">
        <f t="shared" si="6"/>
        <v>111.55</v>
      </c>
      <c r="I28" s="46">
        <f t="shared" si="22"/>
        <v>-277009.29591247195</v>
      </c>
      <c r="J28" s="47">
        <f t="shared" si="23"/>
        <v>-76140</v>
      </c>
      <c r="K28" s="45">
        <f t="shared" si="9"/>
        <v>99.6015625</v>
      </c>
      <c r="L28" s="46">
        <f t="shared" si="24"/>
        <v>-87656.25</v>
      </c>
      <c r="M28" s="47">
        <f t="shared" si="25"/>
        <v>-5780.1394531250007</v>
      </c>
      <c r="N28" s="45">
        <f t="shared" si="12"/>
        <v>101.046875</v>
      </c>
      <c r="O28" s="46">
        <f t="shared" si="26"/>
        <v>-54492.1875</v>
      </c>
      <c r="P28" s="47">
        <f t="shared" si="27"/>
        <v>-206.3115234375</v>
      </c>
      <c r="Q28" s="45">
        <f t="shared" si="15"/>
        <v>100.609375</v>
      </c>
      <c r="R28" s="46">
        <f t="shared" si="28"/>
        <v>-109101.5625</v>
      </c>
      <c r="S28" s="47">
        <f t="shared" si="29"/>
        <v>2363.9232421875022</v>
      </c>
      <c r="T28" s="79">
        <f t="shared" si="31"/>
        <v>24875.828033888942</v>
      </c>
      <c r="V28" s="72">
        <v>45804.625</v>
      </c>
      <c r="W28" s="54">
        <v>79.430000000000007</v>
      </c>
      <c r="X28" s="72">
        <v>45931.625</v>
      </c>
      <c r="Y28" s="54">
        <v>99.765625</v>
      </c>
      <c r="Z28" s="72">
        <v>45804.625</v>
      </c>
      <c r="AA28" s="54">
        <v>107.24</v>
      </c>
      <c r="AB28" s="72">
        <v>45931.625</v>
      </c>
      <c r="AC28" s="54">
        <v>99.765625</v>
      </c>
      <c r="AD28" s="72">
        <v>45910.625</v>
      </c>
      <c r="AE28" s="54">
        <v>101.6875</v>
      </c>
      <c r="AF28" s="72">
        <v>45911.625</v>
      </c>
      <c r="AG28" s="54">
        <v>101.640625</v>
      </c>
    </row>
    <row r="29" spans="1:33" x14ac:dyDescent="0.3">
      <c r="A29" s="128">
        <v>45936</v>
      </c>
      <c r="B29" s="45">
        <f t="shared" si="0"/>
        <v>80.86</v>
      </c>
      <c r="C29" s="46">
        <f t="shared" si="18"/>
        <v>-131522.20784821367</v>
      </c>
      <c r="D29" s="46">
        <f t="shared" si="19"/>
        <v>-86362.5</v>
      </c>
      <c r="E29" s="45">
        <f t="shared" si="3"/>
        <v>99.46875</v>
      </c>
      <c r="F29" s="46">
        <f t="shared" si="20"/>
        <v>-126445.3125</v>
      </c>
      <c r="G29" s="47">
        <f t="shared" si="21"/>
        <v>-6938.26123046875</v>
      </c>
      <c r="H29" s="45">
        <f t="shared" si="6"/>
        <v>111.19</v>
      </c>
      <c r="I29" s="46">
        <f t="shared" si="22"/>
        <v>-392296.40172574954</v>
      </c>
      <c r="J29" s="47">
        <f t="shared" si="23"/>
        <v>-88830</v>
      </c>
      <c r="K29" s="45">
        <f t="shared" si="9"/>
        <v>99.46875</v>
      </c>
      <c r="L29" s="46">
        <f t="shared" si="24"/>
        <v>-110234.375</v>
      </c>
      <c r="M29" s="47">
        <f t="shared" si="25"/>
        <v>-6743.4960286458372</v>
      </c>
      <c r="N29" s="45">
        <f t="shared" si="12"/>
        <v>100.6875</v>
      </c>
      <c r="O29" s="46">
        <f t="shared" si="26"/>
        <v>-81445.3125</v>
      </c>
      <c r="P29" s="47">
        <f t="shared" si="27"/>
        <v>-240.69677734375</v>
      </c>
      <c r="Q29" s="45">
        <f t="shared" si="15"/>
        <v>99.859375</v>
      </c>
      <c r="R29" s="46">
        <f t="shared" si="28"/>
        <v>-187851.5625</v>
      </c>
      <c r="S29" s="47">
        <f t="shared" si="29"/>
        <v>2757.9104492187507</v>
      </c>
      <c r="T29" s="79">
        <f t="shared" si="31"/>
        <v>47144.4539725629</v>
      </c>
      <c r="V29" s="72">
        <v>45805.625</v>
      </c>
      <c r="W29" s="54">
        <v>79.38</v>
      </c>
      <c r="X29" s="72">
        <v>45932.625</v>
      </c>
      <c r="Y29" s="54">
        <v>99.78125</v>
      </c>
      <c r="Z29" s="72">
        <v>45805.625</v>
      </c>
      <c r="AA29" s="54">
        <v>106.98</v>
      </c>
      <c r="AB29" s="72">
        <v>45932.625</v>
      </c>
      <c r="AC29" s="54">
        <v>99.78125</v>
      </c>
      <c r="AD29" s="72">
        <v>45911.625</v>
      </c>
      <c r="AE29" s="54">
        <v>101.890625</v>
      </c>
      <c r="AF29" s="72">
        <v>45912.625</v>
      </c>
      <c r="AG29" s="54">
        <v>101.171875</v>
      </c>
    </row>
    <row r="30" spans="1:33" x14ac:dyDescent="0.3">
      <c r="A30" s="128">
        <v>45937</v>
      </c>
      <c r="B30" s="45">
        <f t="shared" si="0"/>
        <v>80.77</v>
      </c>
      <c r="C30" s="46">
        <f t="shared" si="18"/>
        <v>-170332.03967227851</v>
      </c>
      <c r="D30" s="46">
        <f t="shared" si="19"/>
        <v>-90474.999999999985</v>
      </c>
      <c r="E30" s="45">
        <f t="shared" si="3"/>
        <v>99.625</v>
      </c>
      <c r="F30" s="46">
        <f t="shared" si="20"/>
        <v>-95976.5625</v>
      </c>
      <c r="G30" s="47">
        <f t="shared" si="21"/>
        <v>-7268.6546223958358</v>
      </c>
      <c r="H30" s="45">
        <f t="shared" si="6"/>
        <v>111.4</v>
      </c>
      <c r="I30" s="46">
        <f t="shared" si="22"/>
        <v>-325045.59000133292</v>
      </c>
      <c r="J30" s="47">
        <f t="shared" si="23"/>
        <v>-93059.999999999985</v>
      </c>
      <c r="K30" s="45">
        <f t="shared" si="9"/>
        <v>99.625</v>
      </c>
      <c r="L30" s="46">
        <f t="shared" si="24"/>
        <v>-83671.875</v>
      </c>
      <c r="M30" s="47">
        <f t="shared" si="25"/>
        <v>-7064.6148871527694</v>
      </c>
      <c r="N30" s="45">
        <f t="shared" si="12"/>
        <v>100.96875</v>
      </c>
      <c r="O30" s="46">
        <f t="shared" si="26"/>
        <v>-60351.5625</v>
      </c>
      <c r="P30" s="47">
        <f t="shared" si="27"/>
        <v>-252.15852864583212</v>
      </c>
      <c r="Q30" s="45">
        <f t="shared" si="15"/>
        <v>100.390625</v>
      </c>
      <c r="R30" s="46">
        <f t="shared" si="28"/>
        <v>-132070.3125</v>
      </c>
      <c r="S30" s="47">
        <f t="shared" si="29"/>
        <v>2889.2395182291693</v>
      </c>
      <c r="T30" s="79">
        <f t="shared" si="31"/>
        <v>14299.202275209918</v>
      </c>
      <c r="V30" s="72">
        <v>45806.625</v>
      </c>
      <c r="W30" s="54">
        <v>79.5</v>
      </c>
      <c r="X30" s="72">
        <v>45933.625</v>
      </c>
      <c r="Y30" s="54">
        <v>99.6015625</v>
      </c>
      <c r="Z30" s="72">
        <v>45806.625</v>
      </c>
      <c r="AA30" s="54">
        <v>107.46</v>
      </c>
      <c r="AB30" s="72">
        <v>45933.625</v>
      </c>
      <c r="AC30" s="54">
        <v>99.6015625</v>
      </c>
      <c r="AD30" s="72">
        <v>45912.625</v>
      </c>
      <c r="AE30" s="54">
        <v>101.546875</v>
      </c>
      <c r="AF30" s="72">
        <v>45915.625</v>
      </c>
      <c r="AG30" s="54">
        <v>101.4375</v>
      </c>
    </row>
    <row r="31" spans="1:33" x14ac:dyDescent="0.3">
      <c r="A31" s="128">
        <v>45938</v>
      </c>
      <c r="B31" s="45">
        <f t="shared" si="0"/>
        <v>80.650000000000006</v>
      </c>
      <c r="C31" s="46">
        <f t="shared" si="18"/>
        <v>-222078.48210435588</v>
      </c>
      <c r="D31" s="46">
        <f t="shared" si="19"/>
        <v>-94587.499999999985</v>
      </c>
      <c r="E31" s="45">
        <f t="shared" si="3"/>
        <v>99.5625</v>
      </c>
      <c r="F31" s="46">
        <f t="shared" si="20"/>
        <v>-108164.0625</v>
      </c>
      <c r="G31" s="47">
        <f t="shared" si="21"/>
        <v>-7599.0480143229142</v>
      </c>
      <c r="H31" s="45">
        <f t="shared" si="6"/>
        <v>111.26</v>
      </c>
      <c r="I31" s="46">
        <f t="shared" si="22"/>
        <v>-369879.46448427736</v>
      </c>
      <c r="J31" s="47">
        <f t="shared" si="23"/>
        <v>-97289.999999999985</v>
      </c>
      <c r="K31" s="45">
        <f t="shared" si="9"/>
        <v>99.5625</v>
      </c>
      <c r="L31" s="46">
        <f t="shared" si="24"/>
        <v>-94296.875</v>
      </c>
      <c r="M31" s="47">
        <f t="shared" si="25"/>
        <v>-7385.7337456597161</v>
      </c>
      <c r="N31" s="45">
        <f t="shared" si="12"/>
        <v>100.953125</v>
      </c>
      <c r="O31" s="46">
        <f t="shared" si="26"/>
        <v>-61523.4375</v>
      </c>
      <c r="P31" s="47">
        <f t="shared" si="27"/>
        <v>-263.62027994791424</v>
      </c>
      <c r="Q31" s="45">
        <f t="shared" si="15"/>
        <v>100.4375</v>
      </c>
      <c r="R31" s="46">
        <f t="shared" si="28"/>
        <v>-127148.4375</v>
      </c>
      <c r="S31" s="47">
        <f t="shared" si="29"/>
        <v>3020.5685872395879</v>
      </c>
      <c r="T31" s="79">
        <f t="shared" si="31"/>
        <v>12945.776177205455</v>
      </c>
      <c r="V31" s="72">
        <v>45807.625</v>
      </c>
      <c r="W31" s="54">
        <v>79.569999999999993</v>
      </c>
      <c r="X31" s="72">
        <v>45936.625</v>
      </c>
      <c r="Y31" s="54">
        <v>99.46875</v>
      </c>
      <c r="Z31" s="72">
        <v>45807.625</v>
      </c>
      <c r="AA31" s="54">
        <v>107.77</v>
      </c>
      <c r="AB31" s="72">
        <v>45936.625</v>
      </c>
      <c r="AC31" s="54">
        <v>99.46875</v>
      </c>
      <c r="AD31" s="72">
        <v>45915.625</v>
      </c>
      <c r="AE31" s="54">
        <v>101.71875</v>
      </c>
      <c r="AF31" s="72">
        <v>45916.625</v>
      </c>
      <c r="AG31" s="54">
        <v>101.578125</v>
      </c>
    </row>
    <row r="32" spans="1:33" x14ac:dyDescent="0.3">
      <c r="A32" s="128">
        <v>45939</v>
      </c>
      <c r="B32" s="45">
        <f t="shared" si="0"/>
        <v>80.42</v>
      </c>
      <c r="C32" s="46">
        <f t="shared" si="18"/>
        <v>-321259.1634325168</v>
      </c>
      <c r="D32" s="46">
        <f t="shared" si="19"/>
        <v>-98699.999999999985</v>
      </c>
      <c r="E32" s="45">
        <f t="shared" si="3"/>
        <v>99.5078125</v>
      </c>
      <c r="F32" s="46">
        <f t="shared" si="20"/>
        <v>-118828.125</v>
      </c>
      <c r="G32" s="47">
        <f t="shared" si="21"/>
        <v>-7929.44140625</v>
      </c>
      <c r="H32" s="45">
        <f t="shared" si="6"/>
        <v>111.04</v>
      </c>
      <c r="I32" s="46">
        <f t="shared" si="22"/>
        <v>-440332.69581461453</v>
      </c>
      <c r="J32" s="47">
        <f t="shared" si="23"/>
        <v>-101519.99999999999</v>
      </c>
      <c r="K32" s="45">
        <f t="shared" si="9"/>
        <v>99.5078125</v>
      </c>
      <c r="L32" s="46">
        <f t="shared" si="24"/>
        <v>-103593.75</v>
      </c>
      <c r="M32" s="47">
        <f t="shared" si="25"/>
        <v>-7706.8526041666628</v>
      </c>
      <c r="N32" s="45">
        <f t="shared" si="12"/>
        <v>100.875</v>
      </c>
      <c r="O32" s="46">
        <f t="shared" si="26"/>
        <v>-67382.8125</v>
      </c>
      <c r="P32" s="47">
        <f t="shared" si="27"/>
        <v>-275.08203124999636</v>
      </c>
      <c r="Q32" s="45">
        <f t="shared" si="15"/>
        <v>100.390625</v>
      </c>
      <c r="R32" s="46">
        <f t="shared" si="28"/>
        <v>-132070.3125</v>
      </c>
      <c r="S32" s="47">
        <f t="shared" si="29"/>
        <v>3151.8976562500029</v>
      </c>
      <c r="T32" s="79">
        <f t="shared" si="31"/>
        <v>-24949.094469489806</v>
      </c>
      <c r="V32" s="72">
        <v>45810.625</v>
      </c>
      <c r="W32" s="54">
        <v>79.180000000000007</v>
      </c>
      <c r="X32" s="72">
        <v>45937.625</v>
      </c>
      <c r="Y32" s="54">
        <v>99.625</v>
      </c>
      <c r="Z32" s="72">
        <v>45810.625</v>
      </c>
      <c r="AA32" s="54">
        <v>107.07</v>
      </c>
      <c r="AB32" s="72">
        <v>45937.625</v>
      </c>
      <c r="AC32" s="54">
        <v>99.625</v>
      </c>
      <c r="AD32" s="72">
        <v>45916.625</v>
      </c>
      <c r="AE32" s="54">
        <v>101.765625</v>
      </c>
      <c r="AF32" s="72">
        <v>45917.625</v>
      </c>
      <c r="AG32" s="54">
        <v>101.375</v>
      </c>
    </row>
    <row r="33" spans="1:33" x14ac:dyDescent="0.3">
      <c r="A33" s="128">
        <v>45940</v>
      </c>
      <c r="B33" s="45">
        <f t="shared" si="0"/>
        <v>79.984999999999999</v>
      </c>
      <c r="C33" s="46">
        <f t="shared" si="18"/>
        <v>-508840.0172488172</v>
      </c>
      <c r="D33" s="46">
        <f t="shared" si="19"/>
        <v>-102812.5</v>
      </c>
      <c r="E33" s="45">
        <f t="shared" si="3"/>
        <v>99.890625</v>
      </c>
      <c r="F33" s="46">
        <f t="shared" si="20"/>
        <v>-44179.6875</v>
      </c>
      <c r="G33" s="47">
        <f t="shared" si="21"/>
        <v>-8259.8347981770858</v>
      </c>
      <c r="H33" s="45">
        <f t="shared" si="6"/>
        <v>111.36</v>
      </c>
      <c r="I33" s="46">
        <f t="shared" si="22"/>
        <v>-337855.26842503535</v>
      </c>
      <c r="J33" s="47">
        <f t="shared" si="23"/>
        <v>-105750</v>
      </c>
      <c r="K33" s="45">
        <f t="shared" si="9"/>
        <v>99.890625</v>
      </c>
      <c r="L33" s="46">
        <f t="shared" si="24"/>
        <v>-38515.625</v>
      </c>
      <c r="M33" s="47">
        <f t="shared" si="25"/>
        <v>-8027.9714626736168</v>
      </c>
      <c r="N33" s="45">
        <f t="shared" si="12"/>
        <v>101.578125</v>
      </c>
      <c r="O33" s="46">
        <f t="shared" si="26"/>
        <v>-14648.4375</v>
      </c>
      <c r="P33" s="47">
        <f t="shared" si="27"/>
        <v>-286.54378255208212</v>
      </c>
      <c r="Q33" s="45">
        <f t="shared" si="15"/>
        <v>101.875</v>
      </c>
      <c r="R33" s="46">
        <f t="shared" si="28"/>
        <v>23789.0625</v>
      </c>
      <c r="S33" s="47">
        <f t="shared" si="29"/>
        <v>3283.2267252604142</v>
      </c>
      <c r="T33" s="79">
        <f t="shared" si="31"/>
        <v>-115737.29632424098</v>
      </c>
      <c r="V33" s="72">
        <v>45811.625</v>
      </c>
      <c r="W33" s="54">
        <v>79.33</v>
      </c>
      <c r="X33" s="72">
        <v>45938.625</v>
      </c>
      <c r="Y33" s="54">
        <v>99.5625</v>
      </c>
      <c r="Z33" s="72">
        <v>45811.625</v>
      </c>
      <c r="AA33" s="54">
        <v>107.12</v>
      </c>
      <c r="AB33" s="72">
        <v>45938.625</v>
      </c>
      <c r="AC33" s="54">
        <v>99.5625</v>
      </c>
      <c r="AD33" s="72">
        <v>45917.625</v>
      </c>
      <c r="AE33" s="54">
        <v>101.5</v>
      </c>
      <c r="AF33" s="72">
        <v>45918.625</v>
      </c>
      <c r="AG33" s="54">
        <v>100.328125</v>
      </c>
    </row>
    <row r="34" spans="1:33" x14ac:dyDescent="0.3">
      <c r="A34" s="128">
        <v>45943</v>
      </c>
      <c r="B34" s="45">
        <f t="shared" si="0"/>
        <v>80.45</v>
      </c>
      <c r="C34" s="46">
        <f t="shared" si="18"/>
        <v>-308322.55282449652</v>
      </c>
      <c r="D34" s="46">
        <f t="shared" si="19"/>
        <v>-115150</v>
      </c>
      <c r="E34" s="45">
        <f t="shared" si="3"/>
        <v>99.9921875</v>
      </c>
      <c r="F34" s="46">
        <f t="shared" si="20"/>
        <v>-24375</v>
      </c>
      <c r="G34" s="47">
        <f t="shared" si="21"/>
        <v>-9251.0149739583358</v>
      </c>
      <c r="H34" s="45">
        <f t="shared" si="6"/>
        <v>111.73</v>
      </c>
      <c r="I34" s="46">
        <f t="shared" si="22"/>
        <v>-219365.74300582911</v>
      </c>
      <c r="J34" s="47">
        <f t="shared" si="23"/>
        <v>-118440</v>
      </c>
      <c r="K34" s="45">
        <f t="shared" si="9"/>
        <v>99.9921875</v>
      </c>
      <c r="L34" s="46">
        <f t="shared" si="24"/>
        <v>-21250</v>
      </c>
      <c r="M34" s="47">
        <f t="shared" si="25"/>
        <v>-8991.3280381944423</v>
      </c>
      <c r="N34" s="45">
        <f t="shared" si="12"/>
        <v>101.75</v>
      </c>
      <c r="O34" s="46">
        <f t="shared" si="26"/>
        <v>-1757.8125</v>
      </c>
      <c r="P34" s="47">
        <f t="shared" si="27"/>
        <v>-320.92903645833212</v>
      </c>
      <c r="Q34" s="45">
        <f t="shared" si="15"/>
        <v>102.109375</v>
      </c>
      <c r="R34" s="46">
        <f t="shared" si="28"/>
        <v>48398.4375</v>
      </c>
      <c r="S34" s="47">
        <f t="shared" si="29"/>
        <v>3677.2139322916701</v>
      </c>
      <c r="T34" s="79">
        <f t="shared" si="31"/>
        <v>1991.5057342589062</v>
      </c>
      <c r="V34" s="72">
        <v>45812.625</v>
      </c>
      <c r="W34" s="54">
        <v>79.48</v>
      </c>
      <c r="X34" s="72">
        <v>45939.625</v>
      </c>
      <c r="Y34" s="54">
        <v>99.5078125</v>
      </c>
      <c r="Z34" s="72">
        <v>45812.625</v>
      </c>
      <c r="AA34" s="54">
        <v>107.9</v>
      </c>
      <c r="AB34" s="72">
        <v>45939.625</v>
      </c>
      <c r="AC34" s="54">
        <v>99.5078125</v>
      </c>
      <c r="AD34" s="72">
        <v>45918.625</v>
      </c>
      <c r="AE34" s="54">
        <v>101.09375</v>
      </c>
      <c r="AF34" s="72">
        <v>45919.625</v>
      </c>
      <c r="AG34" s="54">
        <v>100.125</v>
      </c>
    </row>
    <row r="35" spans="1:33" x14ac:dyDescent="0.3">
      <c r="A35" s="128">
        <v>45944</v>
      </c>
      <c r="B35" s="45">
        <f t="shared" si="0"/>
        <v>80.540000000000006</v>
      </c>
      <c r="C35" s="46">
        <f t="shared" si="18"/>
        <v>-269512.72100043169</v>
      </c>
      <c r="D35" s="46">
        <f t="shared" si="19"/>
        <v>-119262.5</v>
      </c>
      <c r="E35" s="45">
        <f t="shared" si="3"/>
        <v>100.1328125</v>
      </c>
      <c r="F35" s="46">
        <f t="shared" si="20"/>
        <v>3046.875</v>
      </c>
      <c r="G35" s="47">
        <f t="shared" si="21"/>
        <v>-9581.4083658854215</v>
      </c>
      <c r="H35" s="45">
        <f t="shared" si="6"/>
        <v>112.1</v>
      </c>
      <c r="I35" s="46">
        <f t="shared" si="22"/>
        <v>-100876.21758662291</v>
      </c>
      <c r="J35" s="47">
        <f t="shared" si="23"/>
        <v>-122670</v>
      </c>
      <c r="K35" s="45">
        <f t="shared" si="9"/>
        <v>100.1328125</v>
      </c>
      <c r="L35" s="46">
        <f t="shared" si="24"/>
        <v>2656.25</v>
      </c>
      <c r="M35" s="47">
        <f t="shared" si="25"/>
        <v>-9312.4468967013891</v>
      </c>
      <c r="N35" s="45">
        <f t="shared" si="12"/>
        <v>101.859375</v>
      </c>
      <c r="O35" s="46">
        <f t="shared" si="26"/>
        <v>6445.3125</v>
      </c>
      <c r="P35" s="47">
        <f t="shared" si="27"/>
        <v>-332.39078776041424</v>
      </c>
      <c r="Q35" s="45">
        <f t="shared" si="15"/>
        <v>102.140625</v>
      </c>
      <c r="R35" s="46">
        <f t="shared" si="28"/>
        <v>51679.6875</v>
      </c>
      <c r="S35" s="47">
        <f t="shared" si="29"/>
        <v>3808.5430013020887</v>
      </c>
      <c r="T35" s="79">
        <f t="shared" si="31"/>
        <v>-69472.796009753918</v>
      </c>
      <c r="V35" s="72">
        <v>45813.625</v>
      </c>
      <c r="W35" s="54">
        <v>79.31</v>
      </c>
      <c r="X35" s="72">
        <v>45940.625</v>
      </c>
      <c r="Y35" s="54">
        <v>99.890625</v>
      </c>
      <c r="Z35" s="72">
        <v>45813.625</v>
      </c>
      <c r="AA35" s="54">
        <v>107.57</v>
      </c>
      <c r="AB35" s="72">
        <v>45940.625</v>
      </c>
      <c r="AC35" s="54">
        <v>99.890625</v>
      </c>
      <c r="AD35" s="72">
        <v>45919.625</v>
      </c>
      <c r="AE35" s="54">
        <v>101.015625</v>
      </c>
      <c r="AF35" s="72">
        <v>45922.625</v>
      </c>
      <c r="AG35" s="54">
        <v>99.734375</v>
      </c>
    </row>
    <row r="36" spans="1:33" x14ac:dyDescent="0.3">
      <c r="A36" s="128">
        <v>45945</v>
      </c>
      <c r="B36" s="45">
        <f t="shared" si="0"/>
        <v>80.8</v>
      </c>
      <c r="C36" s="46">
        <f t="shared" si="18"/>
        <v>-157395.42906425431</v>
      </c>
      <c r="D36" s="46">
        <f t="shared" si="19"/>
        <v>-123374.99999999999</v>
      </c>
      <c r="E36" s="45">
        <f t="shared" si="3"/>
        <v>100.0234375</v>
      </c>
      <c r="F36" s="46">
        <f t="shared" si="20"/>
        <v>-18281.25</v>
      </c>
      <c r="G36" s="47">
        <f t="shared" si="21"/>
        <v>-9911.8017578124927</v>
      </c>
      <c r="H36" s="45">
        <f t="shared" si="6"/>
        <v>112.1</v>
      </c>
      <c r="I36" s="46">
        <f t="shared" si="22"/>
        <v>-100876.21758662291</v>
      </c>
      <c r="J36" s="47">
        <f t="shared" si="23"/>
        <v>-126899.99999999999</v>
      </c>
      <c r="K36" s="45">
        <f t="shared" si="9"/>
        <v>100.0234375</v>
      </c>
      <c r="L36" s="46">
        <f t="shared" si="24"/>
        <v>-15937.5</v>
      </c>
      <c r="M36" s="47">
        <f t="shared" si="25"/>
        <v>-9633.5657552083358</v>
      </c>
      <c r="N36" s="45">
        <f t="shared" si="12"/>
        <v>101.734375</v>
      </c>
      <c r="O36" s="46">
        <f t="shared" si="26"/>
        <v>-2929.6875</v>
      </c>
      <c r="P36" s="47">
        <f t="shared" si="27"/>
        <v>-343.85253906249272</v>
      </c>
      <c r="Q36" s="45">
        <f t="shared" si="15"/>
        <v>101.921875</v>
      </c>
      <c r="R36" s="46">
        <f t="shared" si="28"/>
        <v>28710.937499999996</v>
      </c>
      <c r="S36" s="47">
        <f t="shared" si="29"/>
        <v>3939.8720703125</v>
      </c>
      <c r="T36" s="79">
        <f t="shared" si="31"/>
        <v>13281.762777551918</v>
      </c>
      <c r="V36" s="72">
        <v>45814.625</v>
      </c>
      <c r="W36" s="54">
        <v>79.3</v>
      </c>
      <c r="X36" s="72">
        <v>45943.625</v>
      </c>
      <c r="Y36" s="54">
        <v>99.9921875</v>
      </c>
      <c r="Z36" s="72">
        <v>45814.625</v>
      </c>
      <c r="AA36" s="54">
        <v>106.92</v>
      </c>
      <c r="AB36" s="72">
        <v>45943.625</v>
      </c>
      <c r="AC36" s="54">
        <v>99.9921875</v>
      </c>
      <c r="AD36" s="72">
        <v>45922.625</v>
      </c>
      <c r="AE36" s="54">
        <v>100.8125</v>
      </c>
      <c r="AF36" s="72">
        <v>45923.625</v>
      </c>
      <c r="AG36" s="54">
        <v>100.421875</v>
      </c>
    </row>
    <row r="37" spans="1:33" x14ac:dyDescent="0.3">
      <c r="A37" s="128">
        <v>45946</v>
      </c>
      <c r="B37" s="45">
        <f t="shared" ref="B37" si="32">VLOOKUP($A37+$J$1,V:W,2)</f>
        <v>80.510000000000005</v>
      </c>
      <c r="C37" s="46">
        <f t="shared" si="18"/>
        <v>-282449.33160845196</v>
      </c>
      <c r="D37" s="46">
        <f t="shared" si="19"/>
        <v>-127487.5</v>
      </c>
      <c r="E37" s="45">
        <f t="shared" ref="E37" si="33">VLOOKUP($A37+$J$1,X:Y,2)</f>
        <v>100.359375</v>
      </c>
      <c r="F37" s="46">
        <f t="shared" si="20"/>
        <v>47226.5625</v>
      </c>
      <c r="G37" s="47">
        <f t="shared" si="21"/>
        <v>-10242.195149739586</v>
      </c>
      <c r="H37" s="45">
        <f t="shared" ref="H37" si="34">VLOOKUP($A37+$J$1,Z:AA,2)</f>
        <v>112.42</v>
      </c>
      <c r="I37" s="46">
        <f t="shared" si="22"/>
        <v>1601.2098029642984</v>
      </c>
      <c r="J37" s="47">
        <f t="shared" si="23"/>
        <v>-131130</v>
      </c>
      <c r="K37" s="45">
        <f t="shared" ref="K37" si="35">VLOOKUP($A37+$J$1,AB:AC,2)</f>
        <v>100.359375</v>
      </c>
      <c r="L37" s="46">
        <f t="shared" si="24"/>
        <v>41171.875</v>
      </c>
      <c r="M37" s="47">
        <f t="shared" si="25"/>
        <v>-9954.6846137152825</v>
      </c>
      <c r="N37" s="45">
        <f t="shared" ref="N37" si="36">VLOOKUP($A37+$J$1,AD:AE,2)</f>
        <v>102.234375</v>
      </c>
      <c r="O37" s="46">
        <f t="shared" si="26"/>
        <v>34570.3125</v>
      </c>
      <c r="P37" s="47">
        <f t="shared" si="27"/>
        <v>-355.31429036457848</v>
      </c>
      <c r="Q37" s="45">
        <f t="shared" ref="Q37" si="37">VLOOKUP($A37+$J$1,AF:AG,2)</f>
        <v>102.671875</v>
      </c>
      <c r="R37" s="46">
        <f t="shared" si="28"/>
        <v>107460.9375</v>
      </c>
      <c r="S37" s="47">
        <f t="shared" si="29"/>
        <v>4071.2011393229113</v>
      </c>
      <c r="T37" s="79">
        <f t="shared" ref="T37" si="38">C37+D37-F37-G37-I37-J37+L37+M37+O37+P37+R37+S37+$J$9</f>
        <v>-106151.36280510449</v>
      </c>
      <c r="V37" s="72">
        <v>45817.625</v>
      </c>
      <c r="W37" s="54">
        <v>79.34</v>
      </c>
      <c r="X37" s="72">
        <v>45944.625</v>
      </c>
      <c r="Y37" s="54">
        <v>100.1328125</v>
      </c>
      <c r="Z37" s="72">
        <v>45817.625</v>
      </c>
      <c r="AA37" s="54">
        <v>107.24</v>
      </c>
      <c r="AB37" s="72">
        <v>45944.625</v>
      </c>
      <c r="AC37" s="54">
        <v>100.1328125</v>
      </c>
      <c r="AD37" s="72">
        <v>45923.625</v>
      </c>
      <c r="AE37" s="54">
        <v>101.140625</v>
      </c>
      <c r="AF37" s="72">
        <v>45924.625</v>
      </c>
      <c r="AG37" s="54">
        <v>100.015625</v>
      </c>
    </row>
    <row r="38" spans="1:33" x14ac:dyDescent="0.3">
      <c r="A38" s="128">
        <v>45947</v>
      </c>
      <c r="B38" s="45">
        <f t="shared" ref="B38:B39" si="39">VLOOKUP($A38+$J$1,V:W,2)</f>
        <v>80.72</v>
      </c>
      <c r="C38" s="46">
        <f t="shared" si="18"/>
        <v>-191893.05735230978</v>
      </c>
      <c r="D38" s="46">
        <f t="shared" si="19"/>
        <v>-131600</v>
      </c>
      <c r="E38" s="45">
        <f t="shared" ref="E38:E39" si="40">VLOOKUP($A38+$J$1,X:Y,2)</f>
        <v>100.1796875</v>
      </c>
      <c r="F38" s="46">
        <f t="shared" si="20"/>
        <v>12187.5</v>
      </c>
      <c r="G38" s="47">
        <f t="shared" si="21"/>
        <v>-10572.588541666664</v>
      </c>
      <c r="H38" s="45">
        <f t="shared" ref="H38:H39" si="41">VLOOKUP($A38+$J$1,Z:AA,2)</f>
        <v>112.2</v>
      </c>
      <c r="I38" s="46">
        <f t="shared" si="22"/>
        <v>-68852.021527376899</v>
      </c>
      <c r="J38" s="47">
        <f t="shared" si="23"/>
        <v>-135360</v>
      </c>
      <c r="K38" s="45">
        <f t="shared" ref="K38:K39" si="42">VLOOKUP($A38+$J$1,AB:AC,2)</f>
        <v>100.1796875</v>
      </c>
      <c r="L38" s="46">
        <f t="shared" si="24"/>
        <v>10625</v>
      </c>
      <c r="M38" s="47">
        <f t="shared" si="25"/>
        <v>-10275.803472222222</v>
      </c>
      <c r="N38" s="45">
        <f t="shared" ref="N38:N39" si="43">VLOOKUP($A38+$J$1,AD:AE,2)</f>
        <v>102.015625</v>
      </c>
      <c r="O38" s="46">
        <f t="shared" si="26"/>
        <v>18164.0625</v>
      </c>
      <c r="P38" s="47">
        <f t="shared" si="27"/>
        <v>-366.77604166666424</v>
      </c>
      <c r="Q38" s="45">
        <f t="shared" ref="Q38:Q39" si="44">VLOOKUP($A38+$J$1,AF:AG,2)</f>
        <v>102.46875</v>
      </c>
      <c r="R38" s="46">
        <f t="shared" si="28"/>
        <v>86132.8125</v>
      </c>
      <c r="S38" s="47">
        <f t="shared" si="29"/>
        <v>4202.5302083333372</v>
      </c>
      <c r="T38" s="79">
        <f t="shared" ref="T38:T39" si="45">C38+D38-F38-G38-I38-J38+L38+M38+O38+P38+R38+S38+$J$9</f>
        <v>21862.597132507333</v>
      </c>
      <c r="V38" s="72">
        <v>45818.625</v>
      </c>
      <c r="W38" s="54">
        <v>79.53</v>
      </c>
      <c r="X38" s="72">
        <v>45945.625</v>
      </c>
      <c r="Y38" s="54">
        <v>100.0234375</v>
      </c>
      <c r="Z38" s="72">
        <v>45818.625</v>
      </c>
      <c r="AA38" s="54">
        <v>107.5</v>
      </c>
      <c r="AB38" s="72">
        <v>45945.625</v>
      </c>
      <c r="AC38" s="54">
        <v>100.0234375</v>
      </c>
      <c r="AD38" s="72">
        <v>45924.625</v>
      </c>
      <c r="AE38" s="54">
        <v>100.859375</v>
      </c>
      <c r="AF38" s="72">
        <v>45925.625</v>
      </c>
      <c r="AG38" s="54">
        <v>100.03125</v>
      </c>
    </row>
    <row r="39" spans="1:33" x14ac:dyDescent="0.3">
      <c r="A39" s="128">
        <v>45950</v>
      </c>
      <c r="B39" s="45">
        <f t="shared" si="39"/>
        <v>80.88</v>
      </c>
      <c r="C39" s="46">
        <f t="shared" si="18"/>
        <v>-122897.80077620271</v>
      </c>
      <c r="D39" s="46">
        <f t="shared" si="19"/>
        <v>-143937.5</v>
      </c>
      <c r="E39" s="45">
        <f t="shared" si="40"/>
        <v>100.2421875</v>
      </c>
      <c r="F39" s="46">
        <f t="shared" si="20"/>
        <v>24375</v>
      </c>
      <c r="G39" s="47">
        <f t="shared" si="21"/>
        <v>-11563.768717447922</v>
      </c>
      <c r="H39" s="45">
        <f t="shared" si="41"/>
        <v>112.54</v>
      </c>
      <c r="I39" s="46">
        <f t="shared" si="22"/>
        <v>40030.245074059501</v>
      </c>
      <c r="J39" s="47">
        <f t="shared" si="23"/>
        <v>-148050</v>
      </c>
      <c r="K39" s="45">
        <f t="shared" si="42"/>
        <v>100.2421875</v>
      </c>
      <c r="L39" s="46">
        <f t="shared" si="24"/>
        <v>21250</v>
      </c>
      <c r="M39" s="47">
        <f t="shared" si="25"/>
        <v>-11239.160047743062</v>
      </c>
      <c r="N39" s="45">
        <f t="shared" si="43"/>
        <v>102.171875</v>
      </c>
      <c r="O39" s="46">
        <f t="shared" si="26"/>
        <v>29882.8125</v>
      </c>
      <c r="P39" s="47">
        <f t="shared" si="27"/>
        <v>-401.1612955729106</v>
      </c>
      <c r="Q39" s="45">
        <f t="shared" si="44"/>
        <v>102.859375</v>
      </c>
      <c r="R39" s="46">
        <f t="shared" si="28"/>
        <v>127148.4375</v>
      </c>
      <c r="S39" s="47">
        <f t="shared" si="29"/>
        <v>4596.5174153645858</v>
      </c>
      <c r="T39" s="79">
        <f t="shared" si="45"/>
        <v>33887.38766056345</v>
      </c>
      <c r="V39" s="72">
        <v>45819.625</v>
      </c>
      <c r="W39" s="54">
        <v>79.510000000000005</v>
      </c>
      <c r="X39" s="72">
        <v>45946.625</v>
      </c>
      <c r="Y39" s="54">
        <v>100.359375</v>
      </c>
      <c r="Z39" s="72">
        <v>45819.625</v>
      </c>
      <c r="AA39" s="54">
        <v>107.84</v>
      </c>
      <c r="AB39" s="72">
        <v>45946.625</v>
      </c>
      <c r="AC39" s="54">
        <v>100.359375</v>
      </c>
      <c r="AD39" s="72">
        <v>45925.625</v>
      </c>
      <c r="AE39" s="54">
        <v>100.640625</v>
      </c>
      <c r="AF39" s="72">
        <v>45926.625</v>
      </c>
      <c r="AG39" s="54">
        <v>99.90625</v>
      </c>
    </row>
    <row r="40" spans="1:33" x14ac:dyDescent="0.3">
      <c r="A40" s="128">
        <v>45951</v>
      </c>
      <c r="B40" s="45">
        <f t="shared" ref="B40" si="46">VLOOKUP($A40+$J$1,V:W,2)</f>
        <v>80.760000000000005</v>
      </c>
      <c r="C40" s="46">
        <f t="shared" si="18"/>
        <v>-174644.2432082801</v>
      </c>
      <c r="D40" s="46">
        <f t="shared" si="19"/>
        <v>-148050</v>
      </c>
      <c r="E40" s="45">
        <f t="shared" ref="E40" si="47">VLOOKUP($A40+$J$1,X:Y,2)</f>
        <v>100.3125</v>
      </c>
      <c r="F40" s="46">
        <f t="shared" si="20"/>
        <v>38085.9375</v>
      </c>
      <c r="G40" s="47">
        <f t="shared" si="21"/>
        <v>-11894.162109375</v>
      </c>
      <c r="H40" s="45">
        <f t="shared" ref="H40" si="48">VLOOKUP($A40+$J$1,Z:AA,2)</f>
        <v>112.56</v>
      </c>
      <c r="I40" s="46">
        <f t="shared" si="22"/>
        <v>46435.08428590071</v>
      </c>
      <c r="J40" s="47">
        <f t="shared" si="23"/>
        <v>-152280</v>
      </c>
      <c r="K40" s="45">
        <f t="shared" ref="K40" si="49">VLOOKUP($A40+$J$1,AB:AC,2)</f>
        <v>100.3125</v>
      </c>
      <c r="L40" s="46">
        <f t="shared" si="24"/>
        <v>33203.125</v>
      </c>
      <c r="M40" s="47">
        <f t="shared" si="25"/>
        <v>-11560.278906250001</v>
      </c>
      <c r="N40" s="45">
        <f t="shared" ref="N40" si="50">VLOOKUP($A40+$J$1,AD:AE,2)</f>
        <v>102.359375</v>
      </c>
      <c r="O40" s="46">
        <f t="shared" si="26"/>
        <v>43945.3125</v>
      </c>
      <c r="P40" s="47">
        <f t="shared" si="27"/>
        <v>-412.623046875</v>
      </c>
      <c r="Q40" s="45">
        <f t="shared" ref="Q40" si="51">VLOOKUP($A40+$J$1,AF:AG,2)</f>
        <v>103.359375</v>
      </c>
      <c r="R40" s="46">
        <f t="shared" si="28"/>
        <v>179648.4375</v>
      </c>
      <c r="S40" s="47">
        <f t="shared" si="29"/>
        <v>4727.8464843750044</v>
      </c>
      <c r="T40" s="79">
        <f t="shared" ref="T40" si="52">C40+D40-F40-G40-I40-J40+L40+M40+O40+P40+R40+S40+$J$9</f>
        <v>40787.435367773367</v>
      </c>
      <c r="V40" s="72">
        <v>45820.625</v>
      </c>
      <c r="W40" s="54">
        <v>79.599999999999994</v>
      </c>
      <c r="X40" s="72">
        <v>45947.625</v>
      </c>
      <c r="Y40" s="54">
        <v>100.1796875</v>
      </c>
      <c r="Z40" s="72">
        <v>45820.625</v>
      </c>
      <c r="AA40" s="54">
        <v>108.44</v>
      </c>
      <c r="AB40" s="72">
        <v>45947.625</v>
      </c>
      <c r="AC40" s="54">
        <v>100.1796875</v>
      </c>
      <c r="AD40" s="72">
        <v>45926.625</v>
      </c>
      <c r="AE40" s="54">
        <v>100.5625</v>
      </c>
      <c r="AF40" s="72">
        <v>45929.625</v>
      </c>
      <c r="AG40" s="54">
        <v>100.65625</v>
      </c>
    </row>
    <row r="41" spans="1:33" x14ac:dyDescent="0.3">
      <c r="A41" s="128">
        <v>45952</v>
      </c>
      <c r="B41" s="45">
        <f t="shared" ref="B41" si="53">VLOOKUP($A41+$J$1,V:W,2)</f>
        <v>80.680000000000007</v>
      </c>
      <c r="C41" s="46">
        <f t="shared" si="18"/>
        <v>-209141.87149633557</v>
      </c>
      <c r="D41" s="46">
        <f t="shared" si="19"/>
        <v>-152162.5</v>
      </c>
      <c r="E41" s="45">
        <f t="shared" ref="E41" si="54">VLOOKUP($A41+$J$1,X:Y,2)</f>
        <v>100.3125</v>
      </c>
      <c r="F41" s="46">
        <f t="shared" si="20"/>
        <v>38085.9375</v>
      </c>
      <c r="G41" s="47">
        <f t="shared" si="21"/>
        <v>-12224.555501302093</v>
      </c>
      <c r="H41" s="45">
        <f t="shared" ref="H41" si="55">VLOOKUP($A41+$J$1,Z:AA,2)</f>
        <v>112.67</v>
      </c>
      <c r="I41" s="46">
        <f t="shared" si="22"/>
        <v>81661.699951075308</v>
      </c>
      <c r="J41" s="47">
        <f t="shared" si="23"/>
        <v>-156510</v>
      </c>
      <c r="K41" s="45">
        <f t="shared" ref="K41" si="56">VLOOKUP($A41+$J$1,AB:AC,2)</f>
        <v>100.3125</v>
      </c>
      <c r="L41" s="46">
        <f t="shared" si="24"/>
        <v>33203.125</v>
      </c>
      <c r="M41" s="47">
        <f t="shared" si="25"/>
        <v>-11881.397764756948</v>
      </c>
      <c r="N41" s="45">
        <f t="shared" ref="N41" si="57">VLOOKUP($A41+$J$1,AD:AE,2)</f>
        <v>102.390625</v>
      </c>
      <c r="O41" s="46">
        <f t="shared" si="26"/>
        <v>46289.0625</v>
      </c>
      <c r="P41" s="47">
        <f t="shared" si="27"/>
        <v>-424.08479817708212</v>
      </c>
      <c r="Q41" s="45">
        <f t="shared" ref="Q41" si="58">VLOOKUP($A41+$J$1,AF:AG,2)</f>
        <v>103.4375</v>
      </c>
      <c r="R41" s="46">
        <f t="shared" si="28"/>
        <v>187851.5625</v>
      </c>
      <c r="S41" s="47">
        <f t="shared" si="29"/>
        <v>4859.1755533854157</v>
      </c>
      <c r="T41" s="79">
        <f t="shared" ref="T41" si="59">C41+D41-F41-G41-I41-J41+L41+M41+O41+P41+R41+S41+$J$9</f>
        <v>-18143.291734328275</v>
      </c>
      <c r="V41" s="72">
        <v>45821.625</v>
      </c>
      <c r="W41" s="54">
        <v>79.36</v>
      </c>
      <c r="X41" s="72">
        <v>45950.625</v>
      </c>
      <c r="Y41" s="54">
        <v>100.2421875</v>
      </c>
      <c r="Z41" s="72">
        <v>45821.625</v>
      </c>
      <c r="AA41" s="54">
        <v>107.79</v>
      </c>
      <c r="AB41" s="72">
        <v>45950.625</v>
      </c>
      <c r="AC41" s="54">
        <v>100.2421875</v>
      </c>
      <c r="AD41" s="72">
        <v>45929.625</v>
      </c>
      <c r="AE41" s="54">
        <v>100.875</v>
      </c>
      <c r="AF41" s="72">
        <v>45930.625</v>
      </c>
      <c r="AG41" s="54">
        <v>100.390625</v>
      </c>
    </row>
    <row r="42" spans="1:33" x14ac:dyDescent="0.3">
      <c r="A42" s="128">
        <v>45953</v>
      </c>
      <c r="B42" s="45">
        <f t="shared" ref="B42" si="60">VLOOKUP($A42+$J$1,V:W,2)</f>
        <v>80.849999999999994</v>
      </c>
      <c r="C42" s="46">
        <f t="shared" si="18"/>
        <v>-135834.41138422303</v>
      </c>
      <c r="D42" s="46">
        <f t="shared" si="19"/>
        <v>-156274.99999999997</v>
      </c>
      <c r="E42" s="45">
        <f t="shared" ref="E42" si="61">VLOOKUP($A42+$J$1,X:Y,2)</f>
        <v>100.0859375</v>
      </c>
      <c r="F42" s="46">
        <f t="shared" si="20"/>
        <v>-6093.75</v>
      </c>
      <c r="G42" s="47">
        <f t="shared" si="21"/>
        <v>-12554.948893229157</v>
      </c>
      <c r="H42" s="45">
        <f t="shared" ref="H42" si="62">VLOOKUP($A42+$J$1,Z:AA,2)</f>
        <v>112.53</v>
      </c>
      <c r="I42" s="46">
        <f t="shared" si="22"/>
        <v>36827.825468130904</v>
      </c>
      <c r="J42" s="47">
        <f t="shared" si="23"/>
        <v>-160739.99999999997</v>
      </c>
      <c r="K42" s="45">
        <f t="shared" ref="K42" si="63">VLOOKUP($A42+$J$1,AB:AC,2)</f>
        <v>100.0859375</v>
      </c>
      <c r="L42" s="46">
        <f t="shared" si="24"/>
        <v>-5312.5</v>
      </c>
      <c r="M42" s="47">
        <f t="shared" si="25"/>
        <v>-12202.516623263873</v>
      </c>
      <c r="N42" s="45">
        <f t="shared" ref="N42" si="64">VLOOKUP($A42+$J$1,AD:AE,2)</f>
        <v>102.015625</v>
      </c>
      <c r="O42" s="46">
        <f t="shared" si="26"/>
        <v>18164.0625</v>
      </c>
      <c r="P42" s="47">
        <f t="shared" si="27"/>
        <v>-435.54654947915697</v>
      </c>
      <c r="Q42" s="45">
        <f t="shared" ref="Q42" si="65">VLOOKUP($A42+$J$1,AF:AG,2)</f>
        <v>102.75</v>
      </c>
      <c r="R42" s="46">
        <f t="shared" si="28"/>
        <v>115664.0625</v>
      </c>
      <c r="S42" s="47">
        <f t="shared" si="29"/>
        <v>4990.5046223958416</v>
      </c>
      <c r="T42" s="79">
        <f t="shared" ref="T42" si="66">C42+D42-F42-G42-I42-J42+L42+M42+O42+P42+R42+S42+$J$9</f>
        <v>5596.2472118571386</v>
      </c>
      <c r="V42" s="72">
        <v>45824.625</v>
      </c>
      <c r="W42" s="54">
        <v>79.52</v>
      </c>
      <c r="X42" s="72">
        <v>45951.625</v>
      </c>
      <c r="Y42" s="54">
        <v>100.3125</v>
      </c>
      <c r="Z42" s="72">
        <v>45824.625</v>
      </c>
      <c r="AA42" s="54">
        <v>107.6</v>
      </c>
      <c r="AB42" s="72">
        <v>45951.625</v>
      </c>
      <c r="AC42" s="54">
        <v>100.3125</v>
      </c>
      <c r="AD42" s="72">
        <v>45930.625</v>
      </c>
      <c r="AE42" s="54">
        <v>100.828125</v>
      </c>
      <c r="AF42" s="72">
        <v>45931.625</v>
      </c>
      <c r="AG42" s="54">
        <v>100.578125</v>
      </c>
    </row>
    <row r="43" spans="1:33" x14ac:dyDescent="0.3">
      <c r="A43" s="128">
        <v>45954</v>
      </c>
      <c r="B43" s="45">
        <f t="shared" ref="B43" si="67">VLOOKUP($A43+$J$1,V:W,2)</f>
        <v>81.08</v>
      </c>
      <c r="C43" s="46">
        <f t="shared" si="18"/>
        <v>-36653.730056062093</v>
      </c>
      <c r="D43" s="46">
        <f t="shared" si="19"/>
        <v>-160387.5</v>
      </c>
      <c r="E43" s="45">
        <f t="shared" ref="E43" si="68">VLOOKUP($A43+$J$1,X:Y,2)</f>
        <v>100.125</v>
      </c>
      <c r="F43" s="46">
        <f t="shared" si="20"/>
        <v>1523.4375</v>
      </c>
      <c r="G43" s="47">
        <f t="shared" si="21"/>
        <v>-12885.342285156265</v>
      </c>
      <c r="H43" s="45">
        <f t="shared" ref="H43" si="69">VLOOKUP($A43+$J$1,Z:AA,2)</f>
        <v>112.72</v>
      </c>
      <c r="I43" s="46">
        <f t="shared" si="22"/>
        <v>97673.797980694304</v>
      </c>
      <c r="J43" s="47">
        <f t="shared" si="23"/>
        <v>-164970</v>
      </c>
      <c r="K43" s="45">
        <f t="shared" ref="K43" si="70">VLOOKUP($A43+$J$1,AB:AC,2)</f>
        <v>100.125</v>
      </c>
      <c r="L43" s="46">
        <f t="shared" si="24"/>
        <v>1328.125</v>
      </c>
      <c r="M43" s="47">
        <f t="shared" si="25"/>
        <v>-12523.635481770849</v>
      </c>
      <c r="N43" s="45">
        <f t="shared" ref="N43" si="71">VLOOKUP($A43+$J$1,AD:AE,2)</f>
        <v>102.0625</v>
      </c>
      <c r="O43" s="46">
        <f t="shared" si="26"/>
        <v>21679.6875</v>
      </c>
      <c r="P43" s="47">
        <f t="shared" si="27"/>
        <v>-447.00830078125</v>
      </c>
      <c r="Q43" s="45">
        <f t="shared" ref="Q43" si="72">VLOOKUP($A43+$J$1,AF:AG,2)</f>
        <v>102.6875</v>
      </c>
      <c r="R43" s="46">
        <f t="shared" si="28"/>
        <v>109101.5625</v>
      </c>
      <c r="S43" s="47">
        <f t="shared" si="29"/>
        <v>5121.8336914062602</v>
      </c>
      <c r="T43" s="79">
        <f t="shared" ref="T43" si="73">C43+D43-F43-G43-I43-J43+L43+M43+O43+P43+R43+S43+$J$9</f>
        <v>40154.160378583088</v>
      </c>
      <c r="V43" s="72">
        <v>45825.625</v>
      </c>
      <c r="W43" s="54">
        <v>79.430000000000007</v>
      </c>
      <c r="X43" s="72">
        <v>45952.625</v>
      </c>
      <c r="Y43" s="54">
        <v>100.3125</v>
      </c>
      <c r="Z43" s="72">
        <v>45825.625</v>
      </c>
      <c r="AA43" s="54">
        <v>107.97</v>
      </c>
      <c r="AB43" s="72">
        <v>45952.625</v>
      </c>
      <c r="AC43" s="54">
        <v>100.3125</v>
      </c>
      <c r="AD43" s="72">
        <v>45931.625</v>
      </c>
      <c r="AE43" s="54">
        <v>101.171875</v>
      </c>
      <c r="AF43" s="72">
        <v>45932.625</v>
      </c>
      <c r="AG43" s="54">
        <v>100.875</v>
      </c>
    </row>
    <row r="44" spans="1:33" x14ac:dyDescent="0.3">
      <c r="A44" s="36">
        <v>45957</v>
      </c>
      <c r="B44" s="45">
        <f t="shared" ref="B44" si="74">VLOOKUP($A44+$J$1,V:W,2)</f>
        <v>81.28</v>
      </c>
      <c r="C44" s="46">
        <f t="shared" si="18"/>
        <v>49590.340664078525</v>
      </c>
      <c r="D44" s="46">
        <f t="shared" si="19"/>
        <v>-172725</v>
      </c>
      <c r="E44" s="45">
        <f t="shared" ref="E44" si="75">VLOOKUP($A44+$J$1,X:Y,2)</f>
        <v>100.0625</v>
      </c>
      <c r="F44" s="46">
        <f t="shared" si="20"/>
        <v>-10664.062500000002</v>
      </c>
      <c r="G44" s="47">
        <f t="shared" si="21"/>
        <v>-13876.5224609375</v>
      </c>
      <c r="H44" s="45">
        <f t="shared" ref="H44" si="76">VLOOKUP($A44+$J$1,Z:AA,2)</f>
        <v>112.91</v>
      </c>
      <c r="I44" s="46">
        <f t="shared" si="22"/>
        <v>158519.7704932577</v>
      </c>
      <c r="J44" s="47">
        <f t="shared" si="23"/>
        <v>-177660</v>
      </c>
      <c r="K44" s="45">
        <f t="shared" ref="K44" si="77">VLOOKUP($A44+$J$1,AB:AC,2)</f>
        <v>100.0625</v>
      </c>
      <c r="L44" s="46">
        <f t="shared" si="24"/>
        <v>-9296.875</v>
      </c>
      <c r="M44" s="47">
        <f t="shared" si="25"/>
        <v>-13486.992057291674</v>
      </c>
      <c r="N44" s="45">
        <f t="shared" ref="N44" si="78">VLOOKUP($A44+$J$1,AD:AE,2)</f>
        <v>102.09375</v>
      </c>
      <c r="O44" s="46">
        <f t="shared" si="26"/>
        <v>24023.4375</v>
      </c>
      <c r="P44" s="47">
        <f t="shared" si="27"/>
        <v>-481.3935546875</v>
      </c>
      <c r="Q44" s="45">
        <f t="shared" ref="Q44" si="79">VLOOKUP($A44+$J$1,AF:AG,2)</f>
        <v>103.046875</v>
      </c>
      <c r="R44" s="46">
        <f t="shared" si="28"/>
        <v>146835.9375</v>
      </c>
      <c r="S44" s="47">
        <f t="shared" si="29"/>
        <v>5515.8208984375015</v>
      </c>
      <c r="T44" s="79">
        <f t="shared" ref="T44" si="80">C44+D44-F44-G44-I44-J44+L44+M44+O44+P44+R44+S44+$J$9</f>
        <v>107932.80913954574</v>
      </c>
      <c r="V44" s="72">
        <v>45826.625</v>
      </c>
      <c r="W44" s="54">
        <v>79.55</v>
      </c>
      <c r="X44" s="72">
        <v>45953.625</v>
      </c>
      <c r="Y44" s="54">
        <v>100.0859375</v>
      </c>
      <c r="Z44" s="72">
        <v>45826.625</v>
      </c>
      <c r="AA44" s="54">
        <v>108.05</v>
      </c>
      <c r="AB44" s="72">
        <v>45953.625</v>
      </c>
      <c r="AC44" s="54">
        <v>100.0859375</v>
      </c>
      <c r="AD44" s="72">
        <v>45932.625</v>
      </c>
      <c r="AE44" s="54">
        <v>101.3125</v>
      </c>
      <c r="AF44" s="72">
        <v>45933.625</v>
      </c>
      <c r="AG44" s="54">
        <v>100.609375</v>
      </c>
    </row>
    <row r="45" spans="1:33" x14ac:dyDescent="0.3">
      <c r="A45" s="36">
        <v>45958</v>
      </c>
      <c r="B45" s="45">
        <f t="shared" ref="B45" si="81">VLOOKUP($A45+$J$1,V:W,2)</f>
        <v>81.2</v>
      </c>
      <c r="C45" s="46">
        <f t="shared" si="18"/>
        <v>15092.712376019168</v>
      </c>
      <c r="D45" s="46">
        <f t="shared" si="19"/>
        <v>-176837.5</v>
      </c>
      <c r="E45" s="45">
        <f t="shared" ref="E45" si="82">VLOOKUP($A45+$J$1,X:Y,2)</f>
        <v>100.109375</v>
      </c>
      <c r="F45" s="46">
        <f t="shared" si="20"/>
        <v>-1523.4375</v>
      </c>
      <c r="G45" s="47">
        <f t="shared" si="21"/>
        <v>-14206.915852864593</v>
      </c>
      <c r="H45" s="45">
        <f t="shared" ref="H45" si="83">VLOOKUP($A45+$J$1,Z:AA,2)</f>
        <v>112.92</v>
      </c>
      <c r="I45" s="46">
        <f t="shared" si="22"/>
        <v>161722.19009918632</v>
      </c>
      <c r="J45" s="47">
        <f t="shared" si="23"/>
        <v>-181890</v>
      </c>
      <c r="K45" s="45">
        <f t="shared" ref="K45" si="84">VLOOKUP($A45+$J$1,AB:AC,2)</f>
        <v>100.109375</v>
      </c>
      <c r="L45" s="46">
        <f t="shared" si="24"/>
        <v>-1328.125</v>
      </c>
      <c r="M45" s="47">
        <f t="shared" si="25"/>
        <v>-13808.110915798621</v>
      </c>
      <c r="N45" s="45">
        <f t="shared" ref="N45" si="85">VLOOKUP($A45+$J$1,AD:AE,2)</f>
        <v>102.1875</v>
      </c>
      <c r="O45" s="46">
        <f t="shared" si="26"/>
        <v>31054.6875</v>
      </c>
      <c r="P45" s="47">
        <f t="shared" si="27"/>
        <v>-492.85530598957848</v>
      </c>
      <c r="Q45" s="45">
        <f t="shared" ref="Q45" si="86">VLOOKUP($A45+$J$1,AF:AG,2)</f>
        <v>103.3125</v>
      </c>
      <c r="R45" s="46">
        <f t="shared" si="28"/>
        <v>174726.5625</v>
      </c>
      <c r="S45" s="47">
        <f t="shared" si="29"/>
        <v>5647.1499674479128</v>
      </c>
      <c r="T45" s="79">
        <f t="shared" ref="T45" si="87">C45+D45-F45-G45-I45-J45+L45+M45+O45+P45+R45+S45+$J$9</f>
        <v>104229.40309668628</v>
      </c>
      <c r="V45" s="72">
        <v>45828.625</v>
      </c>
      <c r="W45" s="54">
        <v>79.790000000000006</v>
      </c>
      <c r="X45" s="72">
        <v>45954.625</v>
      </c>
      <c r="Y45" s="54">
        <v>100.125</v>
      </c>
      <c r="Z45" s="72">
        <v>45828.625</v>
      </c>
      <c r="AA45" s="54">
        <v>108.15</v>
      </c>
      <c r="AB45" s="72">
        <v>45954.625</v>
      </c>
      <c r="AC45" s="54">
        <v>100.125</v>
      </c>
      <c r="AD45" s="72">
        <v>45933.625</v>
      </c>
      <c r="AE45" s="54">
        <v>101.046875</v>
      </c>
      <c r="AF45" s="72">
        <v>45936.625</v>
      </c>
      <c r="AG45" s="54">
        <v>99.859375</v>
      </c>
    </row>
    <row r="46" spans="1:33" x14ac:dyDescent="0.3">
      <c r="A46" s="36">
        <v>45959</v>
      </c>
      <c r="B46" s="45">
        <f t="shared" ref="B46" si="88">VLOOKUP($A46+$J$1,V:W,2)</f>
        <v>80.95</v>
      </c>
      <c r="C46" s="46">
        <f t="shared" ref="C46" si="89">(B46/$B$14-1)*$B$5</f>
        <v>-92712.376024148834</v>
      </c>
      <c r="D46" s="46">
        <f t="shared" ref="D46" si="90">-1*(A46-$A$14)/360*$B$7*$B$5</f>
        <v>-180949.99999999997</v>
      </c>
      <c r="E46" s="45">
        <f t="shared" ref="E46" si="91">VLOOKUP($A46+$J$1,X:Y,2)</f>
        <v>99.65625</v>
      </c>
      <c r="F46" s="46">
        <f t="shared" ref="F46" si="92">(E46-$E$14)/100*$C$5</f>
        <v>-89882.8125</v>
      </c>
      <c r="G46" s="47">
        <f t="shared" ref="G46" si="93">(A46-$A$14)/360*$C$6*$C$5-(A46-$A$14)/360*$C$7*$C$5*$E$14/100</f>
        <v>-14537.309244791672</v>
      </c>
      <c r="H46" s="45">
        <f t="shared" ref="H46" si="94">VLOOKUP($A46+$J$1,Z:AA,2)</f>
        <v>112.28</v>
      </c>
      <c r="I46" s="46">
        <f t="shared" ref="I46" si="95">(H46/$H$14-1)*$D$5</f>
        <v>-43232.664679980102</v>
      </c>
      <c r="J46" s="47">
        <f t="shared" ref="J46" si="96">-1*(A46-$A$14)/360*$D$7*$D$5</f>
        <v>-186119.99999999997</v>
      </c>
      <c r="K46" s="45">
        <f t="shared" ref="K46" si="97">VLOOKUP($A46+$J$1,AB:AC,2)</f>
        <v>99.65625</v>
      </c>
      <c r="L46" s="46">
        <f t="shared" ref="L46" si="98">(K46-$K$14)/100*$E$5</f>
        <v>-78359.375</v>
      </c>
      <c r="M46" s="47">
        <f t="shared" ref="M46" si="99">(A46-$A$14)/360*$E$6*$E$5-(A46-$A$14)/360*$E$7*$E$5*$N$14/100</f>
        <v>-14129.229774305539</v>
      </c>
      <c r="N46" s="45">
        <f t="shared" ref="N46" si="100">VLOOKUP($A46+$J$1,AD:AE,2)</f>
        <v>101.453125</v>
      </c>
      <c r="O46" s="46">
        <f t="shared" ref="O46" si="101">(N46-$N$14)/100*$F$5</f>
        <v>-24023.4375</v>
      </c>
      <c r="P46" s="47">
        <f t="shared" ref="P46" si="102">(A46-$A$14)/360*$F$6*$F$5-(A46-$A$14)/360*$F$7*$F$5*$N$14/100</f>
        <v>-504.31705729166424</v>
      </c>
      <c r="Q46" s="45">
        <f t="shared" ref="Q46" si="103">VLOOKUP($A46+$J$1,AF:AG,2)</f>
        <v>102.265625</v>
      </c>
      <c r="R46" s="46">
        <f t="shared" ref="R46" si="104">(Q46-$Q$14)/100*$G$5</f>
        <v>64804.6875</v>
      </c>
      <c r="S46" s="47">
        <f t="shared" ref="S46" si="105">(A46-$A$14)/360*$G$6*$G$5-(A46-$A$14)/360*$G$7*$G$5*$Q$14/100</f>
        <v>5778.4790364583387</v>
      </c>
      <c r="T46" s="79">
        <f t="shared" ref="T46" si="106">C46+D46-F46-G46-I46-J46+L46+M46+O46+P46+R46+S46+$J$9</f>
        <v>47953.936326813244</v>
      </c>
      <c r="V46" s="72">
        <v>45831.625</v>
      </c>
      <c r="W46" s="54">
        <v>79.95</v>
      </c>
      <c r="X46" s="72">
        <v>45957.625</v>
      </c>
      <c r="Y46" s="54">
        <v>100.0625</v>
      </c>
      <c r="Z46" s="72">
        <v>45831.625</v>
      </c>
      <c r="AA46" s="54">
        <v>108.41</v>
      </c>
      <c r="AB46" s="72">
        <v>45957.625</v>
      </c>
      <c r="AC46" s="54">
        <v>100.0625</v>
      </c>
      <c r="AD46" s="72">
        <v>45936.625</v>
      </c>
      <c r="AE46" s="54">
        <v>100.6875</v>
      </c>
      <c r="AF46" s="72">
        <v>45937.625</v>
      </c>
      <c r="AG46" s="54">
        <v>100.390625</v>
      </c>
    </row>
    <row r="47" spans="1:33" x14ac:dyDescent="0.3">
      <c r="A47" s="36">
        <v>45960</v>
      </c>
      <c r="B47" s="45">
        <f t="shared" ref="B47" si="107">VLOOKUP($A47+$J$1,V:W,2)</f>
        <v>80.8</v>
      </c>
      <c r="C47" s="46">
        <f t="shared" ref="C47:C48" si="108">(B47/$B$14-1)*$B$5</f>
        <v>-157395.42906425431</v>
      </c>
      <c r="D47" s="46">
        <f t="shared" ref="D47:D48" si="109">-1*(A47-$A$14)/360*$B$7*$B$5</f>
        <v>-185062.5</v>
      </c>
      <c r="E47" s="45">
        <f t="shared" ref="E47" si="110">VLOOKUP($A47+$J$1,X:Y,2)</f>
        <v>99.6171875</v>
      </c>
      <c r="F47" s="46">
        <f t="shared" ref="F47:F48" si="111">(E47-$E$14)/100*$C$5</f>
        <v>-97500</v>
      </c>
      <c r="G47" s="47">
        <f t="shared" ref="G47:G48" si="112">(A47-$A$14)/360*$C$6*$C$5-(A47-$A$14)/360*$C$7*$C$5*$E$14/100</f>
        <v>-14867.70263671875</v>
      </c>
      <c r="H47" s="45">
        <f t="shared" ref="H47" si="113">VLOOKUP($A47+$J$1,Z:AA,2)</f>
        <v>111.68</v>
      </c>
      <c r="I47" s="46">
        <f t="shared" ref="I47:I48" si="114">(H47/$H$14-1)*$D$5</f>
        <v>-235377.84103544813</v>
      </c>
      <c r="J47" s="47">
        <f t="shared" ref="J47:J48" si="115">-1*(A47-$A$14)/360*$D$7*$D$5</f>
        <v>-190350</v>
      </c>
      <c r="K47" s="45">
        <f t="shared" ref="K47" si="116">VLOOKUP($A47+$J$1,AB:AC,2)</f>
        <v>99.6171875</v>
      </c>
      <c r="L47" s="46">
        <f t="shared" ref="L47:L48" si="117">(K47-$K$14)/100*$E$5</f>
        <v>-85000</v>
      </c>
      <c r="M47" s="47">
        <f t="shared" ref="M47:M48" si="118">(A47-$A$14)/360*$E$6*$E$5-(A47-$A$14)/360*$E$7*$E$5*$N$14/100</f>
        <v>-14450.3486328125</v>
      </c>
      <c r="N47" s="45">
        <f t="shared" ref="N47" si="119">VLOOKUP($A47+$J$1,AD:AE,2)</f>
        <v>101.28125</v>
      </c>
      <c r="O47" s="46">
        <f t="shared" ref="O47:O48" si="120">(N47-$N$14)/100*$F$5</f>
        <v>-36914.0625</v>
      </c>
      <c r="P47" s="47">
        <f t="shared" ref="P47:P48" si="121">(A47-$A$14)/360*$F$6*$F$5-(A47-$A$14)/360*$F$7*$F$5*$N$14/100</f>
        <v>-515.77880859375</v>
      </c>
      <c r="Q47" s="45">
        <f t="shared" ref="Q47" si="122">VLOOKUP($A47+$J$1,AF:AG,2)</f>
        <v>101.703125</v>
      </c>
      <c r="R47" s="46">
        <f t="shared" ref="R47:R48" si="123">(Q47-$Q$14)/100*$G$5</f>
        <v>5742.1875000000009</v>
      </c>
      <c r="S47" s="47">
        <f t="shared" ref="S47:S48" si="124">(A47-$A$14)/360*$G$6*$G$5-(A47-$A$14)/360*$G$7*$G$5*$Q$14/100</f>
        <v>5909.80810546875</v>
      </c>
      <c r="T47" s="79">
        <f t="shared" ref="T47" si="125">C47+D47-F47-G47-I47-J47+L47+M47+O47+P47+R47+S47+$J$9</f>
        <v>104686.13899330422</v>
      </c>
      <c r="V47" s="72">
        <v>45832.625</v>
      </c>
      <c r="W47" s="54">
        <v>80.17</v>
      </c>
      <c r="X47" s="72">
        <v>45958.625</v>
      </c>
      <c r="Y47" s="54">
        <v>100.109375</v>
      </c>
      <c r="Z47" s="72">
        <v>45832.625</v>
      </c>
      <c r="AA47" s="54">
        <v>108.92</v>
      </c>
      <c r="AB47" s="72">
        <v>45958.625</v>
      </c>
      <c r="AC47" s="54">
        <v>100.109375</v>
      </c>
      <c r="AD47" s="72">
        <v>45937.625</v>
      </c>
      <c r="AE47" s="54">
        <v>100.96875</v>
      </c>
      <c r="AF47" s="72">
        <v>45938.625</v>
      </c>
      <c r="AG47" s="54">
        <v>100.4375</v>
      </c>
    </row>
    <row r="48" spans="1:33" x14ac:dyDescent="0.3">
      <c r="A48" s="36">
        <v>45961</v>
      </c>
      <c r="B48" s="45">
        <f>B10</f>
        <v>80.290000000000006</v>
      </c>
      <c r="C48" s="46">
        <f t="shared" si="108"/>
        <v>-377317.80940060358</v>
      </c>
      <c r="D48" s="46">
        <f t="shared" si="109"/>
        <v>-189174.99999999997</v>
      </c>
      <c r="E48" s="45">
        <f>C10</f>
        <v>99.640625</v>
      </c>
      <c r="F48" s="46">
        <f t="shared" si="111"/>
        <v>-92929.6875</v>
      </c>
      <c r="G48" s="47">
        <f t="shared" si="112"/>
        <v>-15198.096028645828</v>
      </c>
      <c r="H48" s="45">
        <f>D10</f>
        <v>110.48</v>
      </c>
      <c r="I48" s="46">
        <f t="shared" si="114"/>
        <v>-619668.19374638819</v>
      </c>
      <c r="J48" s="47">
        <f t="shared" si="115"/>
        <v>-194579.99999999997</v>
      </c>
      <c r="K48" s="45">
        <f>E10</f>
        <v>99.640625</v>
      </c>
      <c r="L48" s="46">
        <f t="shared" si="117"/>
        <v>-81015.625</v>
      </c>
      <c r="M48" s="47">
        <f t="shared" si="118"/>
        <v>-14771.467491319432</v>
      </c>
      <c r="N48" s="45">
        <f>F10</f>
        <v>101.140625</v>
      </c>
      <c r="O48" s="46">
        <f t="shared" si="120"/>
        <v>-47460.9375</v>
      </c>
      <c r="P48" s="47">
        <f t="shared" si="121"/>
        <v>-527.24055989582848</v>
      </c>
      <c r="Q48" s="45">
        <f>G10</f>
        <v>100.890625</v>
      </c>
      <c r="R48" s="46">
        <f t="shared" si="123"/>
        <v>-79570.3125</v>
      </c>
      <c r="S48" s="47">
        <f t="shared" si="124"/>
        <v>6041.1371744791759</v>
      </c>
      <c r="T48" s="79">
        <f>C48+D48-F48-G48-I48-J48+L48+M48+O48+P48+R48+S48+$J$9</f>
        <v>172855.44071902343</v>
      </c>
      <c r="V48" s="72">
        <v>45833.625</v>
      </c>
      <c r="W48" s="54">
        <v>80.150000000000006</v>
      </c>
      <c r="X48" s="72">
        <v>45959.625</v>
      </c>
      <c r="Y48" s="54">
        <v>99.65625</v>
      </c>
      <c r="Z48" s="72">
        <v>45833.625</v>
      </c>
      <c r="AA48" s="54">
        <v>108.79</v>
      </c>
      <c r="AB48" s="72">
        <v>45959.625</v>
      </c>
      <c r="AC48" s="54">
        <v>99.65625</v>
      </c>
      <c r="AD48" s="72">
        <v>45938.625</v>
      </c>
      <c r="AE48" s="54">
        <v>100.953125</v>
      </c>
      <c r="AF48" s="72">
        <v>45939.625</v>
      </c>
      <c r="AG48" s="54">
        <v>100.390625</v>
      </c>
    </row>
    <row r="49" spans="1:33" x14ac:dyDescent="0.3">
      <c r="A49" s="36">
        <v>45964</v>
      </c>
      <c r="B49" s="45"/>
      <c r="C49" s="31"/>
      <c r="D49" s="31"/>
      <c r="E49" s="4"/>
      <c r="F49" s="31"/>
      <c r="G49" s="32"/>
      <c r="H49" s="4"/>
      <c r="I49" s="31"/>
      <c r="J49" s="32"/>
      <c r="K49" s="4"/>
      <c r="L49" s="31"/>
      <c r="M49" s="32"/>
      <c r="N49" s="4"/>
      <c r="O49" s="31"/>
      <c r="P49" s="32"/>
      <c r="Q49" s="4"/>
      <c r="R49" s="31"/>
      <c r="S49" s="32"/>
      <c r="T49" s="38"/>
      <c r="V49" s="72">
        <v>45834.625</v>
      </c>
      <c r="W49" s="54">
        <v>80.38</v>
      </c>
      <c r="X49" s="72">
        <v>45960.625</v>
      </c>
      <c r="Y49" s="54">
        <v>99.6171875</v>
      </c>
      <c r="Z49" s="72">
        <v>45834.625</v>
      </c>
      <c r="AA49" s="54">
        <v>109.19</v>
      </c>
      <c r="AB49" s="72">
        <v>45960.625</v>
      </c>
      <c r="AC49" s="54">
        <v>99.6171875</v>
      </c>
      <c r="AD49" s="72">
        <v>45939.625</v>
      </c>
      <c r="AE49" s="54">
        <v>100.875</v>
      </c>
      <c r="AF49" s="72">
        <v>45940.625</v>
      </c>
      <c r="AG49" s="54">
        <v>101.875</v>
      </c>
    </row>
    <row r="50" spans="1:33" x14ac:dyDescent="0.3">
      <c r="A50" s="36">
        <v>45965</v>
      </c>
      <c r="B50" s="45"/>
      <c r="C50" s="31"/>
      <c r="D50" s="31"/>
      <c r="E50" s="4"/>
      <c r="F50" s="31"/>
      <c r="G50" s="32"/>
      <c r="H50" s="4"/>
      <c r="I50" s="31"/>
      <c r="J50" s="32"/>
      <c r="K50" s="4"/>
      <c r="L50" s="31"/>
      <c r="M50" s="32"/>
      <c r="N50" s="4"/>
      <c r="O50" s="31"/>
      <c r="P50" s="32"/>
      <c r="Q50" s="4"/>
      <c r="R50" s="31"/>
      <c r="S50" s="32"/>
      <c r="T50" s="38"/>
      <c r="V50" s="72">
        <v>45835.625</v>
      </c>
      <c r="W50" s="54">
        <v>80.34</v>
      </c>
      <c r="X50" s="72">
        <v>45961.625</v>
      </c>
      <c r="Y50" s="54">
        <v>99.671875</v>
      </c>
      <c r="Z50" s="72">
        <v>45835.625</v>
      </c>
      <c r="AA50" s="54">
        <v>109.01</v>
      </c>
      <c r="AB50" s="72">
        <v>45961.625</v>
      </c>
      <c r="AC50" s="54">
        <v>99.671875</v>
      </c>
      <c r="AD50" s="72">
        <v>45940.625</v>
      </c>
      <c r="AE50" s="54">
        <v>101.578125</v>
      </c>
      <c r="AF50" s="72">
        <v>45943.625</v>
      </c>
      <c r="AG50" s="54">
        <v>102.109375</v>
      </c>
    </row>
    <row r="51" spans="1:33" x14ac:dyDescent="0.3">
      <c r="A51" s="36">
        <v>45966</v>
      </c>
      <c r="B51" s="45"/>
      <c r="C51" s="31"/>
      <c r="D51" s="31"/>
      <c r="E51" s="4"/>
      <c r="F51" s="31"/>
      <c r="G51" s="32"/>
      <c r="H51" s="4"/>
      <c r="I51" s="31"/>
      <c r="J51" s="32"/>
      <c r="K51" s="4"/>
      <c r="L51" s="31"/>
      <c r="M51" s="32"/>
      <c r="N51" s="4"/>
      <c r="O51" s="31"/>
      <c r="P51" s="32"/>
      <c r="Q51" s="4"/>
      <c r="R51" s="31"/>
      <c r="S51" s="32"/>
      <c r="T51" s="38"/>
      <c r="V51" s="72">
        <v>45838.625</v>
      </c>
      <c r="W51" s="54">
        <v>80.650000000000006</v>
      </c>
      <c r="Z51" s="72">
        <v>45838.625</v>
      </c>
      <c r="AA51" s="54">
        <v>109.61</v>
      </c>
      <c r="AD51" s="72">
        <v>45943.625</v>
      </c>
      <c r="AE51" s="54">
        <v>101.75</v>
      </c>
      <c r="AF51" s="72">
        <v>45944.625</v>
      </c>
      <c r="AG51" s="54">
        <v>102.140625</v>
      </c>
    </row>
    <row r="52" spans="1:33" x14ac:dyDescent="0.3">
      <c r="A52" s="36">
        <v>45967</v>
      </c>
      <c r="B52" s="45"/>
      <c r="C52" s="31"/>
      <c r="D52" s="31"/>
      <c r="E52" s="4"/>
      <c r="F52" s="31"/>
      <c r="G52" s="32"/>
      <c r="H52" s="4"/>
      <c r="I52" s="31"/>
      <c r="J52" s="32"/>
      <c r="K52" s="4"/>
      <c r="L52" s="31"/>
      <c r="M52" s="32"/>
      <c r="N52" s="4"/>
      <c r="O52" s="31"/>
      <c r="P52" s="32"/>
      <c r="Q52" s="4"/>
      <c r="R52" s="31"/>
      <c r="S52" s="32"/>
      <c r="T52" s="38"/>
      <c r="V52" s="72">
        <v>45839.625</v>
      </c>
      <c r="W52" s="54">
        <v>80.17</v>
      </c>
      <c r="Z52" s="72">
        <v>45839.625</v>
      </c>
      <c r="AA52" s="54">
        <v>109.34</v>
      </c>
      <c r="AD52" s="72">
        <v>45944.625</v>
      </c>
      <c r="AE52" s="54">
        <v>101.859375</v>
      </c>
      <c r="AF52" s="72">
        <v>45945.625</v>
      </c>
      <c r="AG52" s="54">
        <v>101.921875</v>
      </c>
    </row>
    <row r="53" spans="1:33" x14ac:dyDescent="0.3">
      <c r="A53" s="36">
        <v>45968</v>
      </c>
      <c r="B53" s="45"/>
      <c r="C53" s="31"/>
      <c r="D53" s="31"/>
      <c r="E53" s="4"/>
      <c r="F53" s="31"/>
      <c r="G53" s="32"/>
      <c r="H53" s="4"/>
      <c r="I53" s="31"/>
      <c r="J53" s="32"/>
      <c r="K53" s="4"/>
      <c r="L53" s="31"/>
      <c r="M53" s="32"/>
      <c r="N53" s="4"/>
      <c r="O53" s="31"/>
      <c r="P53" s="32"/>
      <c r="Q53" s="4"/>
      <c r="R53" s="31"/>
      <c r="S53" s="32"/>
      <c r="T53" s="38"/>
      <c r="V53" s="72">
        <v>45840.625</v>
      </c>
      <c r="W53" s="54">
        <v>80.319999999999993</v>
      </c>
      <c r="Z53" s="72">
        <v>45840.625</v>
      </c>
      <c r="AA53" s="54">
        <v>109.32</v>
      </c>
      <c r="AD53" s="72">
        <v>45945.625</v>
      </c>
      <c r="AE53" s="54">
        <v>101.734375</v>
      </c>
      <c r="AF53" s="72">
        <v>45946.625</v>
      </c>
      <c r="AG53" s="54">
        <v>102.671875</v>
      </c>
    </row>
    <row r="54" spans="1:33" x14ac:dyDescent="0.3">
      <c r="A54" s="36">
        <v>45969</v>
      </c>
      <c r="B54" s="45"/>
      <c r="C54" s="31"/>
      <c r="D54" s="31"/>
      <c r="E54" s="4"/>
      <c r="F54" s="31"/>
      <c r="G54" s="32"/>
      <c r="H54" s="4"/>
      <c r="I54" s="31"/>
      <c r="J54" s="32"/>
      <c r="K54" s="4"/>
      <c r="L54" s="31"/>
      <c r="M54" s="32"/>
      <c r="N54" s="4"/>
      <c r="O54" s="31"/>
      <c r="P54" s="32"/>
      <c r="Q54" s="4"/>
      <c r="R54" s="31"/>
      <c r="S54" s="32"/>
      <c r="T54" s="38"/>
      <c r="V54" s="72">
        <v>45841.625</v>
      </c>
      <c r="W54" s="54">
        <v>80.37</v>
      </c>
      <c r="Z54" s="72">
        <v>45841.625</v>
      </c>
      <c r="AA54" s="54">
        <v>109.06</v>
      </c>
      <c r="AD54" s="72">
        <v>45946.625</v>
      </c>
      <c r="AE54" s="54">
        <v>102.234375</v>
      </c>
      <c r="AF54" s="72">
        <v>45947.625</v>
      </c>
      <c r="AG54" s="54">
        <v>102.46875</v>
      </c>
    </row>
    <row r="55" spans="1:33" x14ac:dyDescent="0.3">
      <c r="A55" s="36">
        <v>45970</v>
      </c>
      <c r="B55" s="45"/>
      <c r="C55" s="31"/>
      <c r="D55" s="31"/>
      <c r="E55" s="4"/>
      <c r="F55" s="31"/>
      <c r="G55" s="32"/>
      <c r="H55" s="4"/>
      <c r="I55" s="31"/>
      <c r="J55" s="32"/>
      <c r="K55" s="4"/>
      <c r="L55" s="31"/>
      <c r="M55" s="32"/>
      <c r="N55" s="4"/>
      <c r="O55" s="31"/>
      <c r="P55" s="32"/>
      <c r="Q55" s="4"/>
      <c r="R55" s="31"/>
      <c r="S55" s="32"/>
      <c r="T55" s="38"/>
      <c r="V55" s="72">
        <v>45845.625</v>
      </c>
      <c r="W55" s="54">
        <v>80.099999999999994</v>
      </c>
      <c r="Z55" s="72">
        <v>45845.625</v>
      </c>
      <c r="AA55" s="54">
        <v>108.41</v>
      </c>
      <c r="AD55" s="72">
        <v>45947.625</v>
      </c>
      <c r="AE55" s="54">
        <v>102.015625</v>
      </c>
      <c r="AF55" s="72">
        <v>45950.625</v>
      </c>
      <c r="AG55" s="54">
        <v>102.859375</v>
      </c>
    </row>
    <row r="56" spans="1:33" x14ac:dyDescent="0.3">
      <c r="A56" s="128"/>
      <c r="B56" s="45"/>
      <c r="C56" s="31"/>
      <c r="D56" s="31"/>
      <c r="E56" s="4"/>
      <c r="F56" s="31"/>
      <c r="G56" s="32"/>
      <c r="H56" s="4"/>
      <c r="I56" s="31"/>
      <c r="J56" s="32"/>
      <c r="K56" s="4"/>
      <c r="L56" s="31"/>
      <c r="M56" s="32"/>
      <c r="N56" s="4"/>
      <c r="O56" s="31"/>
      <c r="P56" s="32"/>
      <c r="Q56" s="4"/>
      <c r="R56" s="31"/>
      <c r="S56" s="32"/>
      <c r="T56" s="38"/>
      <c r="V56" s="72">
        <v>45846.625</v>
      </c>
      <c r="W56" s="54">
        <v>79.989999999999995</v>
      </c>
      <c r="Z56" s="72">
        <v>45846.625</v>
      </c>
      <c r="AA56" s="54">
        <v>108.1</v>
      </c>
      <c r="AD56" s="72">
        <v>45950.625</v>
      </c>
      <c r="AE56" s="54">
        <v>102.171875</v>
      </c>
      <c r="AF56" s="72">
        <v>45951.625</v>
      </c>
      <c r="AG56" s="54">
        <v>103.359375</v>
      </c>
    </row>
    <row r="57" spans="1:33" x14ac:dyDescent="0.3">
      <c r="A57" s="128"/>
      <c r="B57" s="45"/>
      <c r="C57" s="31"/>
      <c r="D57" s="31"/>
      <c r="E57" s="4"/>
      <c r="F57" s="31"/>
      <c r="G57" s="32"/>
      <c r="H57" s="4"/>
      <c r="I57" s="31"/>
      <c r="J57" s="32"/>
      <c r="K57" s="4"/>
      <c r="L57" s="31"/>
      <c r="M57" s="32"/>
      <c r="N57" s="4"/>
      <c r="O57" s="31"/>
      <c r="P57" s="32"/>
      <c r="Q57" s="4"/>
      <c r="R57" s="31"/>
      <c r="S57" s="32"/>
      <c r="T57" s="38"/>
      <c r="V57" s="72">
        <v>45847.625</v>
      </c>
      <c r="W57" s="54">
        <v>80.209999999999994</v>
      </c>
      <c r="Z57" s="72">
        <v>45847.625</v>
      </c>
      <c r="AA57" s="54">
        <v>108.71</v>
      </c>
      <c r="AD57" s="72">
        <v>45951.625</v>
      </c>
      <c r="AE57" s="54">
        <v>102.359375</v>
      </c>
      <c r="AF57" s="72">
        <v>45952.625</v>
      </c>
      <c r="AG57" s="54">
        <v>103.4375</v>
      </c>
    </row>
    <row r="58" spans="1:33" x14ac:dyDescent="0.3">
      <c r="A58" s="128"/>
      <c r="B58" s="45"/>
      <c r="C58" s="31"/>
      <c r="D58" s="31"/>
      <c r="E58" s="4"/>
      <c r="F58" s="31"/>
      <c r="G58" s="32"/>
      <c r="H58" s="4"/>
      <c r="I58" s="31"/>
      <c r="J58" s="32"/>
      <c r="K58" s="4"/>
      <c r="L58" s="31"/>
      <c r="M58" s="32"/>
      <c r="N58" s="4"/>
      <c r="O58" s="31"/>
      <c r="P58" s="32"/>
      <c r="Q58" s="4"/>
      <c r="R58" s="31"/>
      <c r="S58" s="32"/>
      <c r="T58" s="38"/>
      <c r="V58" s="72">
        <v>45848.625</v>
      </c>
      <c r="W58" s="54">
        <v>80.13</v>
      </c>
      <c r="Z58" s="72">
        <v>45848.625</v>
      </c>
      <c r="AA58" s="54">
        <v>108.74</v>
      </c>
      <c r="AD58" s="72">
        <v>45952.625</v>
      </c>
      <c r="AE58" s="54">
        <v>102.390625</v>
      </c>
      <c r="AF58" s="72">
        <v>45953.625</v>
      </c>
      <c r="AG58" s="54">
        <v>102.75</v>
      </c>
    </row>
    <row r="59" spans="1:33" x14ac:dyDescent="0.3">
      <c r="A59" s="128"/>
      <c r="B59" s="45"/>
      <c r="C59" s="31"/>
      <c r="D59" s="31"/>
      <c r="E59" s="4"/>
      <c r="F59" s="31"/>
      <c r="G59" s="32"/>
      <c r="H59" s="4"/>
      <c r="I59" s="31"/>
      <c r="J59" s="32"/>
      <c r="K59" s="4"/>
      <c r="L59" s="31"/>
      <c r="M59" s="32"/>
      <c r="N59" s="4"/>
      <c r="O59" s="31"/>
      <c r="P59" s="32"/>
      <c r="Q59" s="4"/>
      <c r="R59" s="31"/>
      <c r="S59" s="32"/>
      <c r="T59" s="38"/>
      <c r="V59" s="72">
        <v>45849.625</v>
      </c>
      <c r="W59" s="54">
        <v>80.03</v>
      </c>
      <c r="Z59" s="72">
        <v>45849.625</v>
      </c>
      <c r="AA59" s="54">
        <v>108.08</v>
      </c>
      <c r="AD59" s="72">
        <v>45953.625</v>
      </c>
      <c r="AE59" s="54">
        <v>102.015625</v>
      </c>
      <c r="AF59" s="72">
        <v>45954.625</v>
      </c>
      <c r="AG59" s="54">
        <v>102.6875</v>
      </c>
    </row>
    <row r="60" spans="1:33" x14ac:dyDescent="0.3">
      <c r="A60" s="128"/>
      <c r="B60" s="45"/>
      <c r="C60" s="31"/>
      <c r="D60" s="31"/>
      <c r="E60" s="4"/>
      <c r="F60" s="31"/>
      <c r="G60" s="32"/>
      <c r="H60" s="4"/>
      <c r="I60" s="31"/>
      <c r="J60" s="32"/>
      <c r="K60" s="4"/>
      <c r="L60" s="31"/>
      <c r="M60" s="32"/>
      <c r="N60" s="4"/>
      <c r="O60" s="31"/>
      <c r="P60" s="32"/>
      <c r="Q60" s="4"/>
      <c r="R60" s="31"/>
      <c r="S60" s="32"/>
      <c r="T60" s="38"/>
      <c r="V60" s="72">
        <v>45852.625</v>
      </c>
      <c r="W60" s="54">
        <v>80.09</v>
      </c>
      <c r="Z60" s="72">
        <v>45852.625</v>
      </c>
      <c r="AA60" s="54">
        <v>108.05</v>
      </c>
      <c r="AD60" s="72">
        <v>45954.625</v>
      </c>
      <c r="AE60" s="54">
        <v>102.0625</v>
      </c>
      <c r="AF60" s="72">
        <v>45957.625</v>
      </c>
      <c r="AG60" s="54">
        <v>103.046875</v>
      </c>
    </row>
    <row r="61" spans="1:33" x14ac:dyDescent="0.3">
      <c r="A61" s="128"/>
      <c r="B61" s="45"/>
      <c r="C61" s="31"/>
      <c r="D61" s="31"/>
      <c r="E61" s="4"/>
      <c r="F61" s="31"/>
      <c r="G61" s="32"/>
      <c r="H61" s="4"/>
      <c r="I61" s="31"/>
      <c r="J61" s="32"/>
      <c r="K61" s="4"/>
      <c r="L61" s="31"/>
      <c r="M61" s="32"/>
      <c r="N61" s="4"/>
      <c r="O61" s="31"/>
      <c r="P61" s="32"/>
      <c r="Q61" s="4"/>
      <c r="R61" s="31"/>
      <c r="S61" s="32"/>
      <c r="T61" s="38"/>
      <c r="V61" s="72">
        <v>45853.625</v>
      </c>
      <c r="W61" s="54">
        <v>79.849999999999994</v>
      </c>
      <c r="Z61" s="72">
        <v>45853.625</v>
      </c>
      <c r="AA61" s="54">
        <v>107.66</v>
      </c>
      <c r="AD61" s="72">
        <v>45957.625</v>
      </c>
      <c r="AE61" s="54">
        <v>102.09375</v>
      </c>
      <c r="AF61" s="72">
        <v>45958.625</v>
      </c>
      <c r="AG61" s="54">
        <v>103.3125</v>
      </c>
    </row>
    <row r="62" spans="1:33" ht="15" thickBot="1" x14ac:dyDescent="0.35">
      <c r="A62" s="129"/>
      <c r="B62" s="48"/>
      <c r="C62" s="49"/>
      <c r="D62" s="49"/>
      <c r="E62" s="11"/>
      <c r="F62" s="49"/>
      <c r="G62" s="50"/>
      <c r="H62" s="11"/>
      <c r="I62" s="49"/>
      <c r="J62" s="50"/>
      <c r="K62" s="11"/>
      <c r="L62" s="49"/>
      <c r="M62" s="50"/>
      <c r="N62" s="11"/>
      <c r="O62" s="49"/>
      <c r="P62" s="50"/>
      <c r="Q62" s="11"/>
      <c r="R62" s="49"/>
      <c r="S62" s="50"/>
      <c r="T62" s="51"/>
      <c r="V62" s="72">
        <v>45854.625</v>
      </c>
      <c r="W62" s="54">
        <v>80.06</v>
      </c>
      <c r="Z62" s="72">
        <v>45854.625</v>
      </c>
      <c r="AA62" s="54">
        <v>107.83</v>
      </c>
      <c r="AD62" s="72">
        <v>45958.625</v>
      </c>
      <c r="AE62" s="54">
        <v>102.1875</v>
      </c>
      <c r="AF62" s="72">
        <v>45959.625</v>
      </c>
      <c r="AG62" s="54">
        <v>102.265625</v>
      </c>
    </row>
    <row r="63" spans="1:33" x14ac:dyDescent="0.3">
      <c r="B63" s="56"/>
      <c r="C63" s="56"/>
      <c r="D63" s="56"/>
      <c r="E63" s="56"/>
      <c r="F63" s="56"/>
      <c r="H63" s="55"/>
      <c r="I63" s="55"/>
      <c r="K63" s="56"/>
      <c r="L63" s="56"/>
      <c r="N63" s="55"/>
      <c r="O63" s="55"/>
      <c r="R63" s="55"/>
      <c r="S63" s="55"/>
      <c r="T63" s="55"/>
      <c r="V63" s="72">
        <v>45855.625</v>
      </c>
      <c r="W63" s="54">
        <v>80.14</v>
      </c>
      <c r="Z63" s="72">
        <v>45855.625</v>
      </c>
      <c r="AA63" s="54">
        <v>108.09</v>
      </c>
      <c r="AD63" s="72">
        <v>45959.625</v>
      </c>
      <c r="AE63" s="54">
        <v>101.453125</v>
      </c>
      <c r="AF63" s="72">
        <v>45960.625</v>
      </c>
      <c r="AG63" s="54">
        <v>101.703125</v>
      </c>
    </row>
    <row r="64" spans="1:33" x14ac:dyDescent="0.3">
      <c r="B64" s="72"/>
      <c r="C64" s="56"/>
      <c r="D64" s="72"/>
      <c r="E64" s="56"/>
      <c r="F64" s="72"/>
      <c r="H64" s="72"/>
      <c r="J64" s="72"/>
      <c r="K64" s="56"/>
      <c r="L64" s="72"/>
      <c r="R64" s="55"/>
      <c r="S64" s="55"/>
      <c r="T64" s="55"/>
      <c r="V64" s="72">
        <v>45856.625</v>
      </c>
      <c r="W64" s="54">
        <v>80.25</v>
      </c>
      <c r="Z64" s="72">
        <v>45856.625</v>
      </c>
      <c r="AA64" s="54">
        <v>108.29</v>
      </c>
      <c r="AD64" s="72">
        <v>45960.625</v>
      </c>
      <c r="AE64" s="54">
        <v>101.28125</v>
      </c>
      <c r="AF64" s="72">
        <v>45961.625</v>
      </c>
      <c r="AG64" s="54">
        <v>101.375</v>
      </c>
    </row>
    <row r="65" spans="2:31" x14ac:dyDescent="0.3">
      <c r="B65" s="72"/>
      <c r="C65" s="56"/>
      <c r="D65" s="72"/>
      <c r="E65" s="56"/>
      <c r="F65" s="72"/>
      <c r="H65" s="72"/>
      <c r="J65" s="72"/>
      <c r="K65" s="56"/>
      <c r="L65" s="72"/>
      <c r="R65" s="55"/>
      <c r="S65" s="55"/>
      <c r="T65" s="55"/>
      <c r="V65" s="72">
        <v>45859.625</v>
      </c>
      <c r="W65" s="54">
        <v>80.36</v>
      </c>
      <c r="Z65" s="72">
        <v>45859.625</v>
      </c>
      <c r="AA65" s="54">
        <v>108.71</v>
      </c>
      <c r="AD65" s="72">
        <v>45961.625</v>
      </c>
      <c r="AE65" s="54">
        <v>101.25</v>
      </c>
    </row>
    <row r="66" spans="2:31" x14ac:dyDescent="0.3">
      <c r="B66" s="72"/>
      <c r="C66" s="56"/>
      <c r="D66" s="72"/>
      <c r="E66" s="56"/>
      <c r="F66" s="72"/>
      <c r="H66" s="72"/>
      <c r="J66" s="72"/>
      <c r="K66" s="56"/>
      <c r="L66" s="72"/>
      <c r="R66" s="55"/>
      <c r="S66" s="55"/>
      <c r="T66" s="55"/>
      <c r="V66" s="72">
        <v>45860.625</v>
      </c>
      <c r="W66" s="54">
        <v>80.5</v>
      </c>
      <c r="Z66" s="72">
        <v>45860.625</v>
      </c>
      <c r="AA66" s="54">
        <v>108.97</v>
      </c>
    </row>
    <row r="67" spans="2:31" x14ac:dyDescent="0.3">
      <c r="B67" s="72"/>
      <c r="C67" s="56"/>
      <c r="D67" s="72"/>
      <c r="E67" s="56"/>
      <c r="F67" s="72"/>
      <c r="H67" s="72"/>
      <c r="J67" s="72"/>
      <c r="K67" s="56"/>
      <c r="L67" s="72"/>
      <c r="V67" s="72">
        <v>45861.625</v>
      </c>
      <c r="W67" s="54">
        <v>80.540000000000006</v>
      </c>
      <c r="Z67" s="72">
        <v>45861.625</v>
      </c>
      <c r="AA67" s="54">
        <v>108.8</v>
      </c>
    </row>
    <row r="68" spans="2:31" x14ac:dyDescent="0.3">
      <c r="B68" s="72"/>
      <c r="C68" s="56"/>
      <c r="D68" s="72"/>
      <c r="E68" s="56"/>
      <c r="F68" s="72"/>
      <c r="H68" s="72"/>
      <c r="J68" s="72"/>
      <c r="K68" s="56"/>
      <c r="L68" s="72"/>
      <c r="V68" s="72">
        <v>45862.625</v>
      </c>
      <c r="W68" s="54">
        <v>80.44</v>
      </c>
      <c r="Z68" s="72">
        <v>45862.625</v>
      </c>
      <c r="AA68" s="54">
        <v>108.64</v>
      </c>
    </row>
    <row r="69" spans="2:31" x14ac:dyDescent="0.3">
      <c r="B69" s="72"/>
      <c r="C69" s="56"/>
      <c r="D69" s="72"/>
      <c r="E69" s="56"/>
      <c r="F69" s="72"/>
      <c r="H69" s="72"/>
      <c r="J69" s="72"/>
      <c r="K69" s="56"/>
      <c r="L69" s="72"/>
      <c r="V69" s="72">
        <v>45863.625</v>
      </c>
      <c r="W69" s="54">
        <v>80.489999999999995</v>
      </c>
      <c r="Z69" s="72">
        <v>45863.625</v>
      </c>
      <c r="AA69" s="54">
        <v>108.99</v>
      </c>
    </row>
    <row r="70" spans="2:31" x14ac:dyDescent="0.3">
      <c r="B70" s="72"/>
      <c r="C70" s="56"/>
      <c r="D70" s="72"/>
      <c r="E70" s="56"/>
      <c r="F70" s="72"/>
      <c r="H70" s="72"/>
      <c r="J70" s="72"/>
      <c r="K70" s="56"/>
      <c r="L70" s="72"/>
      <c r="V70" s="72">
        <v>45866.625</v>
      </c>
      <c r="W70" s="54">
        <v>80.45</v>
      </c>
      <c r="Z70" s="72">
        <v>45866.625</v>
      </c>
      <c r="AA70" s="54">
        <v>108.77</v>
      </c>
    </row>
    <row r="71" spans="2:31" x14ac:dyDescent="0.3">
      <c r="B71" s="72"/>
      <c r="C71" s="56"/>
      <c r="D71" s="72"/>
      <c r="E71" s="56"/>
      <c r="F71" s="72"/>
      <c r="H71" s="72"/>
      <c r="J71" s="72"/>
      <c r="K71" s="56"/>
      <c r="L71" s="72"/>
      <c r="V71" s="72">
        <v>45867.625</v>
      </c>
      <c r="W71" s="54">
        <v>80.5</v>
      </c>
      <c r="Z71" s="72">
        <v>45867.625</v>
      </c>
      <c r="AA71" s="54">
        <v>109.49</v>
      </c>
    </row>
    <row r="72" spans="2:31" x14ac:dyDescent="0.3">
      <c r="B72" s="72"/>
      <c r="C72" s="56"/>
      <c r="D72" s="72"/>
      <c r="E72" s="56"/>
      <c r="F72" s="72"/>
      <c r="H72" s="72"/>
      <c r="J72" s="72"/>
      <c r="K72" s="56"/>
      <c r="L72" s="72"/>
      <c r="V72" s="72">
        <v>45868.625</v>
      </c>
      <c r="W72" s="54">
        <v>80.33</v>
      </c>
      <c r="Z72" s="72">
        <v>45868.625</v>
      </c>
      <c r="AA72" s="54">
        <v>109.08</v>
      </c>
    </row>
    <row r="73" spans="2:31" x14ac:dyDescent="0.3">
      <c r="B73" s="72"/>
      <c r="C73" s="56"/>
      <c r="D73" s="72"/>
      <c r="E73" s="56"/>
      <c r="F73" s="72"/>
      <c r="H73" s="72"/>
      <c r="J73" s="72"/>
      <c r="K73" s="56"/>
      <c r="L73" s="72"/>
      <c r="V73" s="72">
        <v>45869.625</v>
      </c>
      <c r="W73" s="54">
        <v>80.38</v>
      </c>
      <c r="Z73" s="72">
        <v>45869.625</v>
      </c>
      <c r="AA73" s="54">
        <v>109.11</v>
      </c>
    </row>
    <row r="74" spans="2:31" x14ac:dyDescent="0.3">
      <c r="B74" s="72"/>
      <c r="C74" s="56"/>
      <c r="D74" s="72"/>
      <c r="E74" s="56"/>
      <c r="F74" s="72"/>
      <c r="H74" s="72"/>
      <c r="J74" s="72"/>
      <c r="K74" s="56"/>
      <c r="L74" s="72"/>
      <c r="V74" s="72">
        <v>45870.625</v>
      </c>
      <c r="W74" s="54">
        <v>79.98</v>
      </c>
      <c r="Z74" s="72">
        <v>45870.625</v>
      </c>
      <c r="AA74" s="54">
        <v>109.63</v>
      </c>
    </row>
    <row r="75" spans="2:31" x14ac:dyDescent="0.3">
      <c r="B75" s="72"/>
      <c r="D75" s="72"/>
      <c r="F75" s="72"/>
      <c r="H75" s="72"/>
      <c r="J75" s="72"/>
      <c r="L75" s="72"/>
      <c r="V75" s="72">
        <v>45873.625</v>
      </c>
      <c r="W75" s="54">
        <v>80.25</v>
      </c>
      <c r="Z75" s="72">
        <v>45873.625</v>
      </c>
      <c r="AA75" s="54">
        <v>109.82</v>
      </c>
    </row>
    <row r="76" spans="2:31" x14ac:dyDescent="0.3">
      <c r="B76" s="72"/>
      <c r="D76" s="72"/>
      <c r="F76" s="72"/>
      <c r="H76" s="72"/>
      <c r="J76" s="72"/>
      <c r="L76" s="72"/>
      <c r="V76" s="72">
        <v>45874.625</v>
      </c>
      <c r="W76" s="54">
        <v>80.209999999999994</v>
      </c>
      <c r="Z76" s="72">
        <v>45874.625</v>
      </c>
      <c r="AA76" s="54">
        <v>109.9</v>
      </c>
    </row>
    <row r="77" spans="2:31" x14ac:dyDescent="0.3">
      <c r="B77" s="72"/>
      <c r="D77" s="72"/>
      <c r="F77" s="72"/>
      <c r="H77" s="72"/>
      <c r="J77" s="72"/>
      <c r="L77" s="72"/>
      <c r="V77" s="72">
        <v>45875.625</v>
      </c>
      <c r="W77" s="54">
        <v>80.290000000000006</v>
      </c>
      <c r="Z77" s="72">
        <v>45875.625</v>
      </c>
      <c r="AA77" s="54">
        <v>109.87</v>
      </c>
    </row>
    <row r="78" spans="2:31" x14ac:dyDescent="0.3">
      <c r="B78" s="72"/>
      <c r="D78" s="72"/>
      <c r="F78" s="72"/>
      <c r="H78" s="72"/>
      <c r="J78" s="72"/>
      <c r="L78" s="72"/>
      <c r="V78" s="72">
        <v>45876.625</v>
      </c>
      <c r="W78" s="54">
        <v>80.209999999999994</v>
      </c>
      <c r="Z78" s="72">
        <v>45876.625</v>
      </c>
      <c r="AA78" s="54">
        <v>109.76</v>
      </c>
    </row>
    <row r="79" spans="2:31" x14ac:dyDescent="0.3">
      <c r="B79" s="72"/>
      <c r="D79" s="72"/>
      <c r="F79" s="72"/>
      <c r="H79" s="72"/>
      <c r="J79" s="72"/>
      <c r="L79" s="72"/>
      <c r="V79" s="72">
        <v>45877.625</v>
      </c>
      <c r="W79" s="54">
        <v>80.22</v>
      </c>
      <c r="Z79" s="72">
        <v>45877.625</v>
      </c>
      <c r="AA79" s="54">
        <v>109.41</v>
      </c>
    </row>
    <row r="80" spans="2:31" x14ac:dyDescent="0.3">
      <c r="B80" s="72"/>
      <c r="D80" s="72"/>
      <c r="F80" s="72"/>
      <c r="H80" s="72"/>
      <c r="J80" s="72"/>
      <c r="L80" s="72"/>
      <c r="V80" s="72">
        <v>45880.625</v>
      </c>
      <c r="W80" s="54">
        <v>80.22</v>
      </c>
      <c r="Z80" s="72">
        <v>45880.625</v>
      </c>
      <c r="AA80" s="54">
        <v>109.58499999999999</v>
      </c>
    </row>
    <row r="81" spans="2:27" x14ac:dyDescent="0.3">
      <c r="B81" s="72"/>
      <c r="D81" s="72"/>
      <c r="F81" s="72"/>
      <c r="H81" s="72"/>
      <c r="J81" s="72"/>
      <c r="L81" s="72"/>
      <c r="V81" s="72">
        <v>45881.625</v>
      </c>
      <c r="W81" s="54">
        <v>80.400000000000006</v>
      </c>
      <c r="Z81" s="72">
        <v>45881.625</v>
      </c>
      <c r="AA81" s="54">
        <v>109.68</v>
      </c>
    </row>
    <row r="82" spans="2:27" x14ac:dyDescent="0.3">
      <c r="B82" s="72"/>
      <c r="D82" s="72"/>
      <c r="F82" s="72"/>
      <c r="H82" s="72"/>
      <c r="J82" s="72"/>
      <c r="L82" s="72"/>
      <c r="V82" s="72">
        <v>45882.625</v>
      </c>
      <c r="W82" s="54">
        <v>80.61</v>
      </c>
      <c r="Z82" s="72">
        <v>45882.625</v>
      </c>
      <c r="AA82" s="54">
        <v>110.26</v>
      </c>
    </row>
    <row r="83" spans="2:27" x14ac:dyDescent="0.3">
      <c r="H83" s="72"/>
      <c r="J83" s="72"/>
      <c r="L83" s="72"/>
      <c r="V83" s="72">
        <v>45883.625</v>
      </c>
      <c r="W83" s="54">
        <v>80.400000000000006</v>
      </c>
      <c r="Z83" s="72">
        <v>45883.625</v>
      </c>
      <c r="AA83" s="54">
        <v>109.88</v>
      </c>
    </row>
    <row r="84" spans="2:27" x14ac:dyDescent="0.3">
      <c r="H84" s="72"/>
      <c r="J84" s="72"/>
      <c r="V84" s="72">
        <v>45884.625</v>
      </c>
      <c r="W84" s="54">
        <v>80.459999999999994</v>
      </c>
      <c r="Z84" s="72">
        <v>45884.625</v>
      </c>
      <c r="AA84" s="54">
        <v>109.74</v>
      </c>
    </row>
    <row r="85" spans="2:27" x14ac:dyDescent="0.3">
      <c r="H85" s="72"/>
      <c r="J85" s="72"/>
      <c r="V85" s="72">
        <v>45887.625</v>
      </c>
      <c r="W85" s="54">
        <v>80.400000000000006</v>
      </c>
      <c r="Z85" s="72">
        <v>45887.625</v>
      </c>
      <c r="AA85" s="54">
        <v>109.54</v>
      </c>
    </row>
    <row r="86" spans="2:27" x14ac:dyDescent="0.3">
      <c r="H86" s="72"/>
      <c r="J86" s="72"/>
      <c r="V86" s="72">
        <v>45888.625</v>
      </c>
      <c r="W86" s="54">
        <v>80.38</v>
      </c>
      <c r="Z86" s="72">
        <v>45888.625</v>
      </c>
      <c r="AA86" s="54">
        <v>109.71</v>
      </c>
    </row>
    <row r="87" spans="2:27" x14ac:dyDescent="0.3">
      <c r="H87" s="72"/>
      <c r="J87" s="72"/>
      <c r="V87" s="72">
        <v>45889.625</v>
      </c>
      <c r="W87" s="54">
        <v>80.349999999999994</v>
      </c>
      <c r="Z87" s="72">
        <v>45889.625</v>
      </c>
      <c r="AA87" s="54">
        <v>109.76</v>
      </c>
    </row>
    <row r="88" spans="2:27" x14ac:dyDescent="0.3">
      <c r="H88" s="72"/>
      <c r="J88" s="72"/>
      <c r="V88" s="72">
        <v>45890.625</v>
      </c>
      <c r="W88" s="54">
        <v>80.2</v>
      </c>
      <c r="Z88" s="72">
        <v>45890.625</v>
      </c>
      <c r="AA88" s="54">
        <v>109.34</v>
      </c>
    </row>
    <row r="89" spans="2:27" x14ac:dyDescent="0.3">
      <c r="H89" s="72"/>
      <c r="J89" s="72"/>
      <c r="V89" s="72">
        <v>45891.625</v>
      </c>
      <c r="W89" s="54">
        <v>80.849999999999994</v>
      </c>
      <c r="Z89" s="72">
        <v>45891.625</v>
      </c>
      <c r="AA89" s="54">
        <v>110.2</v>
      </c>
    </row>
    <row r="90" spans="2:27" x14ac:dyDescent="0.3">
      <c r="H90" s="72"/>
      <c r="J90" s="72"/>
      <c r="V90" s="72">
        <v>45894.625</v>
      </c>
      <c r="W90" s="54">
        <v>80.69</v>
      </c>
      <c r="Z90" s="72">
        <v>45894.625</v>
      </c>
      <c r="AA90" s="54">
        <v>109.91</v>
      </c>
    </row>
    <row r="91" spans="2:27" x14ac:dyDescent="0.3">
      <c r="H91" s="72"/>
      <c r="V91" s="72">
        <v>45895.625</v>
      </c>
      <c r="W91" s="54">
        <v>80.87</v>
      </c>
      <c r="Z91" s="72">
        <v>45895.625</v>
      </c>
      <c r="AA91" s="54">
        <v>109.99</v>
      </c>
    </row>
    <row r="92" spans="2:27" x14ac:dyDescent="0.3">
      <c r="H92" s="72"/>
      <c r="V92" s="72">
        <v>45896.625</v>
      </c>
      <c r="W92" s="54">
        <v>80.97</v>
      </c>
      <c r="Z92" s="72">
        <v>45896.625</v>
      </c>
      <c r="AA92" s="54">
        <v>110.03</v>
      </c>
    </row>
    <row r="93" spans="2:27" x14ac:dyDescent="0.3">
      <c r="H93" s="72"/>
      <c r="V93" s="72">
        <v>45897.625</v>
      </c>
      <c r="W93" s="54">
        <v>81.010000000000005</v>
      </c>
      <c r="Z93" s="72">
        <v>45897.625</v>
      </c>
      <c r="AA93" s="54">
        <v>110.2</v>
      </c>
    </row>
    <row r="94" spans="2:27" x14ac:dyDescent="0.3">
      <c r="H94" s="72"/>
      <c r="V94" s="72">
        <v>45898.625</v>
      </c>
      <c r="W94" s="54">
        <v>80.86</v>
      </c>
      <c r="Z94" s="72">
        <v>45898.625</v>
      </c>
      <c r="AA94" s="54">
        <v>109.83</v>
      </c>
    </row>
    <row r="95" spans="2:27" x14ac:dyDescent="0.3">
      <c r="V95" s="72">
        <v>45902.625</v>
      </c>
      <c r="W95" s="54">
        <v>80.39</v>
      </c>
      <c r="Z95" s="72">
        <v>45902.625</v>
      </c>
      <c r="AA95" s="54">
        <v>109.05</v>
      </c>
    </row>
    <row r="96" spans="2:27" x14ac:dyDescent="0.3">
      <c r="V96" s="72">
        <v>45903.625</v>
      </c>
      <c r="W96" s="54">
        <v>80.61</v>
      </c>
      <c r="Z96" s="72">
        <v>45903.625</v>
      </c>
      <c r="AA96" s="54">
        <v>109.7</v>
      </c>
    </row>
    <row r="97" spans="22:27" x14ac:dyDescent="0.3">
      <c r="V97" s="72">
        <v>45904.625</v>
      </c>
      <c r="W97" s="54">
        <v>80.819999999999993</v>
      </c>
      <c r="Z97" s="72">
        <v>45904.625</v>
      </c>
      <c r="AA97" s="54">
        <v>110.45</v>
      </c>
    </row>
    <row r="98" spans="22:27" x14ac:dyDescent="0.3">
      <c r="V98" s="72">
        <v>45905.625</v>
      </c>
      <c r="W98" s="54">
        <v>80.87</v>
      </c>
      <c r="Z98" s="72">
        <v>45905.625</v>
      </c>
      <c r="AA98" s="54">
        <v>111.17</v>
      </c>
    </row>
    <row r="99" spans="22:27" x14ac:dyDescent="0.3">
      <c r="V99" s="72">
        <v>45908.625</v>
      </c>
      <c r="W99" s="54">
        <v>80.87</v>
      </c>
      <c r="Z99" s="72">
        <v>45908.625</v>
      </c>
      <c r="AA99" s="54">
        <v>111.56</v>
      </c>
    </row>
    <row r="100" spans="22:27" x14ac:dyDescent="0.3">
      <c r="V100" s="72">
        <v>45909.625</v>
      </c>
      <c r="W100" s="54">
        <v>80.78</v>
      </c>
      <c r="Z100" s="72">
        <v>45909.625</v>
      </c>
      <c r="AA100" s="54">
        <v>111.36</v>
      </c>
    </row>
    <row r="101" spans="22:27" x14ac:dyDescent="0.3">
      <c r="V101" s="72">
        <v>45910.625</v>
      </c>
      <c r="W101" s="54">
        <v>80.84</v>
      </c>
      <c r="Z101" s="72">
        <v>45910.625</v>
      </c>
      <c r="AA101" s="54">
        <v>111.69</v>
      </c>
    </row>
    <row r="102" spans="22:27" x14ac:dyDescent="0.3">
      <c r="V102" s="72">
        <v>45911.625</v>
      </c>
      <c r="W102" s="54">
        <v>81.040000000000006</v>
      </c>
      <c r="Z102" s="72">
        <v>45911.625</v>
      </c>
      <c r="AA102" s="54">
        <v>112.21</v>
      </c>
    </row>
    <row r="103" spans="22:27" x14ac:dyDescent="0.3">
      <c r="V103" s="72">
        <v>45912.625</v>
      </c>
      <c r="W103" s="54">
        <v>80.959999999999994</v>
      </c>
      <c r="Z103" s="72">
        <v>45912.625</v>
      </c>
      <c r="AA103" s="54">
        <v>112.01</v>
      </c>
    </row>
    <row r="104" spans="22:27" x14ac:dyDescent="0.3">
      <c r="V104" s="72">
        <v>45915.625</v>
      </c>
      <c r="W104" s="54">
        <v>81.19</v>
      </c>
      <c r="Z104" s="72">
        <v>45915.625</v>
      </c>
      <c r="AA104" s="54">
        <v>112.36</v>
      </c>
    </row>
    <row r="105" spans="22:27" x14ac:dyDescent="0.3">
      <c r="V105" s="72">
        <v>45916.625</v>
      </c>
      <c r="W105" s="54">
        <v>81.13</v>
      </c>
      <c r="Z105" s="72">
        <v>45916.625</v>
      </c>
      <c r="AA105" s="54">
        <v>112.26</v>
      </c>
    </row>
    <row r="106" spans="22:27" x14ac:dyDescent="0.3">
      <c r="V106" s="72">
        <v>45917.625</v>
      </c>
      <c r="W106" s="54">
        <v>81.05</v>
      </c>
      <c r="Z106" s="72">
        <v>45917.625</v>
      </c>
      <c r="AA106" s="54">
        <v>112.06</v>
      </c>
    </row>
    <row r="107" spans="22:27" x14ac:dyDescent="0.3">
      <c r="V107" s="72">
        <v>45918.625</v>
      </c>
      <c r="W107" s="54">
        <v>81.23</v>
      </c>
      <c r="Z107" s="72">
        <v>45918.625</v>
      </c>
      <c r="AA107" s="54">
        <v>111.83</v>
      </c>
    </row>
    <row r="108" spans="22:27" x14ac:dyDescent="0.3">
      <c r="V108" s="72">
        <v>45919.625</v>
      </c>
      <c r="W108" s="54">
        <v>81.260000000000005</v>
      </c>
      <c r="Z108" s="72">
        <v>45919.625</v>
      </c>
      <c r="AA108" s="54">
        <v>111.74</v>
      </c>
    </row>
    <row r="109" spans="22:27" x14ac:dyDescent="0.3">
      <c r="V109" s="72">
        <v>45922.625</v>
      </c>
      <c r="W109" s="54">
        <v>81.319999999999993</v>
      </c>
      <c r="Z109" s="72">
        <v>45922.625</v>
      </c>
      <c r="AA109" s="54">
        <v>111.48</v>
      </c>
    </row>
    <row r="110" spans="22:27" x14ac:dyDescent="0.3">
      <c r="V110" s="72">
        <v>45923.625</v>
      </c>
      <c r="W110" s="54">
        <v>81.260000000000005</v>
      </c>
      <c r="Z110" s="72">
        <v>45923.625</v>
      </c>
      <c r="AA110" s="54">
        <v>111.71</v>
      </c>
    </row>
    <row r="111" spans="22:27" x14ac:dyDescent="0.3">
      <c r="V111" s="72">
        <v>45924.625</v>
      </c>
      <c r="W111" s="54">
        <v>81.150000000000006</v>
      </c>
      <c r="Z111" s="72">
        <v>45924.625</v>
      </c>
      <c r="AA111" s="54">
        <v>111.26</v>
      </c>
    </row>
    <row r="112" spans="22:27" x14ac:dyDescent="0.3">
      <c r="V112" s="72">
        <v>45925.625</v>
      </c>
      <c r="W112" s="54">
        <v>80.92</v>
      </c>
      <c r="Z112" s="72">
        <v>45925.625</v>
      </c>
      <c r="AA112" s="54">
        <v>111.06</v>
      </c>
    </row>
    <row r="113" spans="22:27" x14ac:dyDescent="0.3">
      <c r="V113" s="72">
        <v>45926.625</v>
      </c>
      <c r="W113" s="54">
        <v>81.08</v>
      </c>
      <c r="Z113" s="72">
        <v>45926.625</v>
      </c>
      <c r="AA113" s="54">
        <v>111.21</v>
      </c>
    </row>
    <row r="114" spans="22:27" x14ac:dyDescent="0.3">
      <c r="V114" s="72">
        <v>45929.625</v>
      </c>
      <c r="W114" s="54">
        <v>81.22</v>
      </c>
      <c r="Z114" s="72">
        <v>45929.625</v>
      </c>
      <c r="AA114" s="54">
        <v>111.58</v>
      </c>
    </row>
    <row r="115" spans="22:27" x14ac:dyDescent="0.3">
      <c r="V115" s="72">
        <v>45930.625</v>
      </c>
      <c r="W115" s="54">
        <v>81.19</v>
      </c>
      <c r="Z115" s="72">
        <v>45930.625</v>
      </c>
      <c r="AA115" s="54">
        <v>111.47</v>
      </c>
    </row>
    <row r="116" spans="22:27" x14ac:dyDescent="0.3">
      <c r="V116" s="72">
        <v>45931.625</v>
      </c>
      <c r="W116" s="54">
        <v>80.959999999999994</v>
      </c>
      <c r="Z116" s="72">
        <v>45931.625</v>
      </c>
      <c r="AA116" s="54">
        <v>111.51</v>
      </c>
    </row>
    <row r="117" spans="22:27" x14ac:dyDescent="0.3">
      <c r="V117" s="72">
        <v>45932.625</v>
      </c>
      <c r="W117" s="54">
        <v>80.930000000000007</v>
      </c>
      <c r="Z117" s="72">
        <v>45932.625</v>
      </c>
      <c r="AA117" s="54">
        <v>111.69</v>
      </c>
    </row>
    <row r="118" spans="22:27" x14ac:dyDescent="0.3">
      <c r="V118" s="72">
        <v>45933.625</v>
      </c>
      <c r="W118" s="54">
        <v>80.84</v>
      </c>
      <c r="Z118" s="72">
        <v>45933.625</v>
      </c>
      <c r="AA118" s="54">
        <v>111.55</v>
      </c>
    </row>
    <row r="119" spans="22:27" x14ac:dyDescent="0.3">
      <c r="V119" s="72">
        <v>45936.625</v>
      </c>
      <c r="W119" s="54">
        <v>80.86</v>
      </c>
      <c r="Z119" s="72">
        <v>45936.625</v>
      </c>
      <c r="AA119" s="54">
        <v>111.19</v>
      </c>
    </row>
    <row r="120" spans="22:27" x14ac:dyDescent="0.3">
      <c r="V120" s="72">
        <v>45937.625</v>
      </c>
      <c r="W120" s="54">
        <v>80.77</v>
      </c>
      <c r="Z120" s="72">
        <v>45937.625</v>
      </c>
      <c r="AA120" s="54">
        <v>111.4</v>
      </c>
    </row>
    <row r="121" spans="22:27" x14ac:dyDescent="0.3">
      <c r="V121" s="72">
        <v>45938.625</v>
      </c>
      <c r="W121" s="54">
        <v>80.650000000000006</v>
      </c>
      <c r="Z121" s="72">
        <v>45938.625</v>
      </c>
      <c r="AA121" s="54">
        <v>111.26</v>
      </c>
    </row>
    <row r="122" spans="22:27" x14ac:dyDescent="0.3">
      <c r="V122" s="72">
        <v>45939.625</v>
      </c>
      <c r="W122" s="54">
        <v>80.42</v>
      </c>
      <c r="Z122" s="72">
        <v>45939.625</v>
      </c>
      <c r="AA122" s="54">
        <v>111.04</v>
      </c>
    </row>
    <row r="123" spans="22:27" x14ac:dyDescent="0.3">
      <c r="V123" s="72">
        <v>45940.625</v>
      </c>
      <c r="W123" s="54">
        <v>79.984999999999999</v>
      </c>
      <c r="Z123" s="72">
        <v>45940.625</v>
      </c>
      <c r="AA123" s="54">
        <v>111.36</v>
      </c>
    </row>
    <row r="124" spans="22:27" x14ac:dyDescent="0.3">
      <c r="V124" s="72">
        <v>45943.625</v>
      </c>
      <c r="W124" s="54">
        <v>80.45</v>
      </c>
      <c r="Z124" s="72">
        <v>45943.625</v>
      </c>
      <c r="AA124" s="54">
        <v>111.73</v>
      </c>
    </row>
    <row r="125" spans="22:27" x14ac:dyDescent="0.3">
      <c r="V125" s="72">
        <v>45944.625</v>
      </c>
      <c r="W125" s="54">
        <v>80.540000000000006</v>
      </c>
      <c r="Z125" s="72">
        <v>45944.625</v>
      </c>
      <c r="AA125" s="54">
        <v>112.1</v>
      </c>
    </row>
    <row r="126" spans="22:27" x14ac:dyDescent="0.3">
      <c r="V126" s="72">
        <v>45945.625</v>
      </c>
      <c r="W126" s="54">
        <v>80.8</v>
      </c>
      <c r="Z126" s="72">
        <v>45945.625</v>
      </c>
      <c r="AA126" s="54">
        <v>112.1</v>
      </c>
    </row>
    <row r="127" spans="22:27" x14ac:dyDescent="0.3">
      <c r="V127" s="72">
        <v>45946.625</v>
      </c>
      <c r="W127" s="54">
        <v>80.510000000000005</v>
      </c>
      <c r="Z127" s="72">
        <v>45946.625</v>
      </c>
      <c r="AA127" s="54">
        <v>112.42</v>
      </c>
    </row>
    <row r="128" spans="22:27" x14ac:dyDescent="0.3">
      <c r="V128" s="72">
        <v>45947.625</v>
      </c>
      <c r="W128" s="54">
        <v>80.72</v>
      </c>
      <c r="Z128" s="72">
        <v>45947.625</v>
      </c>
      <c r="AA128" s="54">
        <v>112.2</v>
      </c>
    </row>
    <row r="129" spans="22:27" x14ac:dyDescent="0.3">
      <c r="V129" s="72">
        <v>45950.625</v>
      </c>
      <c r="W129" s="54">
        <v>80.88</v>
      </c>
      <c r="Z129" s="72">
        <v>45950.625</v>
      </c>
      <c r="AA129" s="54">
        <v>112.54</v>
      </c>
    </row>
    <row r="130" spans="22:27" x14ac:dyDescent="0.3">
      <c r="V130" s="72">
        <v>45951.625</v>
      </c>
      <c r="W130" s="54">
        <v>80.760000000000005</v>
      </c>
      <c r="Z130" s="72">
        <v>45951.625</v>
      </c>
      <c r="AA130" s="54">
        <v>112.56</v>
      </c>
    </row>
    <row r="131" spans="22:27" x14ac:dyDescent="0.3">
      <c r="V131" s="72">
        <v>45952.625</v>
      </c>
      <c r="W131" s="54">
        <v>80.680000000000007</v>
      </c>
      <c r="Z131" s="72">
        <v>45952.625</v>
      </c>
      <c r="AA131" s="54">
        <v>112.67</v>
      </c>
    </row>
    <row r="132" spans="22:27" x14ac:dyDescent="0.3">
      <c r="V132" s="72">
        <v>45953.625</v>
      </c>
      <c r="W132" s="54">
        <v>80.849999999999994</v>
      </c>
      <c r="Z132" s="72">
        <v>45953.625</v>
      </c>
      <c r="AA132" s="54">
        <v>112.53</v>
      </c>
    </row>
    <row r="133" spans="22:27" x14ac:dyDescent="0.3">
      <c r="V133" s="72">
        <v>45954.625</v>
      </c>
      <c r="W133" s="54">
        <v>81.08</v>
      </c>
      <c r="Z133" s="72">
        <v>45954.625</v>
      </c>
      <c r="AA133" s="54">
        <v>112.72</v>
      </c>
    </row>
    <row r="134" spans="22:27" x14ac:dyDescent="0.3">
      <c r="V134" s="72">
        <v>45957.625</v>
      </c>
      <c r="W134" s="54">
        <v>81.28</v>
      </c>
      <c r="Z134" s="72">
        <v>45957.625</v>
      </c>
      <c r="AA134" s="54">
        <v>112.91</v>
      </c>
    </row>
    <row r="135" spans="22:27" x14ac:dyDescent="0.3">
      <c r="V135" s="72">
        <v>45958.625</v>
      </c>
      <c r="W135" s="54">
        <v>81.2</v>
      </c>
      <c r="Z135" s="72">
        <v>45958.625</v>
      </c>
      <c r="AA135" s="54">
        <v>112.92</v>
      </c>
    </row>
    <row r="136" spans="22:27" x14ac:dyDescent="0.3">
      <c r="V136" s="72">
        <v>45959.625</v>
      </c>
      <c r="W136" s="54">
        <v>80.95</v>
      </c>
      <c r="Z136" s="72">
        <v>45959.625</v>
      </c>
      <c r="AA136" s="54">
        <v>112.28</v>
      </c>
    </row>
    <row r="137" spans="22:27" x14ac:dyDescent="0.3">
      <c r="V137" s="72">
        <v>45960.625</v>
      </c>
      <c r="W137" s="54">
        <v>80.8</v>
      </c>
      <c r="Z137" s="72">
        <v>45960.625</v>
      </c>
      <c r="AA137" s="54">
        <v>111.68</v>
      </c>
    </row>
    <row r="138" spans="22:27" x14ac:dyDescent="0.3">
      <c r="V138" s="72">
        <v>45961.625</v>
      </c>
      <c r="W138" s="54">
        <v>80.8</v>
      </c>
      <c r="Z138" s="72">
        <v>45961.625</v>
      </c>
      <c r="AA138" s="54">
        <v>111.23</v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48">
    <cfRule type="cellIs" dxfId="11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848-A484-4C66-B70D-DE0974E6095A}">
  <dimension ref="A1:AG138"/>
  <sheetViews>
    <sheetView topLeftCell="L17" zoomScale="80" zoomScaleNormal="80" workbookViewId="0">
      <selection activeCell="A41" sqref="A41:A47"/>
    </sheetView>
  </sheetViews>
  <sheetFormatPr defaultColWidth="8.88671875" defaultRowHeight="14.4" x14ac:dyDescent="0.3"/>
  <cols>
    <col min="1" max="1" width="15" style="54" bestFit="1" customWidth="1"/>
    <col min="2" max="3" width="13.6640625" style="54" bestFit="1" customWidth="1"/>
    <col min="4" max="4" width="12.5546875" style="54" bestFit="1" customWidth="1"/>
    <col min="5" max="7" width="13.6640625" style="54" bestFit="1" customWidth="1"/>
    <col min="8" max="8" width="7.33203125" style="54" bestFit="1" customWidth="1"/>
    <col min="9" max="9" width="14.33203125" style="54" bestFit="1" customWidth="1"/>
    <col min="10" max="10" width="10.44140625" style="54" bestFit="1" customWidth="1"/>
    <col min="11" max="11" width="8" style="54" bestFit="1" customWidth="1"/>
    <col min="12" max="12" width="10.6640625" style="54" bestFit="1" customWidth="1"/>
    <col min="13" max="13" width="8.6640625" style="54" bestFit="1" customWidth="1"/>
    <col min="14" max="14" width="6.109375" style="54" bestFit="1" customWidth="1"/>
    <col min="15" max="15" width="10.6640625" style="54" bestFit="1" customWidth="1"/>
    <col min="16" max="16" width="11.44140625" style="54" bestFit="1" customWidth="1"/>
    <col min="17" max="17" width="7.33203125" style="54" bestFit="1" customWidth="1"/>
    <col min="18" max="18" width="10.6640625" style="54" bestFit="1" customWidth="1"/>
    <col min="19" max="19" width="10.33203125" style="54" bestFit="1" customWidth="1"/>
    <col min="20" max="20" width="11.33203125" style="54" bestFit="1" customWidth="1"/>
    <col min="21" max="21" width="9.109375"/>
    <col min="22" max="22" width="11.88671875" style="72" hidden="1" customWidth="1"/>
    <col min="23" max="23" width="8" style="54" hidden="1" customWidth="1"/>
    <col min="24" max="24" width="11.88671875" style="72" hidden="1" customWidth="1"/>
    <col min="25" max="25" width="13.6640625" style="54" hidden="1" customWidth="1"/>
    <col min="26" max="26" width="11.88671875" style="72" hidden="1" customWidth="1"/>
    <col min="27" max="27" width="13.6640625" style="54" hidden="1" customWidth="1"/>
    <col min="28" max="28" width="11.88671875" style="72" hidden="1" customWidth="1"/>
    <col min="29" max="29" width="13.6640625" style="54" hidden="1" customWidth="1"/>
    <col min="30" max="30" width="11.88671875" style="72" hidden="1" customWidth="1"/>
    <col min="31" max="31" width="6.88671875" style="54" hidden="1" customWidth="1"/>
    <col min="32" max="32" width="11.88671875" style="72" hidden="1" customWidth="1"/>
    <col min="33" max="33" width="13.6640625" style="54" hidden="1" customWidth="1"/>
    <col min="34" max="16384" width="8.88671875" style="54"/>
  </cols>
  <sheetData>
    <row r="1" spans="1:33" ht="15" thickBot="1" x14ac:dyDescent="0.35">
      <c r="A1" s="1"/>
      <c r="B1" s="1"/>
      <c r="C1" s="1"/>
      <c r="D1" s="1"/>
      <c r="E1" s="1"/>
      <c r="F1" s="1"/>
      <c r="G1" s="1"/>
      <c r="I1" s="116" t="s">
        <v>100</v>
      </c>
      <c r="J1" s="117">
        <v>0.625</v>
      </c>
      <c r="K1" s="53"/>
      <c r="L1" s="1"/>
      <c r="P1" s="1"/>
      <c r="Q1" s="53"/>
      <c r="R1" s="1"/>
      <c r="S1" s="53"/>
      <c r="T1" s="1"/>
      <c r="V1" s="53"/>
      <c r="W1" s="1"/>
      <c r="X1" s="53"/>
      <c r="Y1" s="1"/>
      <c r="Z1" s="53"/>
      <c r="AA1" s="1"/>
      <c r="AB1" s="53"/>
      <c r="AC1" s="1"/>
      <c r="AD1" s="53"/>
      <c r="AE1" s="1"/>
      <c r="AF1" s="53"/>
    </row>
    <row r="2" spans="1:33" ht="15" thickBot="1" x14ac:dyDescent="0.35">
      <c r="A2" s="30"/>
      <c r="B2" s="40" t="s">
        <v>0</v>
      </c>
      <c r="C2" s="44" t="s">
        <v>1</v>
      </c>
      <c r="D2" s="68" t="s">
        <v>1</v>
      </c>
      <c r="E2" s="74" t="s">
        <v>1</v>
      </c>
      <c r="F2" s="68" t="s">
        <v>1</v>
      </c>
      <c r="G2" s="69" t="s">
        <v>0</v>
      </c>
      <c r="I2" s="53"/>
      <c r="J2" s="1"/>
      <c r="K2" s="53"/>
      <c r="L2" s="1"/>
      <c r="P2" s="1"/>
      <c r="Q2" s="53"/>
      <c r="R2" s="1"/>
      <c r="S2" s="53"/>
      <c r="T2" s="1"/>
      <c r="V2" s="99" t="s">
        <v>0</v>
      </c>
      <c r="W2" s="1"/>
      <c r="X2" s="100" t="s">
        <v>1</v>
      </c>
      <c r="Y2" s="2"/>
      <c r="Z2" s="101" t="s">
        <v>1</v>
      </c>
      <c r="AA2" s="1"/>
      <c r="AB2" s="102" t="s">
        <v>0</v>
      </c>
      <c r="AD2" s="103" t="s">
        <v>1</v>
      </c>
      <c r="AF2" s="98" t="s">
        <v>0</v>
      </c>
    </row>
    <row r="3" spans="1:33" x14ac:dyDescent="0.3">
      <c r="A3" s="15" t="s">
        <v>32</v>
      </c>
      <c r="B3" s="61" t="s">
        <v>67</v>
      </c>
      <c r="C3" s="70" t="s">
        <v>66</v>
      </c>
      <c r="D3" s="70" t="s">
        <v>68</v>
      </c>
      <c r="E3" s="70" t="s">
        <v>69</v>
      </c>
      <c r="F3" s="70" t="s">
        <v>74</v>
      </c>
      <c r="G3" s="62" t="s">
        <v>76</v>
      </c>
      <c r="I3" s="91" t="s">
        <v>80</v>
      </c>
      <c r="J3" s="83" t="s">
        <v>67</v>
      </c>
      <c r="K3" s="84" t="s">
        <v>74</v>
      </c>
      <c r="L3" s="46"/>
      <c r="Q3" s="52"/>
      <c r="S3" s="52"/>
      <c r="V3" s="52" cm="1">
        <f t="array" ref="V3:W138">_xll.BDH(B4, "LAST_PRICE", "01/01/2025 15:00:00", "01/01/2035 16:00:00", "BarSize=60", "BarType=T", "RecurDaily=True", "TZ=New_York")</f>
        <v>45768.625</v>
      </c>
      <c r="W3" s="1">
        <v>105.6</v>
      </c>
      <c r="X3" s="115" cm="1">
        <f t="array" ref="X3:Y30">_xll.BDH(C4, "LAST_PRICE", "01/01/2025 15:00:00", "01/01/2035 16:00:00", "BarSize=60", "BarType=T", "RecurDaily=True", "TZ=New_York")</f>
        <v>45924.625</v>
      </c>
      <c r="Y3" s="46">
        <v>99.59375</v>
      </c>
      <c r="Z3" s="52" cm="1">
        <f t="array" ref="Z3:AA65">_xll.BDH(D4, "LAST_PRICE", "01/01/2025 15:00:00", "01/01/2035 16:00:00", "BarSize=60", "BarType=T", "RecurDaily=True", "TZ=New_York")</f>
        <v>45875.625</v>
      </c>
      <c r="AA3" s="1">
        <v>100.140625</v>
      </c>
      <c r="AB3" s="52" cm="1">
        <f t="array" ref="AB3:AC64">_xll.BDH(E4, "LAST_PRICE", "01/01/2025 15:00:00", "01/01/2035 16:00:00", "BarSize=60", "BarType=T", "RecurDaily=True", "TZ=New_York")</f>
        <v>45876.625</v>
      </c>
      <c r="AC3" s="54">
        <v>98.9375</v>
      </c>
      <c r="AD3" s="52" cm="1">
        <f t="array" ref="AD3:AE137">_xll.BDH(F4, "LAST_PRICE", "01/01/2025 15:00:00", "01/01/2035 16:00:00", "BarSize=60", "BarType=T", "RecurDaily=True", "TZ=New_York")</f>
        <v>45768.625</v>
      </c>
      <c r="AE3" s="54">
        <v>80.209999999999994</v>
      </c>
      <c r="AF3" s="52" cm="1">
        <f t="array" ref="AF3:AG29">_xll.BDH(G4, "LAST_PRICE", "01/01/2025 15:00:00", "01/01/2035 16:00:00", "BarSize=60", "BarType=T", "RecurDaily=True", "TZ=New_York")</f>
        <v>45925.625</v>
      </c>
      <c r="AG3" s="54">
        <v>99.5625</v>
      </c>
    </row>
    <row r="4" spans="1:33" ht="32.25" customHeight="1" thickBot="1" x14ac:dyDescent="0.35">
      <c r="A4" s="15" t="s">
        <v>33</v>
      </c>
      <c r="B4" s="63" t="s">
        <v>70</v>
      </c>
      <c r="C4" s="41" t="s">
        <v>78</v>
      </c>
      <c r="D4" s="41" t="s">
        <v>72</v>
      </c>
      <c r="E4" s="41" t="s">
        <v>71</v>
      </c>
      <c r="F4" s="41" t="s">
        <v>75</v>
      </c>
      <c r="G4" s="42" t="s">
        <v>77</v>
      </c>
      <c r="I4" s="85"/>
      <c r="J4" s="86">
        <f>B5/B14</f>
        <v>322202.69478617457</v>
      </c>
      <c r="K4" s="87">
        <f>F5/N14</f>
        <v>596551.92984549305</v>
      </c>
      <c r="L4" s="1"/>
      <c r="Q4" s="72"/>
      <c r="S4" s="53"/>
      <c r="V4" s="72">
        <v>45769.625</v>
      </c>
      <c r="W4" s="56">
        <v>105.86</v>
      </c>
      <c r="X4" s="72">
        <v>45925.625</v>
      </c>
      <c r="Y4" s="56">
        <v>99.3828125</v>
      </c>
      <c r="Z4" s="72">
        <v>45876.625</v>
      </c>
      <c r="AA4" s="54">
        <v>100.0625</v>
      </c>
      <c r="AB4" s="72">
        <v>45877.625</v>
      </c>
      <c r="AC4" s="54">
        <v>98.4375</v>
      </c>
      <c r="AD4" s="72">
        <v>45769.625</v>
      </c>
      <c r="AE4" s="56">
        <v>80.33</v>
      </c>
      <c r="AF4" s="72">
        <v>45926.625</v>
      </c>
      <c r="AG4" s="54">
        <v>99.5</v>
      </c>
    </row>
    <row r="5" spans="1:33" ht="15" thickBot="1" x14ac:dyDescent="0.35">
      <c r="A5" s="15" t="s">
        <v>8</v>
      </c>
      <c r="B5" s="64">
        <f>35.75*10^6</f>
        <v>35750000</v>
      </c>
      <c r="C5" s="7">
        <f>16.75*10^6</f>
        <v>16750000</v>
      </c>
      <c r="D5" s="7">
        <f>7.5*10^6</f>
        <v>7500000</v>
      </c>
      <c r="E5" s="7">
        <f>10.5*10^6</f>
        <v>10500000</v>
      </c>
      <c r="F5" s="7">
        <f>50*10^6</f>
        <v>50000000</v>
      </c>
      <c r="G5" s="8">
        <f>50.75*10^6</f>
        <v>50750000</v>
      </c>
      <c r="I5" s="72"/>
      <c r="L5" s="1"/>
      <c r="Q5" s="72"/>
      <c r="S5" s="53"/>
      <c r="V5" s="72">
        <v>45770.625</v>
      </c>
      <c r="W5" s="56">
        <v>106.33</v>
      </c>
      <c r="X5" s="72">
        <v>45926.625</v>
      </c>
      <c r="Y5" s="56">
        <v>99.3671875</v>
      </c>
      <c r="Z5" s="72">
        <v>45877.625</v>
      </c>
      <c r="AA5" s="54">
        <v>99.734375</v>
      </c>
      <c r="AB5" s="72">
        <v>45880.625</v>
      </c>
      <c r="AC5" s="54">
        <v>98.53125</v>
      </c>
      <c r="AD5" s="72">
        <v>45770.625</v>
      </c>
      <c r="AE5" s="56">
        <v>80.5</v>
      </c>
      <c r="AF5" s="72">
        <v>45929.625</v>
      </c>
      <c r="AG5" s="54">
        <v>99.703125</v>
      </c>
    </row>
    <row r="6" spans="1:33" x14ac:dyDescent="0.3">
      <c r="A6" s="15" t="s">
        <v>10</v>
      </c>
      <c r="B6" s="66">
        <v>0</v>
      </c>
      <c r="C6" s="10">
        <f>(3+5/8)*0.01</f>
        <v>3.6249999999999998E-2</v>
      </c>
      <c r="D6" s="71">
        <v>4.2500000000000003E-2</v>
      </c>
      <c r="E6" s="71">
        <v>4.7500000000000001E-2</v>
      </c>
      <c r="F6" s="71">
        <v>0</v>
      </c>
      <c r="G6" s="10">
        <f>(3+5/8)*0.01</f>
        <v>3.6249999999999998E-2</v>
      </c>
      <c r="I6" s="92" t="s">
        <v>79</v>
      </c>
      <c r="J6" s="70" t="s">
        <v>67</v>
      </c>
      <c r="K6" s="88" t="s">
        <v>74</v>
      </c>
      <c r="L6" s="1"/>
      <c r="Q6" s="72"/>
      <c r="S6" s="53"/>
      <c r="V6" s="72">
        <v>45771.625</v>
      </c>
      <c r="W6" s="56">
        <v>107.38</v>
      </c>
      <c r="X6" s="72">
        <v>45929.625</v>
      </c>
      <c r="Y6" s="56">
        <v>99.484375</v>
      </c>
      <c r="Z6" s="72">
        <v>45880.625</v>
      </c>
      <c r="AA6" s="54">
        <v>99.8125</v>
      </c>
      <c r="AB6" s="72">
        <v>45881.625</v>
      </c>
      <c r="AC6" s="54">
        <v>98</v>
      </c>
      <c r="AD6" s="72">
        <v>45771.625</v>
      </c>
      <c r="AE6" s="56">
        <v>81.14</v>
      </c>
      <c r="AF6" s="72">
        <v>45930.625</v>
      </c>
      <c r="AG6" s="54">
        <v>99.6875</v>
      </c>
    </row>
    <row r="7" spans="1:33" ht="15" thickBot="1" x14ac:dyDescent="0.35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71">
        <v>4.2299999999999997E-2</v>
      </c>
      <c r="F7" s="71">
        <v>4.2299999999999997E-2</v>
      </c>
      <c r="G7" s="10">
        <v>4.2299999999999997E-2</v>
      </c>
      <c r="I7" s="76"/>
      <c r="J7" s="21">
        <v>0.41</v>
      </c>
      <c r="K7" s="89">
        <v>0.32600000000000001</v>
      </c>
      <c r="L7" s="1"/>
      <c r="P7" s="1"/>
      <c r="Q7" s="53"/>
      <c r="R7" s="1"/>
      <c r="S7" s="53"/>
      <c r="T7" s="1"/>
      <c r="V7" s="72">
        <v>45772.625</v>
      </c>
      <c r="W7" s="56">
        <v>107.99</v>
      </c>
      <c r="X7" s="72">
        <v>45930.625</v>
      </c>
      <c r="Y7" s="56">
        <v>99.5</v>
      </c>
      <c r="Z7" s="72">
        <v>45881.625</v>
      </c>
      <c r="AA7" s="54">
        <v>99.6875</v>
      </c>
      <c r="AB7" s="72">
        <v>45882.625</v>
      </c>
      <c r="AC7" s="54">
        <v>98.796875</v>
      </c>
      <c r="AD7" s="72">
        <v>45772.625</v>
      </c>
      <c r="AE7" s="56">
        <v>81.489999999999995</v>
      </c>
      <c r="AF7" s="72">
        <v>45931.625</v>
      </c>
      <c r="AG7" s="54">
        <v>100</v>
      </c>
    </row>
    <row r="8" spans="1:33" ht="15" thickBot="1" x14ac:dyDescent="0.35">
      <c r="A8" s="15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72"/>
      <c r="L8" s="1"/>
      <c r="P8" s="1"/>
      <c r="Q8" s="53"/>
      <c r="R8" s="1"/>
      <c r="S8" s="53"/>
      <c r="T8" s="1"/>
      <c r="V8" s="72">
        <v>45775.625</v>
      </c>
      <c r="W8" s="56">
        <v>108.24</v>
      </c>
      <c r="X8" s="72">
        <v>45931.625</v>
      </c>
      <c r="Y8" s="56">
        <v>99.7578125</v>
      </c>
      <c r="Z8" s="72">
        <v>45882.625</v>
      </c>
      <c r="AA8" s="54">
        <v>100.125</v>
      </c>
      <c r="AB8" s="72">
        <v>45883.625</v>
      </c>
      <c r="AC8" s="54">
        <v>98.03125</v>
      </c>
      <c r="AD8" s="72">
        <v>45775.625</v>
      </c>
      <c r="AE8" s="56">
        <v>81.680000000000007</v>
      </c>
      <c r="AF8" s="72">
        <v>45932.625</v>
      </c>
      <c r="AG8" s="54">
        <v>100.078125</v>
      </c>
    </row>
    <row r="9" spans="1:33" ht="15" thickBot="1" x14ac:dyDescent="0.35">
      <c r="A9" s="15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93" t="s">
        <v>81</v>
      </c>
      <c r="J9" s="90">
        <f>J4*J7-K4*K7</f>
        <v>-62372.824267299176</v>
      </c>
      <c r="L9" s="1"/>
      <c r="P9" s="1"/>
      <c r="Q9" s="53"/>
      <c r="R9" s="1"/>
      <c r="S9" s="53"/>
      <c r="T9" s="1"/>
      <c r="V9" s="72">
        <v>45776.625</v>
      </c>
      <c r="W9" s="56">
        <v>108.49</v>
      </c>
      <c r="X9" s="72">
        <v>45932.625</v>
      </c>
      <c r="Y9" s="56">
        <v>99.78125</v>
      </c>
      <c r="Z9" s="72">
        <v>45883.625</v>
      </c>
      <c r="AA9" s="54">
        <v>99.703125</v>
      </c>
      <c r="AB9" s="72">
        <v>45884.625</v>
      </c>
      <c r="AC9" s="54">
        <v>97.375</v>
      </c>
      <c r="AD9" s="72">
        <v>45776.625</v>
      </c>
      <c r="AE9" s="56">
        <v>81.83</v>
      </c>
      <c r="AF9" s="72">
        <v>45933.625</v>
      </c>
      <c r="AG9" s="54">
        <v>99.828125</v>
      </c>
    </row>
    <row r="10" spans="1:33" ht="15" thickBot="1" x14ac:dyDescent="0.35">
      <c r="A10" s="16" t="s">
        <v>28</v>
      </c>
      <c r="B10" s="11" cm="1">
        <f t="array" ref="B10">_xll.BDP(B4,"px_last")</f>
        <v>110.48</v>
      </c>
      <c r="C10" s="21" cm="1">
        <f t="array" ref="C10">_xll.BDP(C4,"px_last")</f>
        <v>99.609375</v>
      </c>
      <c r="D10" s="21" cm="1">
        <f t="array" ref="D10">_xll.BDP(D4,"px_last")</f>
        <v>101.140625</v>
      </c>
      <c r="E10" s="21" cm="1">
        <f t="array" ref="E10">_xll.BDP(E4,"px_last")</f>
        <v>100.890625</v>
      </c>
      <c r="F10" s="21" cm="1">
        <f t="array" ref="F10">_xll.BDP(F4,"px_last")</f>
        <v>83.586200000000005</v>
      </c>
      <c r="G10" s="22" cm="1">
        <f t="array" ref="G10">_xll.BDP(G4,"px_last")</f>
        <v>99.890625</v>
      </c>
      <c r="H10" s="1"/>
      <c r="I10" s="53"/>
      <c r="J10" s="1"/>
      <c r="K10" s="53"/>
      <c r="L10" s="1"/>
      <c r="M10" s="53"/>
      <c r="N10" s="1"/>
      <c r="O10" s="53"/>
      <c r="P10" s="1"/>
      <c r="Q10" s="53"/>
      <c r="R10" s="1"/>
      <c r="S10" s="53"/>
      <c r="T10" s="1"/>
      <c r="V10" s="72">
        <v>45777.625</v>
      </c>
      <c r="W10" s="56">
        <v>108</v>
      </c>
      <c r="X10" s="72">
        <v>45933.625</v>
      </c>
      <c r="Y10" s="56">
        <v>99.59375</v>
      </c>
      <c r="Z10" s="72">
        <v>45884.625</v>
      </c>
      <c r="AA10" s="54">
        <v>99.4375</v>
      </c>
      <c r="AB10" s="72">
        <v>45887.625</v>
      </c>
      <c r="AC10" s="54">
        <v>97.078125</v>
      </c>
      <c r="AD10" s="72">
        <v>45777.625</v>
      </c>
      <c r="AE10" s="56">
        <v>81.78</v>
      </c>
      <c r="AF10" s="72">
        <v>45936.625</v>
      </c>
      <c r="AG10" s="54">
        <v>99.59375</v>
      </c>
    </row>
    <row r="11" spans="1:33" ht="15" thickBot="1" x14ac:dyDescent="0.35">
      <c r="C11" s="1"/>
      <c r="D11" s="1"/>
      <c r="E11" s="1"/>
      <c r="F11" s="1"/>
      <c r="G11" s="1"/>
      <c r="H11" s="1"/>
      <c r="I11" s="53"/>
      <c r="J11" s="1"/>
      <c r="K11" s="53"/>
      <c r="L11" s="1"/>
      <c r="M11" s="53"/>
      <c r="N11" s="1"/>
      <c r="O11" s="53"/>
      <c r="P11" s="1"/>
      <c r="Q11" s="53"/>
      <c r="R11" s="1"/>
      <c r="S11" s="53"/>
      <c r="T11" s="1"/>
      <c r="V11" s="72">
        <v>45778.625</v>
      </c>
      <c r="W11" s="56">
        <v>107.17</v>
      </c>
      <c r="X11" s="72">
        <v>45936.625</v>
      </c>
      <c r="Y11" s="56">
        <v>99.4609375</v>
      </c>
      <c r="Z11" s="72">
        <v>45887.625</v>
      </c>
      <c r="AA11" s="54">
        <v>99.3125</v>
      </c>
      <c r="AB11" s="72">
        <v>45888.625</v>
      </c>
      <c r="AC11" s="54">
        <v>97.640625</v>
      </c>
      <c r="AD11" s="72">
        <v>45778.625</v>
      </c>
      <c r="AE11" s="56">
        <v>81.17</v>
      </c>
      <c r="AF11" s="72">
        <v>45937.625</v>
      </c>
      <c r="AG11" s="54">
        <v>99.8125</v>
      </c>
    </row>
    <row r="12" spans="1:33" ht="15" thickBot="1" x14ac:dyDescent="0.35">
      <c r="A12" s="39" t="s">
        <v>22</v>
      </c>
      <c r="B12" s="169" t="s">
        <v>0</v>
      </c>
      <c r="C12" s="170"/>
      <c r="D12" s="170"/>
      <c r="E12" s="175" t="s">
        <v>1</v>
      </c>
      <c r="F12" s="176"/>
      <c r="G12" s="177"/>
      <c r="H12" s="172" t="s">
        <v>1</v>
      </c>
      <c r="I12" s="183"/>
      <c r="J12" s="174"/>
      <c r="K12" s="184" t="s">
        <v>1</v>
      </c>
      <c r="L12" s="185"/>
      <c r="M12" s="186"/>
      <c r="N12" s="172" t="s">
        <v>1</v>
      </c>
      <c r="O12" s="183"/>
      <c r="P12" s="174"/>
      <c r="Q12" s="181" t="s">
        <v>0</v>
      </c>
      <c r="R12" s="179"/>
      <c r="S12" s="182"/>
      <c r="T12" s="39" t="s">
        <v>16</v>
      </c>
      <c r="V12" s="72">
        <v>45779.625</v>
      </c>
      <c r="W12" s="54">
        <v>106.91</v>
      </c>
      <c r="X12" s="72">
        <v>45937.625</v>
      </c>
      <c r="Y12" s="54">
        <v>99.6171875</v>
      </c>
      <c r="Z12" s="72">
        <v>45888.625</v>
      </c>
      <c r="AA12" s="54">
        <v>99.59375</v>
      </c>
      <c r="AB12" s="72">
        <v>45889.625</v>
      </c>
      <c r="AC12" s="54">
        <v>97.796875</v>
      </c>
      <c r="AD12" s="72">
        <v>45779.625</v>
      </c>
      <c r="AE12" s="54">
        <v>80.954999999999998</v>
      </c>
      <c r="AF12" s="72">
        <v>45938.625</v>
      </c>
      <c r="AG12" s="54">
        <v>99.78125</v>
      </c>
    </row>
    <row r="13" spans="1:33" ht="15" thickBot="1" x14ac:dyDescent="0.35">
      <c r="A13" s="16"/>
      <c r="B13" s="11" t="s">
        <v>17</v>
      </c>
      <c r="C13" s="21" t="s">
        <v>21</v>
      </c>
      <c r="D13" s="21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75" t="s">
        <v>21</v>
      </c>
      <c r="J13" s="22" t="s">
        <v>20</v>
      </c>
      <c r="K13" s="76" t="s">
        <v>17</v>
      </c>
      <c r="L13" s="21" t="s">
        <v>21</v>
      </c>
      <c r="M13" s="77" t="s">
        <v>20</v>
      </c>
      <c r="N13" s="11" t="s">
        <v>17</v>
      </c>
      <c r="O13" s="75" t="s">
        <v>21</v>
      </c>
      <c r="P13" s="22" t="s">
        <v>20</v>
      </c>
      <c r="Q13" s="76" t="s">
        <v>17</v>
      </c>
      <c r="R13" s="21" t="s">
        <v>21</v>
      </c>
      <c r="S13" s="77" t="s">
        <v>20</v>
      </c>
      <c r="T13" s="96"/>
      <c r="V13" s="72">
        <v>45782.625</v>
      </c>
      <c r="W13" s="54">
        <v>106.76</v>
      </c>
      <c r="X13" s="72">
        <v>45938.625</v>
      </c>
      <c r="Y13" s="54">
        <v>99.5625</v>
      </c>
      <c r="Z13" s="72">
        <v>45889.625</v>
      </c>
      <c r="AA13" s="54">
        <v>99.71875</v>
      </c>
      <c r="AB13" s="72">
        <v>45890.625</v>
      </c>
      <c r="AC13" s="54">
        <v>97.328125</v>
      </c>
      <c r="AD13" s="72">
        <v>45782.625</v>
      </c>
      <c r="AE13" s="54">
        <v>80.91</v>
      </c>
      <c r="AF13" s="72">
        <v>45939.625</v>
      </c>
      <c r="AG13" s="54">
        <v>99.71875</v>
      </c>
    </row>
    <row r="14" spans="1:33" x14ac:dyDescent="0.3">
      <c r="A14" s="36">
        <v>45925</v>
      </c>
      <c r="B14" s="45">
        <v>110.955</v>
      </c>
      <c r="C14" s="46"/>
      <c r="D14" s="46"/>
      <c r="E14" s="104">
        <f>99+12/32+3/8*1/32</f>
        <v>99.38671875</v>
      </c>
      <c r="F14" s="105"/>
      <c r="G14" s="106"/>
      <c r="H14" s="45">
        <f>100+18/32+3/4*1/32</f>
        <v>100.5859375</v>
      </c>
      <c r="I14" s="46"/>
      <c r="J14" s="47"/>
      <c r="K14" s="45">
        <f>99+24/32</f>
        <v>99.75</v>
      </c>
      <c r="L14" s="46"/>
      <c r="M14" s="47"/>
      <c r="N14" s="45">
        <v>83.814999999999998</v>
      </c>
      <c r="O14" s="46"/>
      <c r="P14" s="47"/>
      <c r="Q14" s="45">
        <f>99+18/32+3/4*1/32</f>
        <v>99.5859375</v>
      </c>
      <c r="R14" s="46"/>
      <c r="S14" s="47"/>
      <c r="T14" s="79">
        <v>0</v>
      </c>
      <c r="V14" s="72">
        <v>45783.625</v>
      </c>
      <c r="W14" s="54">
        <v>106.97</v>
      </c>
      <c r="X14" s="72">
        <v>45939.625</v>
      </c>
      <c r="Y14" s="54">
        <v>99.5</v>
      </c>
      <c r="Z14" s="72">
        <v>45890.625</v>
      </c>
      <c r="AA14" s="54">
        <v>99.390625</v>
      </c>
      <c r="AB14" s="72">
        <v>45891.625</v>
      </c>
      <c r="AC14" s="54">
        <v>97.953125</v>
      </c>
      <c r="AD14" s="72">
        <v>45783.625</v>
      </c>
      <c r="AE14" s="54">
        <v>81.040000000000006</v>
      </c>
      <c r="AF14" s="72">
        <v>45940.625</v>
      </c>
      <c r="AG14" s="54">
        <v>100.25</v>
      </c>
    </row>
    <row r="15" spans="1:33" x14ac:dyDescent="0.3">
      <c r="A15" s="36">
        <v>45926</v>
      </c>
      <c r="B15" s="45">
        <f>VLOOKUP($A15+$J$1, V$3:W$509, 2)</f>
        <v>111.21</v>
      </c>
      <c r="C15" s="46">
        <f t="shared" ref="C15" si="0">(B15/$B$14-1)*$B$5</f>
        <v>82161.687170472404</v>
      </c>
      <c r="D15" s="46">
        <f t="shared" ref="D15" si="1">-1*(A15-$A$14)/360*$B$7*$B$5</f>
        <v>-4200.625</v>
      </c>
      <c r="E15" s="45">
        <f>VLOOKUP($A15+$J$1, X$3:Y$509, 2)</f>
        <v>99.3671875</v>
      </c>
      <c r="F15" s="46">
        <f t="shared" ref="F15" si="2">(E15-$E$14)/100*$C$5</f>
        <v>-3271.484375</v>
      </c>
      <c r="G15" s="47">
        <f t="shared" ref="G15" si="3">(A15-$A$14)/360*$C$6*$C$5-(A15-$A$14)/360*$C$7*$C$5*$E$14/100</f>
        <v>-269.4229139539932</v>
      </c>
      <c r="H15" s="45">
        <f>VLOOKUP($A15+$J$1, Z$3:AA$509, 2)</f>
        <v>100.5625</v>
      </c>
      <c r="I15" s="46">
        <f>(H15-$H$14)/100*$D$5</f>
        <v>-1757.8125</v>
      </c>
      <c r="J15" s="47">
        <f t="shared" ref="J15" si="4">(A15-$A$14)/360*$D$6*$D$5-(A15-$A$14)/360*$D$7*$D$5*$H$14/100</f>
        <v>-0.99690755208325754</v>
      </c>
      <c r="K15" s="45">
        <f>VLOOKUP($A15+$J$1, AB$3:AC$509, 2)</f>
        <v>99.90625</v>
      </c>
      <c r="L15" s="46">
        <f t="shared" ref="L15" si="5">(K15-$K$14)/100*$E$5</f>
        <v>16406.25</v>
      </c>
      <c r="M15" s="47">
        <f t="shared" ref="M15" si="6">(A15-$A$14)/360*$E$6*$E$5-(A15-$A$14)/360*$E$7*$E$5*$K$14/100</f>
        <v>154.75104166666665</v>
      </c>
      <c r="N15" s="45">
        <f>VLOOKUP($A15+$J$1, AD$3:AE$509, 2)</f>
        <v>83.93</v>
      </c>
      <c r="O15" s="46">
        <f t="shared" ref="O15" si="7">(N15/$N$14-1)*$F$5</f>
        <v>68603.471932238142</v>
      </c>
      <c r="P15" s="47">
        <f t="shared" ref="P15" si="8">-1*(A15-$A$14)/360*$F$7*$F$5</f>
        <v>-5875</v>
      </c>
      <c r="Q15" s="45">
        <f>VLOOKUP($A15+$J$1, AF$3:AG$509, 2)</f>
        <v>99.5</v>
      </c>
      <c r="R15" s="46">
        <f t="shared" ref="R15" si="9">(Q15-$Q$14)/100*$G$5</f>
        <v>-43613.28125</v>
      </c>
      <c r="S15" s="47">
        <f>(A15-$A$14)/360*$G$6*$G$5-(A15-$A$14)/360*$G$7*$G$5*$Q$14/100</f>
        <v>-828.19087999131898</v>
      </c>
      <c r="T15" s="79">
        <f>C15+D15-F15-G15-I15-J15-L15-M15-O15-P15+R15+S15</f>
        <v>-40470.166236917648</v>
      </c>
      <c r="V15" s="72">
        <v>45784.625</v>
      </c>
      <c r="W15" s="54">
        <v>107.19</v>
      </c>
      <c r="X15" s="72">
        <v>45940.625</v>
      </c>
      <c r="Y15" s="54">
        <v>99.890625</v>
      </c>
      <c r="Z15" s="72">
        <v>45891.625</v>
      </c>
      <c r="AA15" s="54">
        <v>99.953125</v>
      </c>
      <c r="AB15" s="72">
        <v>45894.625</v>
      </c>
      <c r="AC15" s="54">
        <v>97.71875</v>
      </c>
      <c r="AD15" s="72">
        <v>45784.625</v>
      </c>
      <c r="AE15" s="54">
        <v>81.209999999999994</v>
      </c>
      <c r="AF15" s="72">
        <v>45943.625</v>
      </c>
      <c r="AG15" s="54">
        <v>100.40625</v>
      </c>
    </row>
    <row r="16" spans="1:33" x14ac:dyDescent="0.3">
      <c r="A16" s="36">
        <v>45929</v>
      </c>
      <c r="B16" s="45">
        <f t="shared" ref="B16:B28" si="10">VLOOKUP($A16+$J$1, V$3:W$509, 2)</f>
        <v>111.58</v>
      </c>
      <c r="C16" s="46">
        <f t="shared" ref="C16:C37" si="11">(B16/$B$14-1)*$B$5</f>
        <v>201376.68424135796</v>
      </c>
      <c r="D16" s="46">
        <f t="shared" ref="D16:D37" si="12">-1*(A16-$A$14)/360*$B$7*$B$5</f>
        <v>-16802.5</v>
      </c>
      <c r="E16" s="45">
        <f t="shared" ref="E16:E28" si="13">VLOOKUP($A16+$J$1, X$3:Y$509, 2)</f>
        <v>99.484375</v>
      </c>
      <c r="F16" s="46">
        <f t="shared" ref="F16:F37" si="14">(E16-$E$14)/100*$C$5</f>
        <v>16357.421875</v>
      </c>
      <c r="G16" s="47">
        <f t="shared" ref="G16:G37" si="15">(A16-$A$14)/360*$C$6*$C$5-(A16-$A$14)/360*$C$7*$C$5*$E$14/100</f>
        <v>-1077.6916558159728</v>
      </c>
      <c r="H16" s="45">
        <f t="shared" ref="H16:H28" si="16">VLOOKUP($A16+$J$1, Z$3:AA$509, 2)</f>
        <v>100.875</v>
      </c>
      <c r="I16" s="46">
        <f t="shared" ref="I16:I37" si="17">(H16-$H$14)/100*$D$5</f>
        <v>21679.6875</v>
      </c>
      <c r="J16" s="47">
        <f t="shared" ref="J16:J37" si="18">(A16-$A$14)/360*$D$6*$D$5-(A16-$A$14)/360*$D$7*$D$5*$H$14/100</f>
        <v>-3.9876302083330302</v>
      </c>
      <c r="K16" s="45">
        <f t="shared" ref="K16:K28" si="19">VLOOKUP($A16+$J$1, AB$3:AC$509, 2)</f>
        <v>100.65625</v>
      </c>
      <c r="L16" s="46">
        <f t="shared" ref="L16:L37" si="20">(K16-$K$14)/100*$E$5</f>
        <v>95156.25</v>
      </c>
      <c r="M16" s="47">
        <f t="shared" ref="M16:M37" si="21">(A16-$A$14)/360*$E$6*$E$5-(A16-$A$14)/360*$E$7*$E$5*$K$14/100</f>
        <v>619.00416666666661</v>
      </c>
      <c r="N16" s="45">
        <f t="shared" ref="N16:N28" si="22">VLOOKUP($A16+$J$1, AD$3:AE$509, 2)</f>
        <v>84.11</v>
      </c>
      <c r="O16" s="46">
        <f t="shared" ref="O16:O37" si="23">(N16/$N$14-1)*$F$5</f>
        <v>175982.81930442105</v>
      </c>
      <c r="P16" s="47">
        <f t="shared" ref="P16:P37" si="24">-1*(A16-$A$14)/360*$F$7*$F$5</f>
        <v>-23500</v>
      </c>
      <c r="Q16" s="45">
        <f t="shared" ref="Q16:Q28" si="25">VLOOKUP($A16+$J$1, AF$3:AG$509, 2)</f>
        <v>99.703125</v>
      </c>
      <c r="R16" s="46">
        <f t="shared" ref="R16:R37" si="26">(Q16-$Q$14)/100*$G$5</f>
        <v>59472.65625</v>
      </c>
      <c r="S16" s="47">
        <f t="shared" ref="S16:S37" si="27">(A16-$A$14)/360*$G$6*$G$5-(A16-$A$14)/360*$G$7*$G$5*$Q$14/100</f>
        <v>-3312.7635199652759</v>
      </c>
      <c r="T16" s="79">
        <f t="shared" ref="T16:T17" si="28">C16+D16-F16-G16-I16-J16-L16-M16-O16-P16+R16+S16</f>
        <v>-44479.4265886707</v>
      </c>
      <c r="V16" s="72">
        <v>45785.625</v>
      </c>
      <c r="W16" s="54">
        <v>106.65</v>
      </c>
      <c r="X16" s="72">
        <v>45943.625</v>
      </c>
      <c r="Y16" s="54">
        <v>100</v>
      </c>
      <c r="Z16" s="72">
        <v>45894.625</v>
      </c>
      <c r="AA16" s="54">
        <v>99.765625</v>
      </c>
      <c r="AB16" s="72">
        <v>45895.625</v>
      </c>
      <c r="AC16" s="54">
        <v>97.59375</v>
      </c>
      <c r="AD16" s="72">
        <v>45785.625</v>
      </c>
      <c r="AE16" s="54">
        <v>80.88</v>
      </c>
      <c r="AF16" s="72">
        <v>45944.625</v>
      </c>
      <c r="AG16" s="54">
        <v>100.53125</v>
      </c>
    </row>
    <row r="17" spans="1:33" x14ac:dyDescent="0.3">
      <c r="A17" s="36">
        <v>45930</v>
      </c>
      <c r="B17" s="45">
        <f t="shared" si="10"/>
        <v>111.47</v>
      </c>
      <c r="C17" s="46">
        <f t="shared" si="11"/>
        <v>165934.38781487718</v>
      </c>
      <c r="D17" s="46">
        <f t="shared" si="12"/>
        <v>-21003.124999999996</v>
      </c>
      <c r="E17" s="45">
        <f t="shared" si="13"/>
        <v>99.5</v>
      </c>
      <c r="F17" s="46">
        <f t="shared" si="14"/>
        <v>18974.609375</v>
      </c>
      <c r="G17" s="47">
        <f t="shared" si="15"/>
        <v>-1347.1145697699631</v>
      </c>
      <c r="H17" s="45">
        <f t="shared" si="16"/>
        <v>100.828125</v>
      </c>
      <c r="I17" s="46">
        <f t="shared" si="17"/>
        <v>18164.0625</v>
      </c>
      <c r="J17" s="47">
        <f t="shared" si="18"/>
        <v>-4.9845377604160603</v>
      </c>
      <c r="K17" s="45">
        <f t="shared" si="19"/>
        <v>100.390625</v>
      </c>
      <c r="L17" s="46">
        <f t="shared" si="20"/>
        <v>67265.625</v>
      </c>
      <c r="M17" s="47">
        <f t="shared" si="21"/>
        <v>773.75520833333485</v>
      </c>
      <c r="N17" s="45">
        <f t="shared" si="22"/>
        <v>84.11</v>
      </c>
      <c r="O17" s="46">
        <f t="shared" si="23"/>
        <v>175982.81930442105</v>
      </c>
      <c r="P17" s="47">
        <f t="shared" si="24"/>
        <v>-29374.999999999996</v>
      </c>
      <c r="Q17" s="45">
        <f t="shared" si="25"/>
        <v>99.6875</v>
      </c>
      <c r="R17" s="46">
        <f t="shared" si="26"/>
        <v>51542.96875</v>
      </c>
      <c r="S17" s="47">
        <f t="shared" si="27"/>
        <v>-4140.954399956594</v>
      </c>
      <c r="T17" s="79">
        <f t="shared" si="28"/>
        <v>-58100.495115303405</v>
      </c>
      <c r="V17" s="72">
        <v>45786.625</v>
      </c>
      <c r="W17" s="54">
        <v>106.61</v>
      </c>
      <c r="X17" s="72">
        <v>45944.625</v>
      </c>
      <c r="Y17" s="54">
        <v>100.125</v>
      </c>
      <c r="Z17" s="72">
        <v>45895.625</v>
      </c>
      <c r="AA17" s="54">
        <v>99.984375</v>
      </c>
      <c r="AB17" s="72">
        <v>45896.625</v>
      </c>
      <c r="AC17" s="54">
        <v>97.453125</v>
      </c>
      <c r="AD17" s="72">
        <v>45786.625</v>
      </c>
      <c r="AE17" s="54">
        <v>80.87</v>
      </c>
      <c r="AF17" s="72">
        <v>45945.625</v>
      </c>
      <c r="AG17" s="54">
        <v>100.40625</v>
      </c>
    </row>
    <row r="18" spans="1:33" x14ac:dyDescent="0.3">
      <c r="A18" s="36">
        <v>45931</v>
      </c>
      <c r="B18" s="45">
        <f t="shared" si="10"/>
        <v>111.51</v>
      </c>
      <c r="C18" s="46">
        <f t="shared" si="11"/>
        <v>178822.49560632836</v>
      </c>
      <c r="D18" s="46">
        <f t="shared" si="12"/>
        <v>-25203.749999999996</v>
      </c>
      <c r="E18" s="45">
        <f t="shared" si="13"/>
        <v>99.7578125</v>
      </c>
      <c r="F18" s="46">
        <f t="shared" si="14"/>
        <v>62158.203125</v>
      </c>
      <c r="G18" s="47">
        <f t="shared" si="15"/>
        <v>-1616.537483723956</v>
      </c>
      <c r="H18" s="45">
        <f t="shared" si="16"/>
        <v>101.171875</v>
      </c>
      <c r="I18" s="46">
        <f t="shared" si="17"/>
        <v>43945.3125</v>
      </c>
      <c r="J18" s="47">
        <f t="shared" si="18"/>
        <v>-5.9814453124990905</v>
      </c>
      <c r="K18" s="45">
        <f t="shared" si="19"/>
        <v>100.578125</v>
      </c>
      <c r="L18" s="46">
        <f t="shared" si="20"/>
        <v>86953.125</v>
      </c>
      <c r="M18" s="47">
        <f t="shared" si="21"/>
        <v>928.50625000000127</v>
      </c>
      <c r="N18" s="45">
        <f t="shared" si="22"/>
        <v>84.07</v>
      </c>
      <c r="O18" s="46">
        <f t="shared" si="23"/>
        <v>152120.74211059522</v>
      </c>
      <c r="P18" s="47">
        <f t="shared" si="24"/>
        <v>-35249.999999999993</v>
      </c>
      <c r="Q18" s="45">
        <f t="shared" si="25"/>
        <v>100</v>
      </c>
      <c r="R18" s="46">
        <f t="shared" si="26"/>
        <v>210136.71875</v>
      </c>
      <c r="S18" s="47">
        <f t="shared" si="27"/>
        <v>-4969.1452799479157</v>
      </c>
      <c r="T18" s="79">
        <f t="shared" ref="T18:T28" si="29">C18+D18-F18-G18-I18-J18-L18-M18-O18-P18+R18+S18+$J$9</f>
        <v>-12819.87524747751</v>
      </c>
      <c r="V18" s="72">
        <v>45789.625</v>
      </c>
      <c r="W18" s="54">
        <v>106.59</v>
      </c>
      <c r="X18" s="72">
        <v>45945.625</v>
      </c>
      <c r="Y18" s="54">
        <v>100.015625</v>
      </c>
      <c r="Z18" s="72">
        <v>45896.625</v>
      </c>
      <c r="AA18" s="54">
        <v>100.125</v>
      </c>
      <c r="AB18" s="72">
        <v>45897.625</v>
      </c>
      <c r="AC18" s="54">
        <v>98.078125</v>
      </c>
      <c r="AD18" s="72">
        <v>45789.625</v>
      </c>
      <c r="AE18" s="54">
        <v>80.790000000000006</v>
      </c>
      <c r="AF18" s="72">
        <v>45946.625</v>
      </c>
      <c r="AG18" s="54">
        <v>100.84375</v>
      </c>
    </row>
    <row r="19" spans="1:33" x14ac:dyDescent="0.3">
      <c r="A19" s="36">
        <v>45932</v>
      </c>
      <c r="B19" s="45">
        <f t="shared" si="10"/>
        <v>111.69</v>
      </c>
      <c r="C19" s="46">
        <f t="shared" si="11"/>
        <v>236818.98066783874</v>
      </c>
      <c r="D19" s="46">
        <f t="shared" si="12"/>
        <v>-29404.375</v>
      </c>
      <c r="E19" s="45">
        <f t="shared" si="13"/>
        <v>99.78125</v>
      </c>
      <c r="F19" s="46">
        <f t="shared" si="14"/>
        <v>66083.984375</v>
      </c>
      <c r="G19" s="47">
        <f t="shared" si="15"/>
        <v>-1885.9603976779508</v>
      </c>
      <c r="H19" s="45">
        <f t="shared" si="16"/>
        <v>101.3125</v>
      </c>
      <c r="I19" s="46">
        <f t="shared" si="17"/>
        <v>54492.1875</v>
      </c>
      <c r="J19" s="47">
        <f t="shared" si="18"/>
        <v>-6.9783528645830302</v>
      </c>
      <c r="K19" s="45">
        <f t="shared" si="19"/>
        <v>100.875</v>
      </c>
      <c r="L19" s="46">
        <f t="shared" si="20"/>
        <v>118125</v>
      </c>
      <c r="M19" s="47">
        <f t="shared" si="21"/>
        <v>1083.2572916666686</v>
      </c>
      <c r="N19" s="45">
        <f t="shared" si="22"/>
        <v>84.16</v>
      </c>
      <c r="O19" s="46">
        <f t="shared" si="23"/>
        <v>205810.41579669225</v>
      </c>
      <c r="P19" s="47">
        <f t="shared" si="24"/>
        <v>-41125</v>
      </c>
      <c r="Q19" s="45">
        <f t="shared" si="25"/>
        <v>100.078125</v>
      </c>
      <c r="R19" s="46">
        <f t="shared" si="26"/>
        <v>249785.15625</v>
      </c>
      <c r="S19" s="47">
        <f t="shared" si="27"/>
        <v>-5797.3361599392374</v>
      </c>
      <c r="T19" s="79">
        <f t="shared" si="29"/>
        <v>-13547.304722216068</v>
      </c>
      <c r="V19" s="72">
        <v>45790.625</v>
      </c>
      <c r="W19" s="54">
        <v>106.68</v>
      </c>
      <c r="X19" s="72">
        <v>45946.625</v>
      </c>
      <c r="Y19" s="54">
        <v>100.359375</v>
      </c>
      <c r="Z19" s="72">
        <v>45897.625</v>
      </c>
      <c r="AA19" s="54">
        <v>100.375</v>
      </c>
      <c r="AB19" s="72">
        <v>45898.625</v>
      </c>
      <c r="AC19" s="54">
        <v>97.34375</v>
      </c>
      <c r="AD19" s="72">
        <v>45790.625</v>
      </c>
      <c r="AE19" s="54">
        <v>80.88</v>
      </c>
      <c r="AF19" s="72">
        <v>45947.625</v>
      </c>
      <c r="AG19" s="54">
        <v>100.625</v>
      </c>
    </row>
    <row r="20" spans="1:33" x14ac:dyDescent="0.3">
      <c r="A20" s="36">
        <v>45933</v>
      </c>
      <c r="B20" s="45">
        <f t="shared" si="10"/>
        <v>111.55</v>
      </c>
      <c r="C20" s="46">
        <f t="shared" si="11"/>
        <v>191710.60339777157</v>
      </c>
      <c r="D20" s="46">
        <f t="shared" si="12"/>
        <v>-33605</v>
      </c>
      <c r="E20" s="45">
        <f t="shared" si="13"/>
        <v>99.59375</v>
      </c>
      <c r="F20" s="46">
        <f t="shared" si="14"/>
        <v>34677.734375</v>
      </c>
      <c r="G20" s="47">
        <f t="shared" si="15"/>
        <v>-2155.3833116319456</v>
      </c>
      <c r="H20" s="45">
        <f t="shared" si="16"/>
        <v>101.046875</v>
      </c>
      <c r="I20" s="46">
        <f t="shared" si="17"/>
        <v>34570.3125</v>
      </c>
      <c r="J20" s="47">
        <f t="shared" si="18"/>
        <v>-7.9752604166660603</v>
      </c>
      <c r="K20" s="45">
        <f t="shared" si="19"/>
        <v>100.609375</v>
      </c>
      <c r="L20" s="46">
        <f t="shared" si="20"/>
        <v>90234.375000000015</v>
      </c>
      <c r="M20" s="47">
        <f t="shared" si="21"/>
        <v>1238.0083333333332</v>
      </c>
      <c r="N20" s="45">
        <f t="shared" si="22"/>
        <v>84.06</v>
      </c>
      <c r="O20" s="46">
        <f t="shared" si="23"/>
        <v>146155.22281214988</v>
      </c>
      <c r="P20" s="47">
        <f t="shared" si="24"/>
        <v>-47000</v>
      </c>
      <c r="Q20" s="45">
        <f t="shared" si="25"/>
        <v>99.828125</v>
      </c>
      <c r="R20" s="46">
        <f t="shared" si="26"/>
        <v>122910.15625</v>
      </c>
      <c r="S20" s="47">
        <f t="shared" si="27"/>
        <v>-6625.5270399305518</v>
      </c>
      <c r="T20" s="79">
        <f t="shared" si="29"/>
        <v>-45694.886107892766</v>
      </c>
      <c r="V20" s="72">
        <v>45791.625</v>
      </c>
      <c r="W20" s="54">
        <v>106.18</v>
      </c>
      <c r="X20" s="72">
        <v>45947.625</v>
      </c>
      <c r="Y20" s="54">
        <v>100.1796875</v>
      </c>
      <c r="Z20" s="72">
        <v>45898.625</v>
      </c>
      <c r="AA20" s="54">
        <v>100.21875</v>
      </c>
      <c r="AB20" s="72">
        <v>45901.625</v>
      </c>
      <c r="AC20" s="54">
        <v>97.234375</v>
      </c>
      <c r="AD20" s="72">
        <v>45791.625</v>
      </c>
      <c r="AE20" s="54">
        <v>80.58</v>
      </c>
      <c r="AF20" s="72">
        <v>45950.625</v>
      </c>
      <c r="AG20" s="54">
        <v>100.71875</v>
      </c>
    </row>
    <row r="21" spans="1:33" x14ac:dyDescent="0.3">
      <c r="A21" s="36">
        <v>45936</v>
      </c>
      <c r="B21" s="45">
        <f t="shared" si="10"/>
        <v>111.19</v>
      </c>
      <c r="C21" s="46">
        <f t="shared" si="11"/>
        <v>75717.633274750784</v>
      </c>
      <c r="D21" s="46">
        <f t="shared" si="12"/>
        <v>-46206.874999999993</v>
      </c>
      <c r="E21" s="45">
        <f t="shared" si="13"/>
        <v>99.4609375</v>
      </c>
      <c r="F21" s="46">
        <f t="shared" si="14"/>
        <v>12431.640625</v>
      </c>
      <c r="G21" s="47">
        <f t="shared" si="15"/>
        <v>-2963.6520534939227</v>
      </c>
      <c r="H21" s="45">
        <f t="shared" si="16"/>
        <v>100.6875</v>
      </c>
      <c r="I21" s="46">
        <f t="shared" si="17"/>
        <v>7617.1875</v>
      </c>
      <c r="J21" s="47">
        <f t="shared" si="18"/>
        <v>-10.96598307291606</v>
      </c>
      <c r="K21" s="45">
        <f t="shared" si="19"/>
        <v>99.859375</v>
      </c>
      <c r="L21" s="46">
        <f t="shared" si="20"/>
        <v>11484.375000000002</v>
      </c>
      <c r="M21" s="47">
        <f t="shared" si="21"/>
        <v>1702.2614583333343</v>
      </c>
      <c r="N21" s="45">
        <f t="shared" si="22"/>
        <v>83.89</v>
      </c>
      <c r="O21" s="46">
        <f t="shared" si="23"/>
        <v>44741.394738412324</v>
      </c>
      <c r="P21" s="47">
        <f t="shared" si="24"/>
        <v>-64624.999999999993</v>
      </c>
      <c r="Q21" s="45">
        <f t="shared" si="25"/>
        <v>99.59375</v>
      </c>
      <c r="R21" s="46">
        <f t="shared" si="26"/>
        <v>3964.84375</v>
      </c>
      <c r="S21" s="47">
        <f t="shared" si="27"/>
        <v>-9110.0996799045024</v>
      </c>
      <c r="T21" s="79">
        <f t="shared" si="29"/>
        <v>-48384.563207631712</v>
      </c>
      <c r="V21" s="72">
        <v>45792.625</v>
      </c>
      <c r="W21" s="54">
        <v>106.9</v>
      </c>
      <c r="X21" s="72">
        <v>45950.625</v>
      </c>
      <c r="Y21" s="54">
        <v>100.2421875</v>
      </c>
      <c r="Z21" s="72">
        <v>45901.625</v>
      </c>
      <c r="AA21" s="54">
        <v>100.171875</v>
      </c>
      <c r="AB21" s="72">
        <v>45902.625</v>
      </c>
      <c r="AC21" s="54">
        <v>96.65625</v>
      </c>
      <c r="AD21" s="72">
        <v>45792.625</v>
      </c>
      <c r="AE21" s="54">
        <v>81.099999999999994</v>
      </c>
      <c r="AF21" s="72">
        <v>45951.625</v>
      </c>
      <c r="AG21" s="54">
        <v>100.859375</v>
      </c>
    </row>
    <row r="22" spans="1:33" x14ac:dyDescent="0.3">
      <c r="A22" s="36">
        <v>45937</v>
      </c>
      <c r="B22" s="45">
        <f t="shared" si="10"/>
        <v>111.4</v>
      </c>
      <c r="C22" s="46">
        <f t="shared" si="11"/>
        <v>143380.19917984758</v>
      </c>
      <c r="D22" s="46">
        <f t="shared" si="12"/>
        <v>-50407.499999999993</v>
      </c>
      <c r="E22" s="45">
        <f t="shared" si="13"/>
        <v>99.6171875</v>
      </c>
      <c r="F22" s="46">
        <f t="shared" si="14"/>
        <v>38603.515625</v>
      </c>
      <c r="G22" s="47">
        <f t="shared" si="15"/>
        <v>-3233.0749674479121</v>
      </c>
      <c r="H22" s="45">
        <f t="shared" si="16"/>
        <v>100.96875</v>
      </c>
      <c r="I22" s="46">
        <f t="shared" si="17"/>
        <v>28710.9375</v>
      </c>
      <c r="J22" s="47">
        <f t="shared" si="18"/>
        <v>-11.962890624998181</v>
      </c>
      <c r="K22" s="45">
        <f t="shared" si="19"/>
        <v>100.390625</v>
      </c>
      <c r="L22" s="46">
        <f t="shared" si="20"/>
        <v>67265.625</v>
      </c>
      <c r="M22" s="47">
        <f t="shared" si="21"/>
        <v>1857.0125000000025</v>
      </c>
      <c r="N22" s="45">
        <f t="shared" si="22"/>
        <v>84</v>
      </c>
      <c r="O22" s="46">
        <f t="shared" si="23"/>
        <v>110362.10702142224</v>
      </c>
      <c r="P22" s="47">
        <f t="shared" si="24"/>
        <v>-70499.999999999985</v>
      </c>
      <c r="Q22" s="45">
        <f t="shared" si="25"/>
        <v>99.8125</v>
      </c>
      <c r="R22" s="46">
        <f t="shared" si="26"/>
        <v>114980.46874999999</v>
      </c>
      <c r="S22" s="47">
        <f t="shared" si="27"/>
        <v>-9938.2905598958314</v>
      </c>
      <c r="T22" s="79">
        <f t="shared" si="29"/>
        <v>-37412.106685696781</v>
      </c>
      <c r="V22" s="72">
        <v>45793.625</v>
      </c>
      <c r="W22" s="54">
        <v>107.1</v>
      </c>
      <c r="X22" s="72">
        <v>45951.625</v>
      </c>
      <c r="Y22" s="54">
        <v>100.3125</v>
      </c>
      <c r="Z22" s="72">
        <v>45902.625</v>
      </c>
      <c r="AA22" s="54">
        <v>99.859375</v>
      </c>
      <c r="AB22" s="72">
        <v>45903.625</v>
      </c>
      <c r="AC22" s="54">
        <v>97.671875</v>
      </c>
      <c r="AD22" s="72">
        <v>45793.625</v>
      </c>
      <c r="AE22" s="54">
        <v>81.19</v>
      </c>
      <c r="AF22" s="72">
        <v>45952.625</v>
      </c>
      <c r="AG22" s="54">
        <v>100.859375</v>
      </c>
    </row>
    <row r="23" spans="1:33" x14ac:dyDescent="0.3">
      <c r="A23" s="36">
        <v>45938</v>
      </c>
      <c r="B23" s="45">
        <f t="shared" si="10"/>
        <v>111.26</v>
      </c>
      <c r="C23" s="46">
        <f t="shared" si="11"/>
        <v>98271.821909788341</v>
      </c>
      <c r="D23" s="46">
        <f t="shared" si="12"/>
        <v>-54608.124999999993</v>
      </c>
      <c r="E23" s="45">
        <f t="shared" si="13"/>
        <v>99.5625</v>
      </c>
      <c r="F23" s="46">
        <f t="shared" si="14"/>
        <v>29443.359375</v>
      </c>
      <c r="G23" s="47">
        <f t="shared" si="15"/>
        <v>-3502.497881401905</v>
      </c>
      <c r="H23" s="45">
        <f t="shared" si="16"/>
        <v>100.953125</v>
      </c>
      <c r="I23" s="46">
        <f t="shared" si="17"/>
        <v>27539.0625</v>
      </c>
      <c r="J23" s="47">
        <f t="shared" si="18"/>
        <v>-12.959798177082121</v>
      </c>
      <c r="K23" s="45">
        <f t="shared" si="19"/>
        <v>100.4375</v>
      </c>
      <c r="L23" s="46">
        <f t="shared" si="20"/>
        <v>72187.5</v>
      </c>
      <c r="M23" s="47">
        <f t="shared" si="21"/>
        <v>2011.7635416666672</v>
      </c>
      <c r="N23" s="45">
        <f t="shared" si="22"/>
        <v>83.91</v>
      </c>
      <c r="O23" s="46">
        <f t="shared" si="23"/>
        <v>56672.433335325237</v>
      </c>
      <c r="P23" s="47">
        <f t="shared" si="24"/>
        <v>-76374.999999999985</v>
      </c>
      <c r="Q23" s="45">
        <f t="shared" si="25"/>
        <v>99.78125</v>
      </c>
      <c r="R23" s="46">
        <f t="shared" si="26"/>
        <v>99121.09375</v>
      </c>
      <c r="S23" s="47">
        <f t="shared" si="27"/>
        <v>-10766.481439887139</v>
      </c>
      <c r="T23" s="79">
        <f t="shared" si="29"/>
        <v>-38318.176119810916</v>
      </c>
      <c r="V23" s="72">
        <v>45796.625</v>
      </c>
      <c r="W23" s="54">
        <v>107.11</v>
      </c>
      <c r="X23" s="72">
        <v>45952.625</v>
      </c>
      <c r="Y23" s="54">
        <v>100.3203125</v>
      </c>
      <c r="Z23" s="72">
        <v>45903.625</v>
      </c>
      <c r="AA23" s="54">
        <v>100.234375</v>
      </c>
      <c r="AB23" s="72">
        <v>45904.625</v>
      </c>
      <c r="AC23" s="54">
        <v>98.296875</v>
      </c>
      <c r="AD23" s="72">
        <v>45796.625</v>
      </c>
      <c r="AE23" s="54">
        <v>81.239999999999995</v>
      </c>
      <c r="AF23" s="72">
        <v>45953.625</v>
      </c>
      <c r="AG23" s="54">
        <v>100.546875</v>
      </c>
    </row>
    <row r="24" spans="1:33" x14ac:dyDescent="0.3">
      <c r="A24" s="36">
        <v>45939</v>
      </c>
      <c r="B24" s="45">
        <f t="shared" si="10"/>
        <v>111.04</v>
      </c>
      <c r="C24" s="46">
        <f t="shared" si="11"/>
        <v>27387.229056826778</v>
      </c>
      <c r="D24" s="46">
        <f t="shared" si="12"/>
        <v>-58808.75</v>
      </c>
      <c r="E24" s="45">
        <f t="shared" si="13"/>
        <v>99.5</v>
      </c>
      <c r="F24" s="46">
        <f t="shared" si="14"/>
        <v>18974.609375</v>
      </c>
      <c r="G24" s="47">
        <f t="shared" si="15"/>
        <v>-3771.9207953559016</v>
      </c>
      <c r="H24" s="45">
        <f t="shared" si="16"/>
        <v>100.875</v>
      </c>
      <c r="I24" s="46">
        <f t="shared" si="17"/>
        <v>21679.6875</v>
      </c>
      <c r="J24" s="47">
        <f t="shared" si="18"/>
        <v>-13.95670572916606</v>
      </c>
      <c r="K24" s="45">
        <f t="shared" si="19"/>
        <v>100.390625</v>
      </c>
      <c r="L24" s="46">
        <f t="shared" si="20"/>
        <v>67265.625</v>
      </c>
      <c r="M24" s="47">
        <f t="shared" si="21"/>
        <v>2166.5145833333372</v>
      </c>
      <c r="N24" s="45">
        <f t="shared" si="22"/>
        <v>83.78</v>
      </c>
      <c r="O24" s="46">
        <f t="shared" si="23"/>
        <v>-20879.317544592046</v>
      </c>
      <c r="P24" s="47">
        <f t="shared" si="24"/>
        <v>-82250</v>
      </c>
      <c r="Q24" s="45">
        <f t="shared" si="25"/>
        <v>99.71875</v>
      </c>
      <c r="R24" s="46">
        <f t="shared" si="26"/>
        <v>67402.34375</v>
      </c>
      <c r="S24" s="47">
        <f t="shared" si="27"/>
        <v>-11594.672319878475</v>
      </c>
      <c r="T24" s="79">
        <f t="shared" si="29"/>
        <v>-41157.915193007095</v>
      </c>
      <c r="V24" s="72">
        <v>45797.625</v>
      </c>
      <c r="W24" s="54">
        <v>106.86</v>
      </c>
      <c r="X24" s="72">
        <v>45953.625</v>
      </c>
      <c r="Y24" s="54">
        <v>100.0859375</v>
      </c>
      <c r="Z24" s="72">
        <v>45904.625</v>
      </c>
      <c r="AA24" s="54">
        <v>100.71875</v>
      </c>
      <c r="AB24" s="72">
        <v>45905.625</v>
      </c>
      <c r="AC24" s="54">
        <v>99.6875</v>
      </c>
      <c r="AD24" s="72">
        <v>45797.625</v>
      </c>
      <c r="AE24" s="54">
        <v>81.16</v>
      </c>
      <c r="AF24" s="72">
        <v>45954.625</v>
      </c>
      <c r="AG24" s="54">
        <v>100.578125</v>
      </c>
    </row>
    <row r="25" spans="1:33" x14ac:dyDescent="0.3">
      <c r="A25" s="36">
        <v>45940</v>
      </c>
      <c r="B25" s="45">
        <f t="shared" si="10"/>
        <v>111.36</v>
      </c>
      <c r="C25" s="46">
        <f t="shared" si="11"/>
        <v>130492.09138840434</v>
      </c>
      <c r="D25" s="46">
        <f t="shared" si="12"/>
        <v>-63009.374999999993</v>
      </c>
      <c r="E25" s="45">
        <f t="shared" si="13"/>
        <v>99.890625</v>
      </c>
      <c r="F25" s="46">
        <f t="shared" si="14"/>
        <v>84404.296875</v>
      </c>
      <c r="G25" s="47">
        <f t="shared" si="15"/>
        <v>-4041.3437093098946</v>
      </c>
      <c r="H25" s="45">
        <f t="shared" si="16"/>
        <v>101.578125</v>
      </c>
      <c r="I25" s="46">
        <f t="shared" si="17"/>
        <v>74414.0625</v>
      </c>
      <c r="J25" s="47">
        <f t="shared" si="18"/>
        <v>-14.953613281246362</v>
      </c>
      <c r="K25" s="45">
        <f t="shared" si="19"/>
        <v>101.875</v>
      </c>
      <c r="L25" s="46">
        <f t="shared" si="20"/>
        <v>223125.00000000003</v>
      </c>
      <c r="M25" s="47">
        <f t="shared" si="21"/>
        <v>2321.265625</v>
      </c>
      <c r="N25" s="45">
        <f t="shared" si="22"/>
        <v>83.94</v>
      </c>
      <c r="O25" s="46">
        <f t="shared" si="23"/>
        <v>74568.991230683503</v>
      </c>
      <c r="P25" s="47">
        <f t="shared" si="24"/>
        <v>-88124.999999999985</v>
      </c>
      <c r="Q25" s="45">
        <f t="shared" si="25"/>
        <v>100.25</v>
      </c>
      <c r="R25" s="46">
        <f t="shared" si="26"/>
        <v>337011.71875</v>
      </c>
      <c r="S25" s="47">
        <f t="shared" si="27"/>
        <v>-12422.863199869797</v>
      </c>
      <c r="T25" s="79">
        <f t="shared" si="29"/>
        <v>-36953.571236857053</v>
      </c>
      <c r="V25" s="72">
        <v>45798.625</v>
      </c>
      <c r="W25" s="54">
        <v>105.66</v>
      </c>
      <c r="X25" s="72">
        <v>45954.625</v>
      </c>
      <c r="Y25" s="54">
        <v>100.125</v>
      </c>
      <c r="Z25" s="72">
        <v>45905.625</v>
      </c>
      <c r="AA25" s="54">
        <v>101.3125</v>
      </c>
      <c r="AB25" s="72">
        <v>45908.625</v>
      </c>
      <c r="AC25" s="54">
        <v>101</v>
      </c>
      <c r="AD25" s="72">
        <v>45798.625</v>
      </c>
      <c r="AE25" s="54">
        <v>80.52</v>
      </c>
      <c r="AF25" s="72">
        <v>45957.625</v>
      </c>
      <c r="AG25" s="54">
        <v>100.546875</v>
      </c>
    </row>
    <row r="26" spans="1:33" x14ac:dyDescent="0.3">
      <c r="A26" s="36">
        <v>45943</v>
      </c>
      <c r="B26" s="45">
        <f t="shared" si="10"/>
        <v>111.73</v>
      </c>
      <c r="C26" s="46">
        <f t="shared" si="11"/>
        <v>249707.08845928989</v>
      </c>
      <c r="D26" s="46">
        <f t="shared" si="12"/>
        <v>-75611.25</v>
      </c>
      <c r="E26" s="45">
        <f t="shared" si="13"/>
        <v>100</v>
      </c>
      <c r="F26" s="46">
        <f t="shared" si="14"/>
        <v>102724.609375</v>
      </c>
      <c r="G26" s="47">
        <f t="shared" si="15"/>
        <v>-4849.6124511718772</v>
      </c>
      <c r="H26" s="45">
        <f t="shared" si="16"/>
        <v>101.75</v>
      </c>
      <c r="I26" s="46">
        <f t="shared" si="17"/>
        <v>87304.6875</v>
      </c>
      <c r="J26" s="47">
        <f t="shared" si="18"/>
        <v>-17.9443359375</v>
      </c>
      <c r="K26" s="45">
        <f t="shared" si="19"/>
        <v>102.109375</v>
      </c>
      <c r="L26" s="46">
        <f t="shared" si="20"/>
        <v>247734.375</v>
      </c>
      <c r="M26" s="47">
        <f t="shared" si="21"/>
        <v>2785.5187500000029</v>
      </c>
      <c r="N26" s="45">
        <f t="shared" si="22"/>
        <v>84.18</v>
      </c>
      <c r="O26" s="46">
        <f t="shared" si="23"/>
        <v>217741.45439360515</v>
      </c>
      <c r="P26" s="47">
        <f t="shared" si="24"/>
        <v>-105750</v>
      </c>
      <c r="Q26" s="45">
        <f t="shared" si="25"/>
        <v>100.40625</v>
      </c>
      <c r="R26" s="46">
        <f t="shared" si="26"/>
        <v>416308.59375</v>
      </c>
      <c r="S26" s="47">
        <f t="shared" si="27"/>
        <v>-14907.435839843747</v>
      </c>
      <c r="T26" s="79">
        <f t="shared" si="29"/>
        <v>-34548.916129348756</v>
      </c>
      <c r="V26" s="72">
        <v>45799.625</v>
      </c>
      <c r="W26" s="54">
        <v>106.2</v>
      </c>
      <c r="X26" s="72">
        <v>45957.625</v>
      </c>
      <c r="Y26" s="54">
        <v>100.0546875</v>
      </c>
      <c r="Z26" s="72">
        <v>45908.625</v>
      </c>
      <c r="AA26" s="54">
        <v>101.6875</v>
      </c>
      <c r="AB26" s="72">
        <v>45909.625</v>
      </c>
      <c r="AC26" s="54">
        <v>100.4375</v>
      </c>
      <c r="AD26" s="72">
        <v>45799.625</v>
      </c>
      <c r="AE26" s="54">
        <v>80.81</v>
      </c>
      <c r="AF26" s="72">
        <v>45958.625</v>
      </c>
      <c r="AG26" s="54">
        <v>100.625</v>
      </c>
    </row>
    <row r="27" spans="1:33" x14ac:dyDescent="0.3">
      <c r="A27" s="36">
        <v>45944</v>
      </c>
      <c r="B27" s="45">
        <f t="shared" si="10"/>
        <v>112.1</v>
      </c>
      <c r="C27" s="46">
        <f t="shared" si="11"/>
        <v>368922.0855301675</v>
      </c>
      <c r="D27" s="46">
        <f t="shared" si="12"/>
        <v>-79811.874999999985</v>
      </c>
      <c r="E27" s="45">
        <f t="shared" si="13"/>
        <v>100.125</v>
      </c>
      <c r="F27" s="46">
        <f t="shared" si="14"/>
        <v>123662.109375</v>
      </c>
      <c r="G27" s="47">
        <f t="shared" si="15"/>
        <v>-5119.0353651258592</v>
      </c>
      <c r="H27" s="45">
        <f t="shared" si="16"/>
        <v>101.859375</v>
      </c>
      <c r="I27" s="46">
        <f t="shared" si="17"/>
        <v>95507.8125</v>
      </c>
      <c r="J27" s="47">
        <f t="shared" si="18"/>
        <v>-18.941243489578483</v>
      </c>
      <c r="K27" s="45">
        <f t="shared" si="19"/>
        <v>102.140625</v>
      </c>
      <c r="L27" s="46">
        <f t="shared" si="20"/>
        <v>251015.625</v>
      </c>
      <c r="M27" s="47">
        <f t="shared" si="21"/>
        <v>2940.269791666673</v>
      </c>
      <c r="N27" s="45">
        <f t="shared" si="22"/>
        <v>84.33</v>
      </c>
      <c r="O27" s="46">
        <f t="shared" si="23"/>
        <v>307224.24387042981</v>
      </c>
      <c r="P27" s="47">
        <f t="shared" si="24"/>
        <v>-111624.99999999999</v>
      </c>
      <c r="Q27" s="45">
        <f t="shared" si="25"/>
        <v>100.53125</v>
      </c>
      <c r="R27" s="46">
        <f t="shared" si="26"/>
        <v>479746.09375</v>
      </c>
      <c r="S27" s="47">
        <f t="shared" si="27"/>
        <v>-15735.626719835054</v>
      </c>
      <c r="T27" s="79">
        <f t="shared" si="29"/>
        <v>27160.769364552238</v>
      </c>
      <c r="V27" s="72">
        <v>45800.625</v>
      </c>
      <c r="W27" s="54">
        <v>106.28</v>
      </c>
      <c r="X27" s="72">
        <v>45958.625</v>
      </c>
      <c r="Y27" s="54">
        <v>100.1015625</v>
      </c>
      <c r="Z27" s="72">
        <v>45909.625</v>
      </c>
      <c r="AA27" s="54">
        <v>101.390625</v>
      </c>
      <c r="AB27" s="72">
        <v>45910.625</v>
      </c>
      <c r="AC27" s="54">
        <v>100.953125</v>
      </c>
      <c r="AD27" s="72">
        <v>45800.625</v>
      </c>
      <c r="AE27" s="54">
        <v>80.915000000000006</v>
      </c>
      <c r="AF27" s="72">
        <v>45959.625</v>
      </c>
      <c r="AG27" s="54">
        <v>100.015625</v>
      </c>
    </row>
    <row r="28" spans="1:33" x14ac:dyDescent="0.3">
      <c r="A28" s="36">
        <v>45945</v>
      </c>
      <c r="B28" s="45">
        <f t="shared" si="10"/>
        <v>112.1</v>
      </c>
      <c r="C28" s="46">
        <f t="shared" si="11"/>
        <v>368922.0855301675</v>
      </c>
      <c r="D28" s="46">
        <f t="shared" si="12"/>
        <v>-84012.499999999985</v>
      </c>
      <c r="E28" s="45">
        <f t="shared" si="13"/>
        <v>100.015625</v>
      </c>
      <c r="F28" s="46">
        <f t="shared" si="14"/>
        <v>105341.796875</v>
      </c>
      <c r="G28" s="47">
        <f t="shared" si="15"/>
        <v>-5388.4582790798522</v>
      </c>
      <c r="H28" s="45">
        <f t="shared" si="16"/>
        <v>101.734375</v>
      </c>
      <c r="I28" s="46">
        <f t="shared" si="17"/>
        <v>86132.8125</v>
      </c>
      <c r="J28" s="47">
        <f t="shared" si="18"/>
        <v>-19.938151041664241</v>
      </c>
      <c r="K28" s="45">
        <f t="shared" si="19"/>
        <v>101.921875</v>
      </c>
      <c r="L28" s="46">
        <f t="shared" si="20"/>
        <v>228046.87499999997</v>
      </c>
      <c r="M28" s="47">
        <f t="shared" si="21"/>
        <v>3095.0208333333394</v>
      </c>
      <c r="N28" s="45">
        <f t="shared" si="22"/>
        <v>84.38</v>
      </c>
      <c r="O28" s="46">
        <f t="shared" si="23"/>
        <v>337051.84036270098</v>
      </c>
      <c r="P28" s="47">
        <f t="shared" si="24"/>
        <v>-117499.99999999999</v>
      </c>
      <c r="Q28" s="45">
        <f t="shared" si="25"/>
        <v>100.40625</v>
      </c>
      <c r="R28" s="46">
        <f t="shared" si="26"/>
        <v>416308.59375</v>
      </c>
      <c r="S28" s="47">
        <f t="shared" si="27"/>
        <v>-16563.817599826376</v>
      </c>
      <c r="T28" s="79">
        <f t="shared" si="29"/>
        <v>-14478.411727870844</v>
      </c>
      <c r="V28" s="72">
        <v>45804.625</v>
      </c>
      <c r="W28" s="54">
        <v>107.24</v>
      </c>
      <c r="X28" s="72">
        <v>45959.625</v>
      </c>
      <c r="Y28" s="54">
        <v>99.6328125</v>
      </c>
      <c r="Z28" s="72">
        <v>45910.625</v>
      </c>
      <c r="AA28" s="54">
        <v>101.6875</v>
      </c>
      <c r="AB28" s="72">
        <v>45911.625</v>
      </c>
      <c r="AC28" s="54">
        <v>101.640625</v>
      </c>
      <c r="AD28" s="72">
        <v>45804.625</v>
      </c>
      <c r="AE28" s="54">
        <v>81.37</v>
      </c>
      <c r="AF28" s="72">
        <v>45960.625</v>
      </c>
      <c r="AG28" s="54">
        <v>99.921875</v>
      </c>
    </row>
    <row r="29" spans="1:33" x14ac:dyDescent="0.3">
      <c r="A29" s="36">
        <v>45946</v>
      </c>
      <c r="B29" s="45">
        <f t="shared" ref="B29" si="30">VLOOKUP($A29+$J$1, V$3:W$509, 2)</f>
        <v>112.42</v>
      </c>
      <c r="C29" s="46">
        <f t="shared" si="11"/>
        <v>472026.94786174508</v>
      </c>
      <c r="D29" s="46">
        <f t="shared" si="12"/>
        <v>-88213.125</v>
      </c>
      <c r="E29" s="45">
        <f t="shared" ref="E29" si="31">VLOOKUP($A29+$J$1, X$3:Y$509, 2)</f>
        <v>100.359375</v>
      </c>
      <c r="F29" s="46">
        <f t="shared" si="14"/>
        <v>162919.921875</v>
      </c>
      <c r="G29" s="47">
        <f t="shared" si="15"/>
        <v>-5657.8811930338488</v>
      </c>
      <c r="H29" s="45">
        <f t="shared" ref="H29" si="32">VLOOKUP($A29+$J$1, Z$3:AA$509, 2)</f>
        <v>102.234375</v>
      </c>
      <c r="I29" s="46">
        <f t="shared" si="17"/>
        <v>123632.81249999999</v>
      </c>
      <c r="J29" s="47">
        <f t="shared" si="18"/>
        <v>-20.93505859375</v>
      </c>
      <c r="K29" s="45">
        <f t="shared" ref="K29" si="33">VLOOKUP($A29+$J$1, AB$3:AC$509, 2)</f>
        <v>102.671875</v>
      </c>
      <c r="L29" s="46">
        <f t="shared" si="20"/>
        <v>306796.875</v>
      </c>
      <c r="M29" s="47">
        <f t="shared" si="21"/>
        <v>3249.7718749999985</v>
      </c>
      <c r="N29" s="45">
        <f t="shared" ref="N29" si="34">VLOOKUP($A29+$J$1, AD$3:AE$509, 2)</f>
        <v>84.594999999999999</v>
      </c>
      <c r="O29" s="46">
        <f t="shared" si="23"/>
        <v>465310.50527948147</v>
      </c>
      <c r="P29" s="47">
        <f t="shared" si="24"/>
        <v>-123375</v>
      </c>
      <c r="Q29" s="45">
        <f t="shared" ref="Q29" si="35">VLOOKUP($A29+$J$1, AF$3:AG$509, 2)</f>
        <v>100.84375</v>
      </c>
      <c r="R29" s="46">
        <f t="shared" si="26"/>
        <v>638339.84375</v>
      </c>
      <c r="S29" s="47">
        <f t="shared" si="27"/>
        <v>-17392.008479817698</v>
      </c>
      <c r="T29" s="79">
        <f t="shared" ref="T29" si="36">C29+D29-F29-G29-I29-J29-L29-M29-O29-P29+R29+S29+$J$9</f>
        <v>9532.7635867743957</v>
      </c>
      <c r="V29" s="72">
        <v>45805.625</v>
      </c>
      <c r="W29" s="54">
        <v>106.98</v>
      </c>
      <c r="X29" s="72">
        <v>45960.625</v>
      </c>
      <c r="Y29" s="54">
        <v>99.59375</v>
      </c>
      <c r="Z29" s="72">
        <v>45911.625</v>
      </c>
      <c r="AA29" s="54">
        <v>101.890625</v>
      </c>
      <c r="AB29" s="72">
        <v>45912.625</v>
      </c>
      <c r="AC29" s="54">
        <v>101.171875</v>
      </c>
      <c r="AD29" s="72">
        <v>45805.625</v>
      </c>
      <c r="AE29" s="54">
        <v>81.209999999999994</v>
      </c>
      <c r="AF29" s="72">
        <v>45961.625</v>
      </c>
      <c r="AG29" s="54">
        <v>99.96875</v>
      </c>
    </row>
    <row r="30" spans="1:33" x14ac:dyDescent="0.3">
      <c r="A30" s="128">
        <v>45947</v>
      </c>
      <c r="B30" s="45">
        <f t="shared" ref="B30:B31" si="37">VLOOKUP($A30+$J$1, V$3:W$509, 2)</f>
        <v>112.2</v>
      </c>
      <c r="C30" s="46">
        <f t="shared" si="11"/>
        <v>401142.35500879149</v>
      </c>
      <c r="D30" s="46">
        <f t="shared" si="12"/>
        <v>-92413.749999999985</v>
      </c>
      <c r="E30" s="45">
        <f t="shared" ref="E30:E31" si="38">VLOOKUP($A30+$J$1, X$3:Y$509, 2)</f>
        <v>100.1796875</v>
      </c>
      <c r="F30" s="46">
        <f t="shared" si="14"/>
        <v>132822.265625</v>
      </c>
      <c r="G30" s="47">
        <f t="shared" si="15"/>
        <v>-5927.3041069878454</v>
      </c>
      <c r="H30" s="45">
        <f t="shared" ref="H30:H31" si="39">VLOOKUP($A30+$J$1, Z$3:AA$509, 2)</f>
        <v>102.015625</v>
      </c>
      <c r="I30" s="46">
        <f t="shared" si="17"/>
        <v>107226.5625</v>
      </c>
      <c r="J30" s="47">
        <f t="shared" si="18"/>
        <v>-21.931966145832121</v>
      </c>
      <c r="K30" s="45">
        <f t="shared" ref="K30:K31" si="40">VLOOKUP($A30+$J$1, AB$3:AC$509, 2)</f>
        <v>102.46875</v>
      </c>
      <c r="L30" s="46">
        <f t="shared" si="20"/>
        <v>285468.75</v>
      </c>
      <c r="M30" s="47">
        <f t="shared" si="21"/>
        <v>3404.5229166666686</v>
      </c>
      <c r="N30" s="45">
        <f t="shared" ref="N30:N31" si="41">VLOOKUP($A30+$J$1, AD$3:AE$509, 2)</f>
        <v>84.47</v>
      </c>
      <c r="O30" s="46">
        <f t="shared" si="23"/>
        <v>390741.51404879795</v>
      </c>
      <c r="P30" s="47">
        <f t="shared" si="24"/>
        <v>-129249.99999999999</v>
      </c>
      <c r="Q30" s="45">
        <f t="shared" ref="Q30:Q31" si="42">VLOOKUP($A30+$J$1, AF$3:AG$509, 2)</f>
        <v>100.625</v>
      </c>
      <c r="R30" s="46">
        <f t="shared" si="26"/>
        <v>527324.21875</v>
      </c>
      <c r="S30" s="47">
        <f t="shared" si="27"/>
        <v>-18220.199359809005</v>
      </c>
      <c r="T30" s="79">
        <f t="shared" ref="T30:T31" si="43">C30+D30-F30-G30-I30-J30-L30-M30-O30-P30+R30+S30+$J$9</f>
        <v>-29004.578885647687</v>
      </c>
      <c r="V30" s="72">
        <v>45806.625</v>
      </c>
      <c r="W30" s="54">
        <v>107.46</v>
      </c>
      <c r="X30" s="72">
        <v>45961.625</v>
      </c>
      <c r="Y30" s="54">
        <v>99.6484375</v>
      </c>
      <c r="Z30" s="72">
        <v>45912.625</v>
      </c>
      <c r="AA30" s="54">
        <v>101.546875</v>
      </c>
      <c r="AB30" s="72">
        <v>45915.625</v>
      </c>
      <c r="AC30" s="54">
        <v>101.4375</v>
      </c>
      <c r="AD30" s="72">
        <v>45806.625</v>
      </c>
      <c r="AE30" s="54">
        <v>81.489999999999995</v>
      </c>
    </row>
    <row r="31" spans="1:33" x14ac:dyDescent="0.3">
      <c r="A31" s="128">
        <v>45950</v>
      </c>
      <c r="B31" s="45">
        <f t="shared" si="37"/>
        <v>112.54</v>
      </c>
      <c r="C31" s="46">
        <f t="shared" si="11"/>
        <v>510691.27123609063</v>
      </c>
      <c r="D31" s="46">
        <f t="shared" si="12"/>
        <v>-105015.625</v>
      </c>
      <c r="E31" s="45">
        <f t="shared" si="38"/>
        <v>100.2421875</v>
      </c>
      <c r="F31" s="46">
        <f t="shared" si="14"/>
        <v>143291.015625</v>
      </c>
      <c r="G31" s="47">
        <f t="shared" si="15"/>
        <v>-6735.572848849828</v>
      </c>
      <c r="H31" s="45">
        <f t="shared" si="39"/>
        <v>102.171875</v>
      </c>
      <c r="I31" s="46">
        <f t="shared" si="17"/>
        <v>118945.31249999999</v>
      </c>
      <c r="J31" s="47">
        <f t="shared" si="18"/>
        <v>-24.922688802082121</v>
      </c>
      <c r="K31" s="45">
        <f t="shared" si="40"/>
        <v>102.859375</v>
      </c>
      <c r="L31" s="46">
        <f t="shared" si="20"/>
        <v>326484.375</v>
      </c>
      <c r="M31" s="47">
        <f t="shared" si="21"/>
        <v>3868.7760416666642</v>
      </c>
      <c r="N31" s="45">
        <f t="shared" si="41"/>
        <v>84.6</v>
      </c>
      <c r="O31" s="46">
        <f t="shared" si="23"/>
        <v>468293.26492870972</v>
      </c>
      <c r="P31" s="47">
        <f t="shared" si="24"/>
        <v>-146875</v>
      </c>
      <c r="Q31" s="45">
        <f t="shared" si="42"/>
        <v>100.71875</v>
      </c>
      <c r="R31" s="46">
        <f t="shared" si="26"/>
        <v>574902.34375</v>
      </c>
      <c r="S31" s="47">
        <f t="shared" si="27"/>
        <v>-20704.771999782999</v>
      </c>
      <c r="T31" s="79">
        <f t="shared" si="43"/>
        <v>-9746.8548387160117</v>
      </c>
      <c r="V31" s="72">
        <v>45807.625</v>
      </c>
      <c r="W31" s="54">
        <v>107.77</v>
      </c>
      <c r="Z31" s="72">
        <v>45915.625</v>
      </c>
      <c r="AA31" s="54">
        <v>101.71875</v>
      </c>
      <c r="AB31" s="72">
        <v>45916.625</v>
      </c>
      <c r="AC31" s="54">
        <v>101.578125</v>
      </c>
      <c r="AD31" s="72">
        <v>45807.625</v>
      </c>
      <c r="AE31" s="54">
        <v>81.72</v>
      </c>
    </row>
    <row r="32" spans="1:33" x14ac:dyDescent="0.3">
      <c r="A32" s="128">
        <v>45951</v>
      </c>
      <c r="B32" s="45">
        <f t="shared" ref="B32" si="44">VLOOKUP($A32+$J$1, V$3:W$509, 2)</f>
        <v>112.56</v>
      </c>
      <c r="C32" s="46">
        <f t="shared" si="11"/>
        <v>517135.32513181225</v>
      </c>
      <c r="D32" s="46">
        <f t="shared" si="12"/>
        <v>-109216.24999999999</v>
      </c>
      <c r="E32" s="45">
        <f t="shared" ref="E32" si="45">VLOOKUP($A32+$J$1, X$3:Y$509, 2)</f>
        <v>100.3125</v>
      </c>
      <c r="F32" s="46">
        <f t="shared" si="14"/>
        <v>155068.359375</v>
      </c>
      <c r="G32" s="47">
        <f t="shared" si="15"/>
        <v>-7004.9957628038101</v>
      </c>
      <c r="H32" s="45">
        <f t="shared" ref="H32" si="46">VLOOKUP($A32+$J$1, Z$3:AA$509, 2)</f>
        <v>102.359375</v>
      </c>
      <c r="I32" s="46">
        <f t="shared" si="17"/>
        <v>133007.8125</v>
      </c>
      <c r="J32" s="47">
        <f t="shared" si="18"/>
        <v>-25.919596354164241</v>
      </c>
      <c r="K32" s="45">
        <f t="shared" ref="K32" si="47">VLOOKUP($A32+$J$1, AB$3:AC$509, 2)</f>
        <v>103.359375</v>
      </c>
      <c r="L32" s="46">
        <f t="shared" si="20"/>
        <v>378984.375</v>
      </c>
      <c r="M32" s="47">
        <f t="shared" si="21"/>
        <v>4023.5270833333343</v>
      </c>
      <c r="N32" s="45">
        <f t="shared" ref="N32" si="48">VLOOKUP($A32+$J$1, AD$3:AE$509, 2)</f>
        <v>84.65</v>
      </c>
      <c r="O32" s="46">
        <f t="shared" si="23"/>
        <v>498120.86142099201</v>
      </c>
      <c r="P32" s="47">
        <f t="shared" si="24"/>
        <v>-152749.99999999997</v>
      </c>
      <c r="Q32" s="45">
        <f t="shared" ref="Q32" si="49">VLOOKUP($A32+$J$1, AF$3:AG$509, 2)</f>
        <v>100.859375</v>
      </c>
      <c r="R32" s="46">
        <f t="shared" si="26"/>
        <v>646269.53125</v>
      </c>
      <c r="S32" s="47">
        <f t="shared" si="27"/>
        <v>-21532.962879774277</v>
      </c>
      <c r="T32" s="79">
        <f t="shared" ref="T32" si="50">C32+D32-F32-G32-I32-J32-L32-M32-O32-P32+R32+S32+$J$9</f>
        <v>-39141.200785428548</v>
      </c>
      <c r="V32" s="72">
        <v>45810.625</v>
      </c>
      <c r="W32" s="54">
        <v>107.07</v>
      </c>
      <c r="Z32" s="72">
        <v>45916.625</v>
      </c>
      <c r="AA32" s="54">
        <v>101.765625</v>
      </c>
      <c r="AB32" s="72">
        <v>45917.625</v>
      </c>
      <c r="AC32" s="54">
        <v>101.375</v>
      </c>
      <c r="AD32" s="72">
        <v>45810.625</v>
      </c>
      <c r="AE32" s="54">
        <v>81.25</v>
      </c>
    </row>
    <row r="33" spans="1:31" x14ac:dyDescent="0.3">
      <c r="A33" s="128">
        <v>45952</v>
      </c>
      <c r="B33" s="45">
        <f t="shared" ref="B33" si="51">VLOOKUP($A33+$J$1, V$3:W$509, 2)</f>
        <v>112.67</v>
      </c>
      <c r="C33" s="46">
        <f t="shared" si="11"/>
        <v>552577.621558293</v>
      </c>
      <c r="D33" s="46">
        <f t="shared" si="12"/>
        <v>-113416.87499999999</v>
      </c>
      <c r="E33" s="45">
        <f t="shared" ref="E33" si="52">VLOOKUP($A33+$J$1, X$3:Y$509, 2)</f>
        <v>100.3203125</v>
      </c>
      <c r="F33" s="46">
        <f t="shared" si="14"/>
        <v>156376.953125</v>
      </c>
      <c r="G33" s="47">
        <f t="shared" si="15"/>
        <v>-7274.4186767578067</v>
      </c>
      <c r="H33" s="45">
        <f t="shared" ref="H33" si="53">VLOOKUP($A33+$J$1, Z$3:AA$509, 2)</f>
        <v>102.390625</v>
      </c>
      <c r="I33" s="46">
        <f t="shared" si="17"/>
        <v>135351.5625</v>
      </c>
      <c r="J33" s="47">
        <f t="shared" si="18"/>
        <v>-26.916503906246362</v>
      </c>
      <c r="K33" s="45">
        <f t="shared" ref="K33" si="54">VLOOKUP($A33+$J$1, AB$3:AC$509, 2)</f>
        <v>103.4375</v>
      </c>
      <c r="L33" s="46">
        <f t="shared" si="20"/>
        <v>387187.5</v>
      </c>
      <c r="M33" s="47">
        <f t="shared" si="21"/>
        <v>4178.2781250000116</v>
      </c>
      <c r="N33" s="45">
        <f t="shared" ref="N33" si="55">VLOOKUP($A33+$J$1, AD$3:AE$509, 2)</f>
        <v>84.67</v>
      </c>
      <c r="O33" s="46">
        <f t="shared" si="23"/>
        <v>510051.90001789381</v>
      </c>
      <c r="P33" s="47">
        <f t="shared" si="24"/>
        <v>-158624.99999999997</v>
      </c>
      <c r="Q33" s="45">
        <f t="shared" ref="Q33" si="56">VLOOKUP($A33+$J$1, AF$3:AG$509, 2)</f>
        <v>100.859375</v>
      </c>
      <c r="R33" s="46">
        <f t="shared" si="26"/>
        <v>646269.53125</v>
      </c>
      <c r="S33" s="47">
        <f t="shared" si="27"/>
        <v>-22361.153759765584</v>
      </c>
      <c r="T33" s="79">
        <f t="shared" ref="T33" si="57">C33+D33-F33-G33-I33-J33-L33-M33-O33-P33+R33+S33+$J$9</f>
        <v>-26523.5588060015</v>
      </c>
      <c r="V33" s="72">
        <v>45811.625</v>
      </c>
      <c r="W33" s="54">
        <v>107.12</v>
      </c>
      <c r="Z33" s="72">
        <v>45917.625</v>
      </c>
      <c r="AA33" s="54">
        <v>101.5</v>
      </c>
      <c r="AB33" s="72">
        <v>45918.625</v>
      </c>
      <c r="AC33" s="54">
        <v>100.328125</v>
      </c>
      <c r="AD33" s="72">
        <v>45811.625</v>
      </c>
      <c r="AE33" s="54">
        <v>81.27</v>
      </c>
    </row>
    <row r="34" spans="1:31" x14ac:dyDescent="0.3">
      <c r="A34" s="128">
        <v>45953</v>
      </c>
      <c r="B34" s="45">
        <f t="shared" ref="B34" si="58">VLOOKUP($A34+$J$1, V$3:W$509, 2)</f>
        <v>112.53</v>
      </c>
      <c r="C34" s="46">
        <f t="shared" si="11"/>
        <v>507469.24428822589</v>
      </c>
      <c r="D34" s="46">
        <f t="shared" si="12"/>
        <v>-117617.5</v>
      </c>
      <c r="E34" s="45">
        <f t="shared" ref="E34" si="59">VLOOKUP($A34+$J$1, X$3:Y$509, 2)</f>
        <v>100.0859375</v>
      </c>
      <c r="F34" s="46">
        <f t="shared" si="14"/>
        <v>117119.140625</v>
      </c>
      <c r="G34" s="47">
        <f t="shared" si="15"/>
        <v>-7543.8415907118033</v>
      </c>
      <c r="H34" s="45">
        <f t="shared" ref="H34" si="60">VLOOKUP($A34+$J$1, Z$3:AA$509, 2)</f>
        <v>102.015625</v>
      </c>
      <c r="I34" s="46">
        <f t="shared" si="17"/>
        <v>107226.5625</v>
      </c>
      <c r="J34" s="47">
        <f t="shared" si="18"/>
        <v>-27.913411458332121</v>
      </c>
      <c r="K34" s="45">
        <f t="shared" ref="K34" si="61">VLOOKUP($A34+$J$1, AB$3:AC$509, 2)</f>
        <v>102.75</v>
      </c>
      <c r="L34" s="46">
        <f t="shared" si="20"/>
        <v>315000</v>
      </c>
      <c r="M34" s="47">
        <f t="shared" si="21"/>
        <v>4333.0291666666744</v>
      </c>
      <c r="N34" s="45">
        <f t="shared" ref="N34" si="62">VLOOKUP($A34+$J$1, AD$3:AE$509, 2)</f>
        <v>84.594999999999999</v>
      </c>
      <c r="O34" s="46">
        <f t="shared" si="23"/>
        <v>465310.50527948147</v>
      </c>
      <c r="P34" s="47">
        <f t="shared" si="24"/>
        <v>-164500</v>
      </c>
      <c r="Q34" s="45">
        <f t="shared" ref="Q34" si="63">VLOOKUP($A34+$J$1, AF$3:AG$509, 2)</f>
        <v>100.546875</v>
      </c>
      <c r="R34" s="46">
        <f t="shared" si="26"/>
        <v>487675.78125</v>
      </c>
      <c r="S34" s="47">
        <f t="shared" si="27"/>
        <v>-23189.34463975695</v>
      </c>
      <c r="T34" s="79">
        <f t="shared" ref="T34" si="64">C34+D34-F34-G34-I34-J34-L34-M34-O34-P34+R34+S34+$J$9</f>
        <v>-44952.125937808218</v>
      </c>
      <c r="V34" s="72">
        <v>45812.625</v>
      </c>
      <c r="W34" s="54">
        <v>107.9</v>
      </c>
      <c r="Z34" s="72">
        <v>45918.625</v>
      </c>
      <c r="AA34" s="54">
        <v>101.09375</v>
      </c>
      <c r="AB34" s="72">
        <v>45919.625</v>
      </c>
      <c r="AC34" s="54">
        <v>100.125</v>
      </c>
      <c r="AD34" s="72">
        <v>45812.625</v>
      </c>
      <c r="AE34" s="54">
        <v>81.72</v>
      </c>
    </row>
    <row r="35" spans="1:31" x14ac:dyDescent="0.3">
      <c r="A35" s="128">
        <v>45954</v>
      </c>
      <c r="B35" s="45">
        <f t="shared" ref="B35" si="65">VLOOKUP($A35+$J$1, V$3:W$509, 2)</f>
        <v>112.72</v>
      </c>
      <c r="C35" s="46">
        <f t="shared" si="11"/>
        <v>568687.75629760104</v>
      </c>
      <c r="D35" s="46">
        <f t="shared" si="12"/>
        <v>-121818.125</v>
      </c>
      <c r="E35" s="45">
        <f t="shared" ref="E35" si="66">VLOOKUP($A35+$J$1, X$3:Y$509, 2)</f>
        <v>100.125</v>
      </c>
      <c r="F35" s="46">
        <f t="shared" si="14"/>
        <v>123662.109375</v>
      </c>
      <c r="G35" s="47">
        <f t="shared" si="15"/>
        <v>-7813.2645046657999</v>
      </c>
      <c r="H35" s="45">
        <f t="shared" ref="H35" si="67">VLOOKUP($A35+$J$1, Z$3:AA$509, 2)</f>
        <v>102.0625</v>
      </c>
      <c r="I35" s="46">
        <f t="shared" si="17"/>
        <v>110742.1875</v>
      </c>
      <c r="J35" s="47">
        <f t="shared" si="18"/>
        <v>-28.910319010414241</v>
      </c>
      <c r="K35" s="45">
        <f t="shared" ref="K35" si="68">VLOOKUP($A35+$J$1, AB$3:AC$509, 2)</f>
        <v>102.6875</v>
      </c>
      <c r="L35" s="46">
        <f t="shared" si="20"/>
        <v>308437.5</v>
      </c>
      <c r="M35" s="47">
        <f t="shared" si="21"/>
        <v>4487.7802083333372</v>
      </c>
      <c r="N35" s="45">
        <f t="shared" ref="N35" si="69">VLOOKUP($A35+$J$1, AD$3:AE$509, 2)</f>
        <v>84.76</v>
      </c>
      <c r="O35" s="46">
        <f t="shared" si="23"/>
        <v>563741.57370399078</v>
      </c>
      <c r="P35" s="47">
        <f t="shared" si="24"/>
        <v>-170375</v>
      </c>
      <c r="Q35" s="45">
        <f t="shared" ref="Q35" si="70">VLOOKUP($A35+$J$1, AF$3:AG$509, 2)</f>
        <v>100.578125</v>
      </c>
      <c r="R35" s="46">
        <f t="shared" si="26"/>
        <v>503535.15625</v>
      </c>
      <c r="S35" s="47">
        <f t="shared" si="27"/>
        <v>-24017.535519748286</v>
      </c>
      <c r="T35" s="79">
        <f t="shared" ref="T35" si="71">C35+D35-F35-G35-I35-J35-L35-M35-O35-P35+R35+S35+$J$9</f>
        <v>-68839.548203094368</v>
      </c>
      <c r="V35" s="72">
        <v>45813.625</v>
      </c>
      <c r="W35" s="54">
        <v>107.57</v>
      </c>
      <c r="Z35" s="72">
        <v>45919.625</v>
      </c>
      <c r="AA35" s="54">
        <v>101.015625</v>
      </c>
      <c r="AB35" s="72">
        <v>45922.625</v>
      </c>
      <c r="AC35" s="54">
        <v>99.734375</v>
      </c>
      <c r="AD35" s="72">
        <v>45813.625</v>
      </c>
      <c r="AE35" s="54">
        <v>81.405000000000001</v>
      </c>
    </row>
    <row r="36" spans="1:31" x14ac:dyDescent="0.3">
      <c r="A36" s="36">
        <v>45957</v>
      </c>
      <c r="B36" s="45">
        <f t="shared" ref="B36" si="72">VLOOKUP($A36+$J$1, V$3:W$509, 2)</f>
        <v>112.91</v>
      </c>
      <c r="C36" s="46">
        <f t="shared" si="11"/>
        <v>629906.26830696827</v>
      </c>
      <c r="D36" s="46">
        <f t="shared" si="12"/>
        <v>-134420</v>
      </c>
      <c r="E36" s="45">
        <f t="shared" ref="E36" si="73">VLOOKUP($A36+$J$1, X$3:Y$509, 2)</f>
        <v>100.0546875</v>
      </c>
      <c r="F36" s="46">
        <f t="shared" si="14"/>
        <v>111884.765625</v>
      </c>
      <c r="G36" s="47">
        <f t="shared" si="15"/>
        <v>-8621.5332465277825</v>
      </c>
      <c r="H36" s="45">
        <f t="shared" ref="H36" si="74">VLOOKUP($A36+$J$1, Z$3:AA$509, 2)</f>
        <v>102.09375</v>
      </c>
      <c r="I36" s="46">
        <f t="shared" si="17"/>
        <v>113085.9375</v>
      </c>
      <c r="J36" s="47">
        <f t="shared" si="18"/>
        <v>-31.901041666664241</v>
      </c>
      <c r="K36" s="45">
        <f t="shared" ref="K36" si="75">VLOOKUP($A36+$J$1, AB$3:AC$509, 2)</f>
        <v>103.046875</v>
      </c>
      <c r="L36" s="46">
        <f t="shared" si="20"/>
        <v>346171.875</v>
      </c>
      <c r="M36" s="47">
        <f t="shared" si="21"/>
        <v>4952.0333333333328</v>
      </c>
      <c r="N36" s="45">
        <f t="shared" ref="N36" si="76">VLOOKUP($A36+$J$1, AD$3:AE$509, 2)</f>
        <v>84.82</v>
      </c>
      <c r="O36" s="46">
        <f t="shared" si="23"/>
        <v>599534.68949471845</v>
      </c>
      <c r="P36" s="47">
        <f t="shared" si="24"/>
        <v>-188000</v>
      </c>
      <c r="Q36" s="45">
        <f t="shared" ref="Q36" si="77">VLOOKUP($A36+$J$1, AF$3:AG$509, 2)</f>
        <v>100.546875</v>
      </c>
      <c r="R36" s="46">
        <f t="shared" si="26"/>
        <v>487675.78125</v>
      </c>
      <c r="S36" s="47">
        <f t="shared" si="27"/>
        <v>-26502.108159722207</v>
      </c>
      <c r="T36" s="79">
        <f t="shared" ref="T36" si="78">C36+D36-F36-G36-I36-J36-L36-M36-O36-P36+R36+S36+$J$9</f>
        <v>-84688.749534910487</v>
      </c>
      <c r="V36" s="72">
        <v>45814.625</v>
      </c>
      <c r="W36" s="54">
        <v>106.92</v>
      </c>
      <c r="Z36" s="72">
        <v>45922.625</v>
      </c>
      <c r="AA36" s="54">
        <v>100.8125</v>
      </c>
      <c r="AB36" s="72">
        <v>45923.625</v>
      </c>
      <c r="AC36" s="54">
        <v>100.421875</v>
      </c>
      <c r="AD36" s="72">
        <v>45814.625</v>
      </c>
      <c r="AE36" s="54">
        <v>81.03</v>
      </c>
    </row>
    <row r="37" spans="1:31" x14ac:dyDescent="0.3">
      <c r="A37" s="36">
        <v>45958</v>
      </c>
      <c r="B37" s="45">
        <f t="shared" ref="B37" si="79">VLOOKUP($A37+$J$1, V$3:W$509, 2)</f>
        <v>112.92</v>
      </c>
      <c r="C37" s="46">
        <f t="shared" si="11"/>
        <v>633128.29525483306</v>
      </c>
      <c r="D37" s="46">
        <f t="shared" si="12"/>
        <v>-138620.62499999997</v>
      </c>
      <c r="E37" s="45">
        <f t="shared" ref="E37" si="80">VLOOKUP($A37+$J$1, X$3:Y$509, 2)</f>
        <v>100.1015625</v>
      </c>
      <c r="F37" s="46">
        <f t="shared" si="14"/>
        <v>119736.328125</v>
      </c>
      <c r="G37" s="47">
        <f t="shared" si="15"/>
        <v>-8890.9561604817718</v>
      </c>
      <c r="H37" s="45">
        <f t="shared" ref="H37" si="81">VLOOKUP($A37+$J$1, Z$3:AA$509, 2)</f>
        <v>102.1875</v>
      </c>
      <c r="I37" s="46">
        <f t="shared" si="17"/>
        <v>120117.18749999999</v>
      </c>
      <c r="J37" s="47">
        <f t="shared" si="18"/>
        <v>-32.897949218746362</v>
      </c>
      <c r="K37" s="45">
        <f t="shared" ref="K37" si="82">VLOOKUP($A37+$J$1, AB$3:AC$509, 2)</f>
        <v>103.3125</v>
      </c>
      <c r="L37" s="46">
        <f t="shared" si="20"/>
        <v>374062.49999999994</v>
      </c>
      <c r="M37" s="47">
        <f t="shared" si="21"/>
        <v>5106.7843750000102</v>
      </c>
      <c r="N37" s="45">
        <f t="shared" ref="N37" si="83">VLOOKUP($A37+$J$1, AD$3:AE$509, 2)</f>
        <v>84.81</v>
      </c>
      <c r="O37" s="46">
        <f t="shared" si="23"/>
        <v>593569.17019627313</v>
      </c>
      <c r="P37" s="47">
        <f t="shared" si="24"/>
        <v>-193874.99999999997</v>
      </c>
      <c r="Q37" s="45">
        <f t="shared" ref="Q37" si="84">VLOOKUP($A37+$J$1, AF$3:AG$509, 2)</f>
        <v>100.625</v>
      </c>
      <c r="R37" s="46">
        <f t="shared" si="26"/>
        <v>527324.21875</v>
      </c>
      <c r="S37" s="47">
        <f t="shared" si="27"/>
        <v>-27330.299039713515</v>
      </c>
      <c r="T37" s="79">
        <f t="shared" ref="T37" si="85">C37+D37-F37-G37-I37-J37-L37-M37-O37-P37+R37+S37+$J$9</f>
        <v>-77664.350388752151</v>
      </c>
      <c r="V37" s="72">
        <v>45817.625</v>
      </c>
      <c r="W37" s="54">
        <v>107.24</v>
      </c>
      <c r="Z37" s="72">
        <v>45923.625</v>
      </c>
      <c r="AA37" s="54">
        <v>101.140625</v>
      </c>
      <c r="AB37" s="72">
        <v>45924.625</v>
      </c>
      <c r="AC37" s="54">
        <v>100.015625</v>
      </c>
      <c r="AD37" s="72">
        <v>45817.625</v>
      </c>
      <c r="AE37" s="54">
        <v>81.209999999999994</v>
      </c>
    </row>
    <row r="38" spans="1:31" x14ac:dyDescent="0.3">
      <c r="A38" s="36">
        <v>45959</v>
      </c>
      <c r="B38" s="45">
        <f t="shared" ref="B38" si="86">VLOOKUP($A38+$J$1, V$3:W$509, 2)</f>
        <v>112.28</v>
      </c>
      <c r="C38" s="46">
        <f t="shared" ref="C38" si="87">(B38/$B$14-1)*$B$5</f>
        <v>426918.57059168589</v>
      </c>
      <c r="D38" s="46">
        <f t="shared" ref="D38" si="88">-1*(A38-$A$14)/360*$B$7*$B$5</f>
        <v>-142821.24999999997</v>
      </c>
      <c r="E38" s="45">
        <f t="shared" ref="E38" si="89">VLOOKUP($A38+$J$1, X$3:Y$509, 2)</f>
        <v>99.6328125</v>
      </c>
      <c r="F38" s="46">
        <f t="shared" ref="F38" si="90">(E38-$E$14)/100*$C$5</f>
        <v>41220.703125</v>
      </c>
      <c r="G38" s="47">
        <f t="shared" ref="G38" si="91">(A38-$A$14)/360*$C$6*$C$5-(A38-$A$14)/360*$C$7*$C$5*$E$14/100</f>
        <v>-9160.3790744357611</v>
      </c>
      <c r="H38" s="45">
        <f t="shared" ref="H38" si="92">VLOOKUP($A38+$J$1, Z$3:AA$509, 2)</f>
        <v>101.453125</v>
      </c>
      <c r="I38" s="46">
        <f t="shared" ref="I38" si="93">(H38-$H$14)/100*$D$5</f>
        <v>65039.062500000007</v>
      </c>
      <c r="J38" s="47">
        <f t="shared" ref="J38" si="94">(A38-$A$14)/360*$D$6*$D$5-(A38-$A$14)/360*$D$7*$D$5*$H$14/100</f>
        <v>-33.894856770828483</v>
      </c>
      <c r="K38" s="45">
        <f t="shared" ref="K38" si="95">VLOOKUP($A38+$J$1, AB$3:AC$509, 2)</f>
        <v>102.265625</v>
      </c>
      <c r="L38" s="46">
        <f t="shared" ref="L38" si="96">(K38-$K$14)/100*$E$5</f>
        <v>264140.625</v>
      </c>
      <c r="M38" s="47">
        <f t="shared" ref="M38" si="97">(A38-$A$14)/360*$E$6*$E$5-(A38-$A$14)/360*$E$7*$E$5*$K$14/100</f>
        <v>5261.535416666673</v>
      </c>
      <c r="N38" s="45">
        <f t="shared" ref="N38" si="98">VLOOKUP($A38+$J$1, AD$3:AE$509, 2)</f>
        <v>84.4</v>
      </c>
      <c r="O38" s="46">
        <f t="shared" ref="O38" si="99">(N38/$N$14-1)*$F$5</f>
        <v>348982.87895961391</v>
      </c>
      <c r="P38" s="47">
        <f t="shared" ref="P38" si="100">-1*(A38-$A$14)/360*$F$7*$F$5</f>
        <v>-199749.99999999997</v>
      </c>
      <c r="Q38" s="45">
        <f t="shared" ref="Q38" si="101">VLOOKUP($A38+$J$1, AF$3:AG$509, 2)</f>
        <v>100.015625</v>
      </c>
      <c r="R38" s="46">
        <f t="shared" ref="R38" si="102">(Q38-$Q$14)/100*$G$5</f>
        <v>218066.40625000003</v>
      </c>
      <c r="S38" s="47">
        <f t="shared" ref="S38" si="103">(A38-$A$14)/360*$G$6*$G$5-(A38-$A$14)/360*$G$7*$G$5*$Q$14/100</f>
        <v>-28158.489919704851</v>
      </c>
      <c r="T38" s="79">
        <f t="shared" ref="T38" si="104">C38+D38-F38-G38-I38-J38-L38-M38-O38-P38+R38+S38+$J$9</f>
        <v>-104068.11841539203</v>
      </c>
      <c r="V38" s="72">
        <v>45818.625</v>
      </c>
      <c r="W38" s="54">
        <v>107.5</v>
      </c>
      <c r="Z38" s="72">
        <v>45924.625</v>
      </c>
      <c r="AA38" s="54">
        <v>100.859375</v>
      </c>
      <c r="AB38" s="72">
        <v>45925.625</v>
      </c>
      <c r="AC38" s="54">
        <v>100.03125</v>
      </c>
      <c r="AD38" s="72">
        <v>45818.625</v>
      </c>
      <c r="AE38" s="54">
        <v>81.33</v>
      </c>
    </row>
    <row r="39" spans="1:31" x14ac:dyDescent="0.3">
      <c r="A39" s="36">
        <v>45960</v>
      </c>
      <c r="B39" s="45">
        <f t="shared" ref="B39" si="105">VLOOKUP($A39+$J$1, V$3:W$509, 2)</f>
        <v>111.68</v>
      </c>
      <c r="C39" s="46">
        <f t="shared" ref="C39:C40" si="106">(B39/$B$14-1)*$B$5</f>
        <v>233596.95371998192</v>
      </c>
      <c r="D39" s="46">
        <f t="shared" ref="D39:D40" si="107">-1*(A39-$A$14)/360*$B$7*$B$5</f>
        <v>-147021.875</v>
      </c>
      <c r="E39" s="45">
        <f t="shared" ref="E39" si="108">VLOOKUP($A39+$J$1, X$3:Y$509, 2)</f>
        <v>99.59375</v>
      </c>
      <c r="F39" s="46">
        <f t="shared" ref="F39:F40" si="109">(E39-$E$14)/100*$C$5</f>
        <v>34677.734375</v>
      </c>
      <c r="G39" s="47">
        <f t="shared" ref="G39:G40" si="110">(A39-$A$14)/360*$C$6*$C$5-(A39-$A$14)/360*$C$7*$C$5*$E$14/100</f>
        <v>-9429.801988389765</v>
      </c>
      <c r="H39" s="45">
        <f t="shared" ref="H39" si="111">VLOOKUP($A39+$J$1, Z$3:AA$509, 2)</f>
        <v>101.28125</v>
      </c>
      <c r="I39" s="46">
        <f t="shared" ref="I39:I40" si="112">(H39-$H$14)/100*$D$5</f>
        <v>52148.4375</v>
      </c>
      <c r="J39" s="47">
        <f t="shared" ref="J39:J40" si="113">(A39-$A$14)/360*$D$6*$D$5-(A39-$A$14)/360*$D$7*$D$5*$H$14/100</f>
        <v>-34.891764322910603</v>
      </c>
      <c r="K39" s="45">
        <f t="shared" ref="K39" si="114">VLOOKUP($A39+$J$1, AB$3:AC$509, 2)</f>
        <v>101.703125</v>
      </c>
      <c r="L39" s="46">
        <f t="shared" ref="L39:L40" si="115">(K39-$K$14)/100*$E$5</f>
        <v>205078.125</v>
      </c>
      <c r="M39" s="47">
        <f t="shared" ref="M39:M40" si="116">(A39-$A$14)/360*$E$6*$E$5-(A39-$A$14)/360*$E$7*$E$5*$K$14/100</f>
        <v>5416.2864583333358</v>
      </c>
      <c r="N39" s="45">
        <f t="shared" ref="N39" si="117">VLOOKUP($A39+$J$1, AD$3:AE$509, 2)</f>
        <v>84.17</v>
      </c>
      <c r="O39" s="46">
        <f t="shared" ref="O39:O40" si="118">(N39/$N$14-1)*$F$5</f>
        <v>211775.93509514868</v>
      </c>
      <c r="P39" s="47">
        <f t="shared" ref="P39:P40" si="119">-1*(A39-$A$14)/360*$F$7*$F$5</f>
        <v>-205625</v>
      </c>
      <c r="Q39" s="45">
        <f t="shared" ref="Q39" si="120">VLOOKUP($A39+$J$1, AF$3:AG$509, 2)</f>
        <v>99.921875</v>
      </c>
      <c r="R39" s="46">
        <f t="shared" ref="R39:R40" si="121">(Q39-$Q$14)/100*$G$5</f>
        <v>170488.28125</v>
      </c>
      <c r="S39" s="47">
        <f t="shared" ref="S39:S40" si="122">(A39-$A$14)/360*$G$6*$G$5-(A39-$A$14)/360*$G$7*$G$5*$Q$14/100</f>
        <v>-28986.680799696187</v>
      </c>
      <c r="T39" s="79">
        <f t="shared" ref="T39:T40" si="123">C39+D39-F39-G39-I39-J39-L39-M39-O39-P39+R39+S39+$J$9</f>
        <v>-128302.96977278279</v>
      </c>
      <c r="V39" s="72">
        <v>45819.625</v>
      </c>
      <c r="W39" s="54">
        <v>107.84</v>
      </c>
      <c r="Z39" s="72">
        <v>45925.625</v>
      </c>
      <c r="AA39" s="54">
        <v>100.640625</v>
      </c>
      <c r="AB39" s="72">
        <v>45926.625</v>
      </c>
      <c r="AC39" s="54">
        <v>99.90625</v>
      </c>
      <c r="AD39" s="72">
        <v>45819.625</v>
      </c>
      <c r="AE39" s="54">
        <v>81.62</v>
      </c>
    </row>
    <row r="40" spans="1:31" x14ac:dyDescent="0.3">
      <c r="A40" s="36">
        <v>45961</v>
      </c>
      <c r="B40" s="45">
        <f>B10</f>
        <v>110.48</v>
      </c>
      <c r="C40" s="46">
        <f t="shared" si="106"/>
        <v>-153046.28002342998</v>
      </c>
      <c r="D40" s="46">
        <f t="shared" si="107"/>
        <v>-151222.5</v>
      </c>
      <c r="E40" s="45">
        <f>C10</f>
        <v>99.609375</v>
      </c>
      <c r="F40" s="46">
        <f t="shared" si="109"/>
        <v>37294.921875</v>
      </c>
      <c r="G40" s="47">
        <f t="shared" si="110"/>
        <v>-9699.2249023437544</v>
      </c>
      <c r="H40" s="45">
        <f>D10</f>
        <v>101.140625</v>
      </c>
      <c r="I40" s="46">
        <f t="shared" si="112"/>
        <v>41601.5625</v>
      </c>
      <c r="J40" s="47">
        <f t="shared" si="113"/>
        <v>-35.888671875</v>
      </c>
      <c r="K40" s="45">
        <f>E10</f>
        <v>100.890625</v>
      </c>
      <c r="L40" s="46">
        <f t="shared" si="115"/>
        <v>119765.625</v>
      </c>
      <c r="M40" s="47">
        <f t="shared" si="116"/>
        <v>5571.0375000000058</v>
      </c>
      <c r="N40" s="45">
        <f>F10</f>
        <v>83.586200000000005</v>
      </c>
      <c r="O40" s="46">
        <f t="shared" si="118"/>
        <v>-136491.08154864531</v>
      </c>
      <c r="P40" s="47">
        <f t="shared" si="119"/>
        <v>-211500</v>
      </c>
      <c r="Q40" s="45">
        <f>G10</f>
        <v>99.890625</v>
      </c>
      <c r="R40" s="46">
        <f t="shared" si="121"/>
        <v>154628.90625</v>
      </c>
      <c r="S40" s="47">
        <f t="shared" si="122"/>
        <v>-29814.871679687494</v>
      </c>
      <c r="T40" s="79">
        <f t="shared" si="123"/>
        <v>-88334.521472552675</v>
      </c>
      <c r="V40" s="72">
        <v>45820.625</v>
      </c>
      <c r="W40" s="54">
        <v>108.44</v>
      </c>
      <c r="Z40" s="72">
        <v>45926.625</v>
      </c>
      <c r="AA40" s="54">
        <v>100.5625</v>
      </c>
      <c r="AB40" s="72">
        <v>45929.625</v>
      </c>
      <c r="AC40" s="54">
        <v>100.65625</v>
      </c>
      <c r="AD40" s="72">
        <v>45820.625</v>
      </c>
      <c r="AE40" s="54">
        <v>81.91</v>
      </c>
    </row>
    <row r="41" spans="1:31" x14ac:dyDescent="0.3">
      <c r="A41" s="36">
        <v>45964</v>
      </c>
      <c r="B41" s="45"/>
      <c r="C41" s="31"/>
      <c r="D41" s="31"/>
      <c r="E41" s="4"/>
      <c r="F41" s="31"/>
      <c r="G41" s="32"/>
      <c r="H41" s="4"/>
      <c r="I41" s="31"/>
      <c r="J41" s="32"/>
      <c r="K41" s="4"/>
      <c r="L41" s="31"/>
      <c r="M41" s="32"/>
      <c r="N41" s="4"/>
      <c r="O41" s="31"/>
      <c r="P41" s="32"/>
      <c r="Q41" s="4"/>
      <c r="R41" s="31"/>
      <c r="S41" s="32"/>
      <c r="T41" s="79"/>
      <c r="V41" s="72">
        <v>45821.625</v>
      </c>
      <c r="W41" s="54">
        <v>107.79</v>
      </c>
      <c r="Z41" s="72">
        <v>45929.625</v>
      </c>
      <c r="AA41" s="54">
        <v>100.875</v>
      </c>
      <c r="AB41" s="72">
        <v>45930.625</v>
      </c>
      <c r="AC41" s="54">
        <v>100.390625</v>
      </c>
      <c r="AD41" s="72">
        <v>45821.625</v>
      </c>
      <c r="AE41" s="54">
        <v>81.56</v>
      </c>
    </row>
    <row r="42" spans="1:31" x14ac:dyDescent="0.3">
      <c r="A42" s="36">
        <v>45965</v>
      </c>
      <c r="B42" s="45"/>
      <c r="C42" s="31"/>
      <c r="D42" s="31"/>
      <c r="E42" s="4"/>
      <c r="F42" s="31"/>
      <c r="G42" s="32"/>
      <c r="H42" s="4"/>
      <c r="I42" s="31"/>
      <c r="J42" s="32"/>
      <c r="K42" s="4"/>
      <c r="L42" s="31"/>
      <c r="M42" s="32"/>
      <c r="N42" s="4"/>
      <c r="O42" s="31"/>
      <c r="P42" s="32"/>
      <c r="Q42" s="4"/>
      <c r="R42" s="31"/>
      <c r="S42" s="32"/>
      <c r="T42" s="38"/>
      <c r="V42" s="72">
        <v>45824.625</v>
      </c>
      <c r="W42" s="54">
        <v>107.6</v>
      </c>
      <c r="Z42" s="72">
        <v>45930.625</v>
      </c>
      <c r="AA42" s="54">
        <v>100.828125</v>
      </c>
      <c r="AB42" s="72">
        <v>45931.625</v>
      </c>
      <c r="AC42" s="54">
        <v>100.578125</v>
      </c>
      <c r="AD42" s="72">
        <v>45824.625</v>
      </c>
      <c r="AE42" s="54">
        <v>81.52</v>
      </c>
    </row>
    <row r="43" spans="1:31" x14ac:dyDescent="0.3">
      <c r="A43" s="36">
        <v>45966</v>
      </c>
      <c r="B43" s="45"/>
      <c r="C43" s="31"/>
      <c r="D43" s="31"/>
      <c r="E43" s="4"/>
      <c r="F43" s="31"/>
      <c r="G43" s="32"/>
      <c r="H43" s="4"/>
      <c r="I43" s="31"/>
      <c r="J43" s="32"/>
      <c r="K43" s="4"/>
      <c r="L43" s="31"/>
      <c r="M43" s="32"/>
      <c r="N43" s="4"/>
      <c r="O43" s="31"/>
      <c r="P43" s="32"/>
      <c r="Q43" s="4"/>
      <c r="R43" s="31"/>
      <c r="S43" s="32"/>
      <c r="T43" s="38"/>
      <c r="V43" s="72">
        <v>45825.625</v>
      </c>
      <c r="W43" s="54">
        <v>107.97</v>
      </c>
      <c r="Z43" s="72">
        <v>45931.625</v>
      </c>
      <c r="AA43" s="54">
        <v>101.171875</v>
      </c>
      <c r="AB43" s="72">
        <v>45932.625</v>
      </c>
      <c r="AC43" s="54">
        <v>100.875</v>
      </c>
      <c r="AD43" s="72">
        <v>45825.625</v>
      </c>
      <c r="AE43" s="54">
        <v>81.709999999999994</v>
      </c>
    </row>
    <row r="44" spans="1:31" x14ac:dyDescent="0.3">
      <c r="A44" s="36">
        <v>45967</v>
      </c>
      <c r="B44" s="45"/>
      <c r="C44" s="31"/>
      <c r="D44" s="31"/>
      <c r="E44" s="4"/>
      <c r="F44" s="31"/>
      <c r="G44" s="32"/>
      <c r="H44" s="4"/>
      <c r="I44" s="31"/>
      <c r="J44" s="32"/>
      <c r="K44" s="4"/>
      <c r="L44" s="31"/>
      <c r="M44" s="32"/>
      <c r="N44" s="4"/>
      <c r="O44" s="31"/>
      <c r="P44" s="32"/>
      <c r="Q44" s="4"/>
      <c r="R44" s="31"/>
      <c r="S44" s="32"/>
      <c r="T44" s="38"/>
      <c r="V44" s="72">
        <v>45826.625</v>
      </c>
      <c r="W44" s="54">
        <v>108.05</v>
      </c>
      <c r="Z44" s="72">
        <v>45932.625</v>
      </c>
      <c r="AA44" s="54">
        <v>101.3125</v>
      </c>
      <c r="AB44" s="72">
        <v>45933.625</v>
      </c>
      <c r="AC44" s="54">
        <v>100.609375</v>
      </c>
      <c r="AD44" s="72">
        <v>45826.625</v>
      </c>
      <c r="AE44" s="54">
        <v>81.77</v>
      </c>
    </row>
    <row r="45" spans="1:31" x14ac:dyDescent="0.3">
      <c r="A45" s="36">
        <v>45968</v>
      </c>
      <c r="B45" s="45"/>
      <c r="C45" s="31"/>
      <c r="D45" s="31"/>
      <c r="E45" s="4"/>
      <c r="F45" s="31"/>
      <c r="G45" s="32"/>
      <c r="H45" s="4"/>
      <c r="I45" s="31"/>
      <c r="J45" s="32"/>
      <c r="K45" s="4"/>
      <c r="L45" s="31"/>
      <c r="M45" s="32"/>
      <c r="N45" s="4"/>
      <c r="O45" s="31"/>
      <c r="P45" s="32"/>
      <c r="Q45" s="4"/>
      <c r="R45" s="31"/>
      <c r="S45" s="32"/>
      <c r="T45" s="38"/>
      <c r="V45" s="72">
        <v>45828.625</v>
      </c>
      <c r="W45" s="54">
        <v>108.15</v>
      </c>
      <c r="Z45" s="72">
        <v>45933.625</v>
      </c>
      <c r="AA45" s="54">
        <v>101.046875</v>
      </c>
      <c r="AB45" s="72">
        <v>45936.625</v>
      </c>
      <c r="AC45" s="54">
        <v>99.859375</v>
      </c>
      <c r="AD45" s="72">
        <v>45828.625</v>
      </c>
      <c r="AE45" s="54">
        <v>81.89</v>
      </c>
    </row>
    <row r="46" spans="1:31" x14ac:dyDescent="0.3">
      <c r="A46" s="36">
        <v>45969</v>
      </c>
      <c r="B46" s="45"/>
      <c r="C46" s="31"/>
      <c r="D46" s="31"/>
      <c r="E46" s="4"/>
      <c r="F46" s="31"/>
      <c r="G46" s="32"/>
      <c r="H46" s="4"/>
      <c r="I46" s="31"/>
      <c r="J46" s="32"/>
      <c r="K46" s="4"/>
      <c r="L46" s="31"/>
      <c r="M46" s="32"/>
      <c r="N46" s="4"/>
      <c r="O46" s="31"/>
      <c r="P46" s="32"/>
      <c r="Q46" s="4"/>
      <c r="R46" s="31"/>
      <c r="S46" s="32"/>
      <c r="T46" s="38"/>
      <c r="V46" s="72">
        <v>45831.625</v>
      </c>
      <c r="W46" s="54">
        <v>108.41</v>
      </c>
      <c r="Z46" s="72">
        <v>45936.625</v>
      </c>
      <c r="AA46" s="54">
        <v>100.6875</v>
      </c>
      <c r="AB46" s="72">
        <v>45937.625</v>
      </c>
      <c r="AC46" s="54">
        <v>100.390625</v>
      </c>
      <c r="AD46" s="72">
        <v>45831.625</v>
      </c>
      <c r="AE46" s="54">
        <v>82.12</v>
      </c>
    </row>
    <row r="47" spans="1:31" x14ac:dyDescent="0.3">
      <c r="A47" s="36">
        <v>45970</v>
      </c>
      <c r="B47" s="45"/>
      <c r="C47" s="31"/>
      <c r="D47" s="31"/>
      <c r="E47" s="4"/>
      <c r="F47" s="31"/>
      <c r="G47" s="32"/>
      <c r="H47" s="4"/>
      <c r="I47" s="31"/>
      <c r="J47" s="32"/>
      <c r="K47" s="4"/>
      <c r="L47" s="31"/>
      <c r="M47" s="32"/>
      <c r="N47" s="4"/>
      <c r="O47" s="31"/>
      <c r="P47" s="32"/>
      <c r="Q47" s="4"/>
      <c r="R47" s="31"/>
      <c r="S47" s="32"/>
      <c r="T47" s="38"/>
      <c r="V47" s="72">
        <v>45832.625</v>
      </c>
      <c r="W47" s="54">
        <v>108.92</v>
      </c>
      <c r="Z47" s="72">
        <v>45937.625</v>
      </c>
      <c r="AA47" s="54">
        <v>100.96875</v>
      </c>
      <c r="AB47" s="72">
        <v>45938.625</v>
      </c>
      <c r="AC47" s="54">
        <v>100.4375</v>
      </c>
      <c r="AD47" s="72">
        <v>45832.625</v>
      </c>
      <c r="AE47" s="54">
        <v>82.45</v>
      </c>
    </row>
    <row r="48" spans="1:31" x14ac:dyDescent="0.3">
      <c r="A48" s="15"/>
      <c r="B48" s="45"/>
      <c r="C48" s="31"/>
      <c r="D48" s="31"/>
      <c r="E48" s="4"/>
      <c r="F48" s="31"/>
      <c r="G48" s="32"/>
      <c r="H48" s="4"/>
      <c r="I48" s="31"/>
      <c r="J48" s="32"/>
      <c r="K48" s="4"/>
      <c r="L48" s="31"/>
      <c r="M48" s="32"/>
      <c r="N48" s="4"/>
      <c r="O48" s="31"/>
      <c r="P48" s="32"/>
      <c r="Q48" s="4"/>
      <c r="R48" s="31"/>
      <c r="S48" s="32"/>
      <c r="T48" s="38"/>
      <c r="V48" s="72">
        <v>45833.625</v>
      </c>
      <c r="W48" s="54">
        <v>108.79</v>
      </c>
      <c r="Z48" s="72">
        <v>45938.625</v>
      </c>
      <c r="AA48" s="54">
        <v>100.953125</v>
      </c>
      <c r="AB48" s="72">
        <v>45939.625</v>
      </c>
      <c r="AC48" s="54">
        <v>100.390625</v>
      </c>
      <c r="AD48" s="72">
        <v>45833.625</v>
      </c>
      <c r="AE48" s="54">
        <v>82.41</v>
      </c>
    </row>
    <row r="49" spans="1:31" x14ac:dyDescent="0.3">
      <c r="A49" s="15"/>
      <c r="B49" s="45"/>
      <c r="C49" s="31"/>
      <c r="D49" s="31"/>
      <c r="E49" s="4"/>
      <c r="F49" s="31"/>
      <c r="G49" s="32"/>
      <c r="H49" s="4"/>
      <c r="I49" s="31"/>
      <c r="J49" s="32"/>
      <c r="K49" s="4"/>
      <c r="L49" s="31"/>
      <c r="M49" s="32"/>
      <c r="N49" s="4"/>
      <c r="O49" s="31"/>
      <c r="P49" s="32"/>
      <c r="Q49" s="4"/>
      <c r="R49" s="31"/>
      <c r="S49" s="32"/>
      <c r="T49" s="38"/>
      <c r="V49" s="72">
        <v>45834.625</v>
      </c>
      <c r="W49" s="54">
        <v>109.19</v>
      </c>
      <c r="Z49" s="72">
        <v>45939.625</v>
      </c>
      <c r="AA49" s="54">
        <v>100.875</v>
      </c>
      <c r="AB49" s="72">
        <v>45940.625</v>
      </c>
      <c r="AC49" s="54">
        <v>101.875</v>
      </c>
      <c r="AD49" s="72">
        <v>45834.625</v>
      </c>
      <c r="AE49" s="54">
        <v>82.67</v>
      </c>
    </row>
    <row r="50" spans="1:31" ht="15" thickBot="1" x14ac:dyDescent="0.35">
      <c r="A50" s="16"/>
      <c r="B50" s="48"/>
      <c r="C50" s="49"/>
      <c r="D50" s="49"/>
      <c r="E50" s="11"/>
      <c r="F50" s="49"/>
      <c r="G50" s="50"/>
      <c r="H50" s="11"/>
      <c r="I50" s="49"/>
      <c r="J50" s="50"/>
      <c r="K50" s="11"/>
      <c r="L50" s="49"/>
      <c r="M50" s="50"/>
      <c r="N50" s="11"/>
      <c r="O50" s="49"/>
      <c r="P50" s="50"/>
      <c r="Q50" s="11"/>
      <c r="R50" s="49"/>
      <c r="S50" s="50"/>
      <c r="T50" s="51"/>
      <c r="V50" s="72">
        <v>45835.625</v>
      </c>
      <c r="W50" s="54">
        <v>109.01</v>
      </c>
      <c r="Z50" s="72">
        <v>45940.625</v>
      </c>
      <c r="AA50" s="54">
        <v>101.578125</v>
      </c>
      <c r="AB50" s="72">
        <v>45943.625</v>
      </c>
      <c r="AC50" s="54">
        <v>102.109375</v>
      </c>
      <c r="AD50" s="72">
        <v>45835.625</v>
      </c>
      <c r="AE50" s="54">
        <v>82.59</v>
      </c>
    </row>
    <row r="51" spans="1:31" x14ac:dyDescent="0.3">
      <c r="B51" s="56"/>
      <c r="C51" s="56"/>
      <c r="D51" s="56"/>
      <c r="E51" s="56"/>
      <c r="F51" s="56"/>
      <c r="H51" s="55"/>
      <c r="I51" s="55"/>
      <c r="K51" s="56"/>
      <c r="L51" s="56"/>
      <c r="N51" s="55"/>
      <c r="O51" s="55"/>
      <c r="R51" s="55"/>
      <c r="S51" s="55"/>
      <c r="T51" s="55"/>
      <c r="V51" s="72">
        <v>45838.625</v>
      </c>
      <c r="W51" s="54">
        <v>109.61</v>
      </c>
      <c r="Z51" s="72">
        <v>45943.625</v>
      </c>
      <c r="AA51" s="54">
        <v>101.75</v>
      </c>
      <c r="AB51" s="72">
        <v>45944.625</v>
      </c>
      <c r="AC51" s="54">
        <v>102.140625</v>
      </c>
      <c r="AD51" s="72">
        <v>45838.625</v>
      </c>
      <c r="AE51" s="54">
        <v>82.92</v>
      </c>
    </row>
    <row r="52" spans="1:31" x14ac:dyDescent="0.3">
      <c r="R52" s="55"/>
      <c r="S52" s="55"/>
      <c r="T52" s="55"/>
      <c r="V52" s="72">
        <v>45839.625</v>
      </c>
      <c r="W52" s="54">
        <v>109.34</v>
      </c>
      <c r="Z52" s="72">
        <v>45944.625</v>
      </c>
      <c r="AA52" s="54">
        <v>101.859375</v>
      </c>
      <c r="AB52" s="72">
        <v>45945.625</v>
      </c>
      <c r="AC52" s="54">
        <v>101.921875</v>
      </c>
      <c r="AD52" s="72">
        <v>45839.625</v>
      </c>
      <c r="AE52" s="54">
        <v>82.59</v>
      </c>
    </row>
    <row r="53" spans="1:31" x14ac:dyDescent="0.3">
      <c r="R53" s="55"/>
      <c r="S53" s="55"/>
      <c r="T53" s="55"/>
      <c r="V53" s="72">
        <v>45840.625</v>
      </c>
      <c r="W53" s="54">
        <v>109.32</v>
      </c>
      <c r="Z53" s="72">
        <v>45945.625</v>
      </c>
      <c r="AA53" s="54">
        <v>101.734375</v>
      </c>
      <c r="AB53" s="72">
        <v>45946.625</v>
      </c>
      <c r="AC53" s="54">
        <v>102.671875</v>
      </c>
      <c r="AD53" s="72">
        <v>45840.625</v>
      </c>
      <c r="AE53" s="54">
        <v>82.58</v>
      </c>
    </row>
    <row r="54" spans="1:31" x14ac:dyDescent="0.3">
      <c r="R54" s="55"/>
      <c r="S54" s="55"/>
      <c r="T54" s="55"/>
      <c r="V54" s="72">
        <v>45841.625</v>
      </c>
      <c r="W54" s="54">
        <v>109.06</v>
      </c>
      <c r="Z54" s="72">
        <v>45946.625</v>
      </c>
      <c r="AA54" s="54">
        <v>102.234375</v>
      </c>
      <c r="AB54" s="72">
        <v>45947.625</v>
      </c>
      <c r="AC54" s="54">
        <v>102.46875</v>
      </c>
      <c r="AD54" s="72">
        <v>45845.625</v>
      </c>
      <c r="AE54" s="54">
        <v>82.18</v>
      </c>
    </row>
    <row r="55" spans="1:31" x14ac:dyDescent="0.3">
      <c r="V55" s="72">
        <v>45845.625</v>
      </c>
      <c r="W55" s="54">
        <v>108.41</v>
      </c>
      <c r="Z55" s="72">
        <v>45947.625</v>
      </c>
      <c r="AA55" s="54">
        <v>102.015625</v>
      </c>
      <c r="AB55" s="72">
        <v>45950.625</v>
      </c>
      <c r="AC55" s="54">
        <v>102.859375</v>
      </c>
      <c r="AD55" s="72">
        <v>45846.625</v>
      </c>
      <c r="AE55" s="54">
        <v>81.96</v>
      </c>
    </row>
    <row r="56" spans="1:31" x14ac:dyDescent="0.3">
      <c r="V56" s="72">
        <v>45846.625</v>
      </c>
      <c r="W56" s="54">
        <v>108.1</v>
      </c>
      <c r="Z56" s="72">
        <v>45950.625</v>
      </c>
      <c r="AA56" s="54">
        <v>102.171875</v>
      </c>
      <c r="AB56" s="72">
        <v>45951.625</v>
      </c>
      <c r="AC56" s="54">
        <v>103.359375</v>
      </c>
      <c r="AD56" s="72">
        <v>45847.625</v>
      </c>
      <c r="AE56" s="54">
        <v>82.31</v>
      </c>
    </row>
    <row r="57" spans="1:31" x14ac:dyDescent="0.3">
      <c r="V57" s="72">
        <v>45847.625</v>
      </c>
      <c r="W57" s="54">
        <v>108.71</v>
      </c>
      <c r="Z57" s="72">
        <v>45951.625</v>
      </c>
      <c r="AA57" s="54">
        <v>102.359375</v>
      </c>
      <c r="AB57" s="72">
        <v>45952.625</v>
      </c>
      <c r="AC57" s="54">
        <v>103.4375</v>
      </c>
      <c r="AD57" s="72">
        <v>45848.625</v>
      </c>
      <c r="AE57" s="54">
        <v>82.31</v>
      </c>
    </row>
    <row r="58" spans="1:31" x14ac:dyDescent="0.3">
      <c r="V58" s="72">
        <v>45848.625</v>
      </c>
      <c r="W58" s="54">
        <v>108.74</v>
      </c>
      <c r="Z58" s="72">
        <v>45952.625</v>
      </c>
      <c r="AA58" s="54">
        <v>102.390625</v>
      </c>
      <c r="AB58" s="72">
        <v>45953.625</v>
      </c>
      <c r="AC58" s="54">
        <v>102.75</v>
      </c>
      <c r="AD58" s="72">
        <v>45849.625</v>
      </c>
      <c r="AE58" s="54">
        <v>82.02</v>
      </c>
    </row>
    <row r="59" spans="1:31" x14ac:dyDescent="0.3">
      <c r="V59" s="72">
        <v>45849.625</v>
      </c>
      <c r="W59" s="54">
        <v>108.08</v>
      </c>
      <c r="Z59" s="72">
        <v>45953.625</v>
      </c>
      <c r="AA59" s="54">
        <v>102.015625</v>
      </c>
      <c r="AB59" s="72">
        <v>45954.625</v>
      </c>
      <c r="AC59" s="54">
        <v>102.6875</v>
      </c>
      <c r="AD59" s="72">
        <v>45852.625</v>
      </c>
      <c r="AE59" s="54">
        <v>82</v>
      </c>
    </row>
    <row r="60" spans="1:31" x14ac:dyDescent="0.3">
      <c r="V60" s="72">
        <v>45852.625</v>
      </c>
      <c r="W60" s="54">
        <v>108.05</v>
      </c>
      <c r="Z60" s="72">
        <v>45954.625</v>
      </c>
      <c r="AA60" s="54">
        <v>102.0625</v>
      </c>
      <c r="AB60" s="72">
        <v>45957.625</v>
      </c>
      <c r="AC60" s="54">
        <v>103.046875</v>
      </c>
      <c r="AD60" s="72">
        <v>45853.625</v>
      </c>
      <c r="AE60" s="54">
        <v>81.75</v>
      </c>
    </row>
    <row r="61" spans="1:31" x14ac:dyDescent="0.3">
      <c r="V61" s="72">
        <v>45853.625</v>
      </c>
      <c r="W61" s="54">
        <v>107.66</v>
      </c>
      <c r="Z61" s="72">
        <v>45957.625</v>
      </c>
      <c r="AA61" s="54">
        <v>102.09375</v>
      </c>
      <c r="AB61" s="72">
        <v>45958.625</v>
      </c>
      <c r="AC61" s="54">
        <v>103.3125</v>
      </c>
      <c r="AD61" s="72">
        <v>45854.625</v>
      </c>
      <c r="AE61" s="54">
        <v>81.97</v>
      </c>
    </row>
    <row r="62" spans="1:31" x14ac:dyDescent="0.3">
      <c r="V62" s="72">
        <v>45854.625</v>
      </c>
      <c r="W62" s="54">
        <v>107.83</v>
      </c>
      <c r="Z62" s="72">
        <v>45958.625</v>
      </c>
      <c r="AA62" s="54">
        <v>102.1875</v>
      </c>
      <c r="AB62" s="72">
        <v>45959.625</v>
      </c>
      <c r="AC62" s="54">
        <v>102.265625</v>
      </c>
      <c r="AD62" s="72">
        <v>45855.625</v>
      </c>
      <c r="AE62" s="54">
        <v>82.06</v>
      </c>
    </row>
    <row r="63" spans="1:31" x14ac:dyDescent="0.3">
      <c r="V63" s="72">
        <v>45855.625</v>
      </c>
      <c r="W63" s="54">
        <v>108.09</v>
      </c>
      <c r="Z63" s="72">
        <v>45959.625</v>
      </c>
      <c r="AA63" s="54">
        <v>101.453125</v>
      </c>
      <c r="AB63" s="72">
        <v>45960.625</v>
      </c>
      <c r="AC63" s="54">
        <v>101.703125</v>
      </c>
      <c r="AD63" s="72">
        <v>45856.625</v>
      </c>
      <c r="AE63" s="54">
        <v>82.25</v>
      </c>
    </row>
    <row r="64" spans="1:31" x14ac:dyDescent="0.3">
      <c r="V64" s="72">
        <v>45856.625</v>
      </c>
      <c r="W64" s="54">
        <v>108.29</v>
      </c>
      <c r="Z64" s="72">
        <v>45960.625</v>
      </c>
      <c r="AA64" s="54">
        <v>101.28125</v>
      </c>
      <c r="AB64" s="72">
        <v>45961.625</v>
      </c>
      <c r="AC64" s="54">
        <v>101.375</v>
      </c>
      <c r="AD64" s="72">
        <v>45859.625</v>
      </c>
      <c r="AE64" s="54">
        <v>82.49</v>
      </c>
    </row>
    <row r="65" spans="22:31" x14ac:dyDescent="0.3">
      <c r="V65" s="72">
        <v>45859.625</v>
      </c>
      <c r="W65" s="54">
        <v>108.71</v>
      </c>
      <c r="Z65" s="72">
        <v>45961.625</v>
      </c>
      <c r="AA65" s="54">
        <v>101.25</v>
      </c>
      <c r="AD65" s="72">
        <v>45860.625</v>
      </c>
      <c r="AE65" s="54">
        <v>82.64</v>
      </c>
    </row>
    <row r="66" spans="22:31" x14ac:dyDescent="0.3">
      <c r="V66" s="72">
        <v>45860.625</v>
      </c>
      <c r="W66" s="54">
        <v>108.97</v>
      </c>
      <c r="AD66" s="72">
        <v>45861.625</v>
      </c>
      <c r="AE66" s="54">
        <v>82.53</v>
      </c>
    </row>
    <row r="67" spans="22:31" x14ac:dyDescent="0.3">
      <c r="V67" s="72">
        <v>45861.625</v>
      </c>
      <c r="W67" s="54">
        <v>108.8</v>
      </c>
      <c r="AD67" s="72">
        <v>45862.625</v>
      </c>
      <c r="AE67" s="54">
        <v>82.43</v>
      </c>
    </row>
    <row r="68" spans="22:31" x14ac:dyDescent="0.3">
      <c r="V68" s="72">
        <v>45862.625</v>
      </c>
      <c r="W68" s="54">
        <v>108.64</v>
      </c>
      <c r="AD68" s="72">
        <v>45863.625</v>
      </c>
      <c r="AE68" s="54">
        <v>82.63</v>
      </c>
    </row>
    <row r="69" spans="22:31" x14ac:dyDescent="0.3">
      <c r="V69" s="72">
        <v>45863.625</v>
      </c>
      <c r="W69" s="54">
        <v>108.99</v>
      </c>
      <c r="AD69" s="72">
        <v>45866.625</v>
      </c>
      <c r="AE69" s="54">
        <v>82.525000000000006</v>
      </c>
    </row>
    <row r="70" spans="22:31" x14ac:dyDescent="0.3">
      <c r="V70" s="72">
        <v>45866.625</v>
      </c>
      <c r="W70" s="54">
        <v>108.77</v>
      </c>
      <c r="AD70" s="72">
        <v>45867.625</v>
      </c>
      <c r="AE70" s="54">
        <v>82.81</v>
      </c>
    </row>
    <row r="71" spans="22:31" x14ac:dyDescent="0.3">
      <c r="V71" s="72">
        <v>45867.625</v>
      </c>
      <c r="W71" s="54">
        <v>109.49</v>
      </c>
      <c r="AD71" s="72">
        <v>45868.625</v>
      </c>
      <c r="AE71" s="54">
        <v>82.67</v>
      </c>
    </row>
    <row r="72" spans="22:31" x14ac:dyDescent="0.3">
      <c r="V72" s="72">
        <v>45868.625</v>
      </c>
      <c r="W72" s="54">
        <v>109.08</v>
      </c>
      <c r="AD72" s="72">
        <v>45869.625</v>
      </c>
      <c r="AE72" s="54">
        <v>82.68</v>
      </c>
    </row>
    <row r="73" spans="22:31" x14ac:dyDescent="0.3">
      <c r="V73" s="72">
        <v>45869.625</v>
      </c>
      <c r="W73" s="54">
        <v>109.11</v>
      </c>
      <c r="AD73" s="72">
        <v>45870.625</v>
      </c>
      <c r="AE73" s="54">
        <v>83.04</v>
      </c>
    </row>
    <row r="74" spans="22:31" x14ac:dyDescent="0.3">
      <c r="V74" s="72">
        <v>45870.625</v>
      </c>
      <c r="W74" s="54">
        <v>109.63</v>
      </c>
      <c r="AD74" s="72">
        <v>45873.625</v>
      </c>
      <c r="AE74" s="54">
        <v>83.17</v>
      </c>
    </row>
    <row r="75" spans="22:31" x14ac:dyDescent="0.3">
      <c r="V75" s="72">
        <v>45873.625</v>
      </c>
      <c r="W75" s="54">
        <v>109.82</v>
      </c>
      <c r="AD75" s="72">
        <v>45874.625</v>
      </c>
      <c r="AE75" s="54">
        <v>83.12</v>
      </c>
    </row>
    <row r="76" spans="22:31" x14ac:dyDescent="0.3">
      <c r="V76" s="72">
        <v>45874.625</v>
      </c>
      <c r="W76" s="54">
        <v>109.9</v>
      </c>
      <c r="AD76" s="72">
        <v>45875.625</v>
      </c>
      <c r="AE76" s="54">
        <v>83.16</v>
      </c>
    </row>
    <row r="77" spans="22:31" x14ac:dyDescent="0.3">
      <c r="V77" s="72">
        <v>45875.625</v>
      </c>
      <c r="W77" s="54">
        <v>109.87</v>
      </c>
      <c r="AD77" s="72">
        <v>45876.625</v>
      </c>
      <c r="AE77" s="54">
        <v>83.09</v>
      </c>
    </row>
    <row r="78" spans="22:31" x14ac:dyDescent="0.3">
      <c r="V78" s="72">
        <v>45876.625</v>
      </c>
      <c r="W78" s="54">
        <v>109.76</v>
      </c>
      <c r="AD78" s="72">
        <v>45877.625</v>
      </c>
      <c r="AE78" s="54">
        <v>82.88</v>
      </c>
    </row>
    <row r="79" spans="22:31" x14ac:dyDescent="0.3">
      <c r="V79" s="72">
        <v>45877.625</v>
      </c>
      <c r="W79" s="54">
        <v>109.41</v>
      </c>
      <c r="AD79" s="72">
        <v>45880.625</v>
      </c>
      <c r="AE79" s="54">
        <v>82.93</v>
      </c>
    </row>
    <row r="80" spans="22:31" x14ac:dyDescent="0.3">
      <c r="V80" s="72">
        <v>45880.625</v>
      </c>
      <c r="W80" s="54">
        <v>109.58499999999999</v>
      </c>
      <c r="AD80" s="72">
        <v>45881.625</v>
      </c>
      <c r="AE80" s="54">
        <v>83.02</v>
      </c>
    </row>
    <row r="81" spans="22:31" x14ac:dyDescent="0.3">
      <c r="V81" s="72">
        <v>45881.625</v>
      </c>
      <c r="W81" s="54">
        <v>109.68</v>
      </c>
      <c r="AD81" s="72">
        <v>45882.625</v>
      </c>
      <c r="AE81" s="54">
        <v>83.34</v>
      </c>
    </row>
    <row r="82" spans="22:31" x14ac:dyDescent="0.3">
      <c r="V82" s="72">
        <v>45882.625</v>
      </c>
      <c r="W82" s="54">
        <v>110.26</v>
      </c>
      <c r="AD82" s="72">
        <v>45883.625</v>
      </c>
      <c r="AE82" s="54">
        <v>83.12</v>
      </c>
    </row>
    <row r="83" spans="22:31" x14ac:dyDescent="0.3">
      <c r="V83" s="72">
        <v>45883.625</v>
      </c>
      <c r="W83" s="54">
        <v>109.88</v>
      </c>
      <c r="AD83" s="72">
        <v>45884.625</v>
      </c>
      <c r="AE83" s="54">
        <v>83.06</v>
      </c>
    </row>
    <row r="84" spans="22:31" x14ac:dyDescent="0.3">
      <c r="V84" s="72">
        <v>45884.625</v>
      </c>
      <c r="W84" s="54">
        <v>109.74</v>
      </c>
      <c r="AD84" s="72">
        <v>45887.625</v>
      </c>
      <c r="AE84" s="54">
        <v>82.96</v>
      </c>
    </row>
    <row r="85" spans="22:31" x14ac:dyDescent="0.3">
      <c r="V85" s="72">
        <v>45887.625</v>
      </c>
      <c r="W85" s="54">
        <v>109.54</v>
      </c>
      <c r="AD85" s="72">
        <v>45888.625</v>
      </c>
      <c r="AE85" s="54">
        <v>83.08</v>
      </c>
    </row>
    <row r="86" spans="22:31" x14ac:dyDescent="0.3">
      <c r="V86" s="72">
        <v>45888.625</v>
      </c>
      <c r="W86" s="54">
        <v>109.71</v>
      </c>
      <c r="AD86" s="72">
        <v>45889.625</v>
      </c>
      <c r="AE86" s="54">
        <v>83.11</v>
      </c>
    </row>
    <row r="87" spans="22:31" x14ac:dyDescent="0.3">
      <c r="V87" s="72">
        <v>45889.625</v>
      </c>
      <c r="W87" s="54">
        <v>109.76</v>
      </c>
      <c r="AD87" s="72">
        <v>45890.625</v>
      </c>
      <c r="AE87" s="54">
        <v>82.86</v>
      </c>
    </row>
    <row r="88" spans="22:31" x14ac:dyDescent="0.3">
      <c r="V88" s="72">
        <v>45890.625</v>
      </c>
      <c r="W88" s="54">
        <v>109.34</v>
      </c>
      <c r="AD88" s="72">
        <v>45891.625</v>
      </c>
      <c r="AE88" s="54">
        <v>83.38</v>
      </c>
    </row>
    <row r="89" spans="22:31" x14ac:dyDescent="0.3">
      <c r="V89" s="72">
        <v>45891.625</v>
      </c>
      <c r="W89" s="54">
        <v>110.2</v>
      </c>
      <c r="AD89" s="72">
        <v>45894.625</v>
      </c>
      <c r="AE89" s="54">
        <v>83.23</v>
      </c>
    </row>
    <row r="90" spans="22:31" x14ac:dyDescent="0.3">
      <c r="V90" s="72">
        <v>45894.625</v>
      </c>
      <c r="W90" s="54">
        <v>109.91</v>
      </c>
      <c r="AD90" s="72">
        <v>45895.625</v>
      </c>
      <c r="AE90" s="54">
        <v>83.36</v>
      </c>
    </row>
    <row r="91" spans="22:31" x14ac:dyDescent="0.3">
      <c r="V91" s="72">
        <v>45895.625</v>
      </c>
      <c r="W91" s="54">
        <v>109.99</v>
      </c>
      <c r="AD91" s="72">
        <v>45896.625</v>
      </c>
      <c r="AE91" s="54">
        <v>83.46</v>
      </c>
    </row>
    <row r="92" spans="22:31" x14ac:dyDescent="0.3">
      <c r="V92" s="72">
        <v>45896.625</v>
      </c>
      <c r="W92" s="54">
        <v>110.03</v>
      </c>
      <c r="AD92" s="72">
        <v>45897.625</v>
      </c>
      <c r="AE92" s="54">
        <v>83.53</v>
      </c>
    </row>
    <row r="93" spans="22:31" x14ac:dyDescent="0.3">
      <c r="V93" s="72">
        <v>45897.625</v>
      </c>
      <c r="W93" s="54">
        <v>110.2</v>
      </c>
      <c r="AD93" s="72">
        <v>45898.625</v>
      </c>
      <c r="AE93" s="54">
        <v>83.42</v>
      </c>
    </row>
    <row r="94" spans="22:31" x14ac:dyDescent="0.3">
      <c r="V94" s="72">
        <v>45898.625</v>
      </c>
      <c r="W94" s="54">
        <v>109.83</v>
      </c>
      <c r="AD94" s="72">
        <v>45902.625</v>
      </c>
      <c r="AE94" s="54">
        <v>82.9</v>
      </c>
    </row>
    <row r="95" spans="22:31" x14ac:dyDescent="0.3">
      <c r="V95" s="72">
        <v>45902.625</v>
      </c>
      <c r="W95" s="54">
        <v>109.05</v>
      </c>
      <c r="AD95" s="72">
        <v>45903.625</v>
      </c>
      <c r="AE95" s="54">
        <v>83.2</v>
      </c>
    </row>
    <row r="96" spans="22:31" x14ac:dyDescent="0.3">
      <c r="V96" s="72">
        <v>45903.625</v>
      </c>
      <c r="W96" s="54">
        <v>109.7</v>
      </c>
      <c r="AD96" s="72">
        <v>45904.625</v>
      </c>
      <c r="AE96" s="54">
        <v>83.66</v>
      </c>
    </row>
    <row r="97" spans="22:31" x14ac:dyDescent="0.3">
      <c r="V97" s="72">
        <v>45904.625</v>
      </c>
      <c r="W97" s="54">
        <v>110.45</v>
      </c>
      <c r="AD97" s="72">
        <v>45905.625</v>
      </c>
      <c r="AE97" s="54">
        <v>83.99</v>
      </c>
    </row>
    <row r="98" spans="22:31" x14ac:dyDescent="0.3">
      <c r="V98" s="72">
        <v>45905.625</v>
      </c>
      <c r="W98" s="54">
        <v>111.17</v>
      </c>
      <c r="AD98" s="72">
        <v>45908.625</v>
      </c>
      <c r="AE98" s="54">
        <v>84.15</v>
      </c>
    </row>
    <row r="99" spans="22:31" x14ac:dyDescent="0.3">
      <c r="V99" s="72">
        <v>45908.625</v>
      </c>
      <c r="W99" s="54">
        <v>111.56</v>
      </c>
      <c r="AD99" s="72">
        <v>45909.625</v>
      </c>
      <c r="AE99" s="54">
        <v>84.04</v>
      </c>
    </row>
    <row r="100" spans="22:31" x14ac:dyDescent="0.3">
      <c r="V100" s="72">
        <v>45909.625</v>
      </c>
      <c r="W100" s="54">
        <v>111.36</v>
      </c>
      <c r="AD100" s="72">
        <v>45910.625</v>
      </c>
      <c r="AE100" s="54">
        <v>84.24</v>
      </c>
    </row>
    <row r="101" spans="22:31" x14ac:dyDescent="0.3">
      <c r="V101" s="72">
        <v>45910.625</v>
      </c>
      <c r="W101" s="54">
        <v>111.69</v>
      </c>
      <c r="AD101" s="72">
        <v>45911.625</v>
      </c>
      <c r="AE101" s="54">
        <v>84.49</v>
      </c>
    </row>
    <row r="102" spans="22:31" x14ac:dyDescent="0.3">
      <c r="V102" s="72">
        <v>45911.625</v>
      </c>
      <c r="W102" s="54">
        <v>112.21</v>
      </c>
      <c r="AD102" s="72">
        <v>45912.625</v>
      </c>
      <c r="AE102" s="54">
        <v>84.34</v>
      </c>
    </row>
    <row r="103" spans="22:31" x14ac:dyDescent="0.3">
      <c r="V103" s="72">
        <v>45912.625</v>
      </c>
      <c r="W103" s="54">
        <v>112.01</v>
      </c>
      <c r="AD103" s="72">
        <v>45915.625</v>
      </c>
      <c r="AE103" s="54">
        <v>84.54</v>
      </c>
    </row>
    <row r="104" spans="22:31" x14ac:dyDescent="0.3">
      <c r="V104" s="72">
        <v>45915.625</v>
      </c>
      <c r="W104" s="54">
        <v>112.36</v>
      </c>
      <c r="AD104" s="72">
        <v>45916.625</v>
      </c>
      <c r="AE104" s="54">
        <v>84.53</v>
      </c>
    </row>
    <row r="105" spans="22:31" x14ac:dyDescent="0.3">
      <c r="V105" s="72">
        <v>45916.625</v>
      </c>
      <c r="W105" s="54">
        <v>112.26</v>
      </c>
      <c r="AD105" s="72">
        <v>45917.625</v>
      </c>
      <c r="AE105" s="54">
        <v>84.37</v>
      </c>
    </row>
    <row r="106" spans="22:31" x14ac:dyDescent="0.3">
      <c r="V106" s="72">
        <v>45917.625</v>
      </c>
      <c r="W106" s="54">
        <v>112.06</v>
      </c>
      <c r="AD106" s="72">
        <v>45918.625</v>
      </c>
      <c r="AE106" s="54">
        <v>84.295000000000002</v>
      </c>
    </row>
    <row r="107" spans="22:31" x14ac:dyDescent="0.3">
      <c r="V107" s="72">
        <v>45918.625</v>
      </c>
      <c r="W107" s="54">
        <v>111.83</v>
      </c>
      <c r="AD107" s="72">
        <v>45919.625</v>
      </c>
      <c r="AE107" s="54">
        <v>84.29</v>
      </c>
    </row>
    <row r="108" spans="22:31" x14ac:dyDescent="0.3">
      <c r="V108" s="72">
        <v>45919.625</v>
      </c>
      <c r="W108" s="54">
        <v>111.74</v>
      </c>
      <c r="AD108" s="72">
        <v>45922.625</v>
      </c>
      <c r="AE108" s="54">
        <v>84.154300000000006</v>
      </c>
    </row>
    <row r="109" spans="22:31" x14ac:dyDescent="0.3">
      <c r="V109" s="72">
        <v>45922.625</v>
      </c>
      <c r="W109" s="54">
        <v>111.48</v>
      </c>
      <c r="AD109" s="72">
        <v>45923.625</v>
      </c>
      <c r="AE109" s="54">
        <v>84.29</v>
      </c>
    </row>
    <row r="110" spans="22:31" x14ac:dyDescent="0.3">
      <c r="V110" s="72">
        <v>45923.625</v>
      </c>
      <c r="W110" s="54">
        <v>111.71</v>
      </c>
      <c r="AD110" s="72">
        <v>45924.625</v>
      </c>
      <c r="AE110" s="54">
        <v>84.05</v>
      </c>
    </row>
    <row r="111" spans="22:31" x14ac:dyDescent="0.3">
      <c r="V111" s="72">
        <v>45924.625</v>
      </c>
      <c r="W111" s="54">
        <v>111.26</v>
      </c>
      <c r="AD111" s="72">
        <v>45925.625</v>
      </c>
      <c r="AE111" s="54">
        <v>83.87</v>
      </c>
    </row>
    <row r="112" spans="22:31" x14ac:dyDescent="0.3">
      <c r="V112" s="72">
        <v>45925.625</v>
      </c>
      <c r="W112" s="54">
        <v>111.06</v>
      </c>
      <c r="AD112" s="72">
        <v>45926.625</v>
      </c>
      <c r="AE112" s="54">
        <v>83.93</v>
      </c>
    </row>
    <row r="113" spans="22:31" x14ac:dyDescent="0.3">
      <c r="V113" s="72">
        <v>45926.625</v>
      </c>
      <c r="W113" s="54">
        <v>111.21</v>
      </c>
      <c r="AD113" s="72">
        <v>45929.625</v>
      </c>
      <c r="AE113" s="54">
        <v>84.11</v>
      </c>
    </row>
    <row r="114" spans="22:31" x14ac:dyDescent="0.3">
      <c r="V114" s="72">
        <v>45929.625</v>
      </c>
      <c r="W114" s="54">
        <v>111.58</v>
      </c>
      <c r="AD114" s="72">
        <v>45930.625</v>
      </c>
      <c r="AE114" s="54">
        <v>84.11</v>
      </c>
    </row>
    <row r="115" spans="22:31" x14ac:dyDescent="0.3">
      <c r="V115" s="72">
        <v>45930.625</v>
      </c>
      <c r="W115" s="54">
        <v>111.47</v>
      </c>
      <c r="AD115" s="72">
        <v>45931.625</v>
      </c>
      <c r="AE115" s="54">
        <v>84.07</v>
      </c>
    </row>
    <row r="116" spans="22:31" x14ac:dyDescent="0.3">
      <c r="V116" s="72">
        <v>45931.625</v>
      </c>
      <c r="W116" s="54">
        <v>111.51</v>
      </c>
      <c r="AD116" s="72">
        <v>45932.625</v>
      </c>
      <c r="AE116" s="54">
        <v>84.16</v>
      </c>
    </row>
    <row r="117" spans="22:31" x14ac:dyDescent="0.3">
      <c r="V117" s="72">
        <v>45932.625</v>
      </c>
      <c r="W117" s="54">
        <v>111.69</v>
      </c>
      <c r="AD117" s="72">
        <v>45933.625</v>
      </c>
      <c r="AE117" s="54">
        <v>84.06</v>
      </c>
    </row>
    <row r="118" spans="22:31" x14ac:dyDescent="0.3">
      <c r="V118" s="72">
        <v>45933.625</v>
      </c>
      <c r="W118" s="54">
        <v>111.55</v>
      </c>
      <c r="AD118" s="72">
        <v>45936.625</v>
      </c>
      <c r="AE118" s="54">
        <v>83.89</v>
      </c>
    </row>
    <row r="119" spans="22:31" x14ac:dyDescent="0.3">
      <c r="V119" s="72">
        <v>45936.625</v>
      </c>
      <c r="W119" s="54">
        <v>111.19</v>
      </c>
      <c r="AD119" s="72">
        <v>45937.625</v>
      </c>
      <c r="AE119" s="54">
        <v>84</v>
      </c>
    </row>
    <row r="120" spans="22:31" x14ac:dyDescent="0.3">
      <c r="V120" s="72">
        <v>45937.625</v>
      </c>
      <c r="W120" s="54">
        <v>111.4</v>
      </c>
      <c r="AD120" s="72">
        <v>45938.625</v>
      </c>
      <c r="AE120" s="54">
        <v>83.91</v>
      </c>
    </row>
    <row r="121" spans="22:31" x14ac:dyDescent="0.3">
      <c r="V121" s="72">
        <v>45938.625</v>
      </c>
      <c r="W121" s="54">
        <v>111.26</v>
      </c>
      <c r="AD121" s="72">
        <v>45939.625</v>
      </c>
      <c r="AE121" s="54">
        <v>83.78</v>
      </c>
    </row>
    <row r="122" spans="22:31" x14ac:dyDescent="0.3">
      <c r="V122" s="72">
        <v>45939.625</v>
      </c>
      <c r="W122" s="54">
        <v>111.04</v>
      </c>
      <c r="AD122" s="72">
        <v>45940.625</v>
      </c>
      <c r="AE122" s="54">
        <v>83.94</v>
      </c>
    </row>
    <row r="123" spans="22:31" x14ac:dyDescent="0.3">
      <c r="V123" s="72">
        <v>45940.625</v>
      </c>
      <c r="W123" s="54">
        <v>111.36</v>
      </c>
      <c r="AD123" s="72">
        <v>45943.625</v>
      </c>
      <c r="AE123" s="54">
        <v>84.18</v>
      </c>
    </row>
    <row r="124" spans="22:31" x14ac:dyDescent="0.3">
      <c r="V124" s="72">
        <v>45943.625</v>
      </c>
      <c r="W124" s="54">
        <v>111.73</v>
      </c>
      <c r="AD124" s="72">
        <v>45944.625</v>
      </c>
      <c r="AE124" s="54">
        <v>84.33</v>
      </c>
    </row>
    <row r="125" spans="22:31" x14ac:dyDescent="0.3">
      <c r="V125" s="72">
        <v>45944.625</v>
      </c>
      <c r="W125" s="54">
        <v>112.1</v>
      </c>
      <c r="AD125" s="72">
        <v>45945.625</v>
      </c>
      <c r="AE125" s="54">
        <v>84.38</v>
      </c>
    </row>
    <row r="126" spans="22:31" x14ac:dyDescent="0.3">
      <c r="V126" s="72">
        <v>45945.625</v>
      </c>
      <c r="W126" s="54">
        <v>112.1</v>
      </c>
      <c r="AD126" s="72">
        <v>45946.625</v>
      </c>
      <c r="AE126" s="54">
        <v>84.594999999999999</v>
      </c>
    </row>
    <row r="127" spans="22:31" x14ac:dyDescent="0.3">
      <c r="V127" s="72">
        <v>45946.625</v>
      </c>
      <c r="W127" s="54">
        <v>112.42</v>
      </c>
      <c r="AD127" s="72">
        <v>45947.625</v>
      </c>
      <c r="AE127" s="54">
        <v>84.47</v>
      </c>
    </row>
    <row r="128" spans="22:31" x14ac:dyDescent="0.3">
      <c r="V128" s="72">
        <v>45947.625</v>
      </c>
      <c r="W128" s="54">
        <v>112.2</v>
      </c>
      <c r="AD128" s="72">
        <v>45950.625</v>
      </c>
      <c r="AE128" s="54">
        <v>84.6</v>
      </c>
    </row>
    <row r="129" spans="22:31" x14ac:dyDescent="0.3">
      <c r="V129" s="72">
        <v>45950.625</v>
      </c>
      <c r="W129" s="54">
        <v>112.54</v>
      </c>
      <c r="AD129" s="72">
        <v>45951.625</v>
      </c>
      <c r="AE129" s="54">
        <v>84.65</v>
      </c>
    </row>
    <row r="130" spans="22:31" x14ac:dyDescent="0.3">
      <c r="V130" s="72">
        <v>45951.625</v>
      </c>
      <c r="W130" s="54">
        <v>112.56</v>
      </c>
      <c r="AD130" s="72">
        <v>45952.625</v>
      </c>
      <c r="AE130" s="54">
        <v>84.67</v>
      </c>
    </row>
    <row r="131" spans="22:31" x14ac:dyDescent="0.3">
      <c r="V131" s="72">
        <v>45952.625</v>
      </c>
      <c r="W131" s="54">
        <v>112.67</v>
      </c>
      <c r="AD131" s="72">
        <v>45953.625</v>
      </c>
      <c r="AE131" s="54">
        <v>84.594999999999999</v>
      </c>
    </row>
    <row r="132" spans="22:31" x14ac:dyDescent="0.3">
      <c r="V132" s="72">
        <v>45953.625</v>
      </c>
      <c r="W132" s="54">
        <v>112.53</v>
      </c>
      <c r="AD132" s="72">
        <v>45954.625</v>
      </c>
      <c r="AE132" s="54">
        <v>84.76</v>
      </c>
    </row>
    <row r="133" spans="22:31" x14ac:dyDescent="0.3">
      <c r="V133" s="72">
        <v>45954.625</v>
      </c>
      <c r="W133" s="54">
        <v>112.72</v>
      </c>
      <c r="AD133" s="72">
        <v>45957.625</v>
      </c>
      <c r="AE133" s="54">
        <v>84.82</v>
      </c>
    </row>
    <row r="134" spans="22:31" x14ac:dyDescent="0.3">
      <c r="V134" s="72">
        <v>45957.625</v>
      </c>
      <c r="W134" s="54">
        <v>112.91</v>
      </c>
      <c r="AD134" s="72">
        <v>45958.625</v>
      </c>
      <c r="AE134" s="54">
        <v>84.81</v>
      </c>
    </row>
    <row r="135" spans="22:31" x14ac:dyDescent="0.3">
      <c r="V135" s="72">
        <v>45958.625</v>
      </c>
      <c r="W135" s="54">
        <v>112.92</v>
      </c>
      <c r="AD135" s="72">
        <v>45959.625</v>
      </c>
      <c r="AE135" s="54">
        <v>84.4</v>
      </c>
    </row>
    <row r="136" spans="22:31" x14ac:dyDescent="0.3">
      <c r="V136" s="72">
        <v>45959.625</v>
      </c>
      <c r="W136" s="54">
        <v>112.28</v>
      </c>
      <c r="AD136" s="72">
        <v>45960.625</v>
      </c>
      <c r="AE136" s="54">
        <v>84.17</v>
      </c>
    </row>
    <row r="137" spans="22:31" x14ac:dyDescent="0.3">
      <c r="V137" s="72">
        <v>45960.625</v>
      </c>
      <c r="W137" s="54">
        <v>111.68</v>
      </c>
      <c r="AD137" s="72">
        <v>45961.625</v>
      </c>
      <c r="AE137" s="54">
        <v>84.05</v>
      </c>
    </row>
    <row r="138" spans="22:31" x14ac:dyDescent="0.3">
      <c r="V138" s="72">
        <v>45961.625</v>
      </c>
      <c r="W138" s="54">
        <v>111.23</v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41">
    <cfRule type="cellIs" dxfId="10" priority="1" operator="less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202-966E-4DE3-BC9C-2E09D48BDD9D}">
  <dimension ref="A1:AF114"/>
  <sheetViews>
    <sheetView topLeftCell="F5" zoomScale="80" zoomScaleNormal="80" workbookViewId="0">
      <selection activeCell="A32" sqref="A32:A38"/>
    </sheetView>
  </sheetViews>
  <sheetFormatPr defaultColWidth="9.109375" defaultRowHeight="14.4" x14ac:dyDescent="0.3"/>
  <cols>
    <col min="1" max="1" width="15.44140625" style="131" bestFit="1" customWidth="1"/>
    <col min="2" max="2" width="21.33203125" style="3" bestFit="1" customWidth="1"/>
    <col min="3" max="3" width="19.109375" style="3" bestFit="1" customWidth="1"/>
    <col min="4" max="4" width="15" style="58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82" bestFit="1" customWidth="1"/>
    <col min="13" max="13" width="10.6640625" style="3" hidden="1" customWidth="1"/>
    <col min="14" max="14" width="9.109375" style="3" hidden="1" customWidth="1"/>
    <col min="15" max="17" width="10.5546875" style="3" hidden="1" customWidth="1"/>
    <col min="18" max="18" width="9.109375" style="3" hidden="1" customWidth="1"/>
    <col min="19" max="19" width="9.109375" style="3" customWidth="1"/>
    <col min="20" max="16384" width="9.109375" style="3"/>
  </cols>
  <sheetData>
    <row r="1" spans="1:18" ht="15" thickBot="1" x14ac:dyDescent="0.35">
      <c r="A1" s="1"/>
      <c r="B1" s="1"/>
      <c r="C1" s="1"/>
      <c r="D1" s="31"/>
      <c r="E1" s="1"/>
      <c r="F1" s="1"/>
      <c r="G1" s="1"/>
      <c r="H1" s="1"/>
      <c r="I1" s="1"/>
      <c r="J1" s="1"/>
      <c r="K1" s="1"/>
      <c r="L1" s="1"/>
      <c r="M1" s="52">
        <f ca="1">TODAY()-150</f>
        <v>45814</v>
      </c>
    </row>
    <row r="2" spans="1:18" ht="15" thickBot="1" x14ac:dyDescent="0.35">
      <c r="A2" s="14"/>
      <c r="B2" s="27" t="s">
        <v>0</v>
      </c>
      <c r="C2" s="28" t="s">
        <v>1</v>
      </c>
      <c r="D2" s="108" t="s">
        <v>0</v>
      </c>
      <c r="E2" s="1"/>
      <c r="H2" s="1"/>
      <c r="L2" s="3"/>
      <c r="M2" s="52" cm="1">
        <f t="array" aca="1" ref="M2:N107" ca="1">_xll.BDH(B4, "px_last",M1,"")</f>
        <v>45814</v>
      </c>
      <c r="N2" s="3">
        <f ca="1"/>
        <v>58.752000000000002</v>
      </c>
      <c r="O2" s="52" cm="1">
        <f t="array" aca="1" ref="O2:P104" ca="1">_xll.BDH(C4, "px_last",M1,"")</f>
        <v>45814</v>
      </c>
      <c r="P2" s="3">
        <f ca="1"/>
        <v>100.096</v>
      </c>
      <c r="Q2" s="194" cm="1">
        <f t="array" aca="1" ref="Q2:R65" ca="1">_xll.BDH(D4, "px_last",M1,"")</f>
        <v>45875</v>
      </c>
      <c r="R2" s="3">
        <f ca="1"/>
        <v>100.0703125</v>
      </c>
    </row>
    <row r="3" spans="1:18" x14ac:dyDescent="0.3">
      <c r="A3" s="14" t="s">
        <v>32</v>
      </c>
      <c r="B3" s="15" t="s">
        <v>82</v>
      </c>
      <c r="C3" s="5" t="s">
        <v>84</v>
      </c>
      <c r="D3" s="14" t="s">
        <v>68</v>
      </c>
      <c r="L3" s="3"/>
      <c r="M3" s="52">
        <f ca="1"/>
        <v>45817</v>
      </c>
      <c r="N3" s="3">
        <f ca="1"/>
        <v>58.752000000000002</v>
      </c>
      <c r="O3" s="52">
        <f ca="1"/>
        <v>45817</v>
      </c>
      <c r="P3" s="3">
        <f ca="1"/>
        <v>100.477</v>
      </c>
      <c r="Q3" s="194">
        <f ca="1"/>
        <v>45876</v>
      </c>
      <c r="R3" s="3">
        <f ca="1"/>
        <v>99.9921875</v>
      </c>
    </row>
    <row r="4" spans="1:18" ht="30" customHeight="1" x14ac:dyDescent="0.3">
      <c r="A4" s="15" t="s">
        <v>33</v>
      </c>
      <c r="B4" s="17" t="s">
        <v>83</v>
      </c>
      <c r="C4" s="6" t="s">
        <v>85</v>
      </c>
      <c r="D4" s="17" t="s">
        <v>72</v>
      </c>
      <c r="L4" s="3"/>
      <c r="M4" s="52">
        <f ca="1"/>
        <v>45818</v>
      </c>
      <c r="N4" s="3">
        <f ca="1"/>
        <v>57.036999999999999</v>
      </c>
      <c r="O4" s="52">
        <f ca="1"/>
        <v>45818</v>
      </c>
      <c r="P4" s="3">
        <f ca="1"/>
        <v>100.437</v>
      </c>
      <c r="Q4" s="194">
        <f ca="1"/>
        <v>45877</v>
      </c>
      <c r="R4" s="3">
        <f ca="1"/>
        <v>99.7265625</v>
      </c>
    </row>
    <row r="5" spans="1:18" x14ac:dyDescent="0.3">
      <c r="A5" s="15" t="s">
        <v>8</v>
      </c>
      <c r="B5" s="18">
        <f>24.5*10^6</f>
        <v>24500000</v>
      </c>
      <c r="C5" s="8">
        <f>10*10^6</f>
        <v>10000000</v>
      </c>
      <c r="D5" s="18">
        <f>9.67*10^6</f>
        <v>9670000</v>
      </c>
      <c r="L5" s="3"/>
      <c r="M5" s="52">
        <f ca="1"/>
        <v>45819</v>
      </c>
      <c r="N5" s="3">
        <f ca="1"/>
        <v>57.186</v>
      </c>
      <c r="O5" s="52">
        <f ca="1"/>
        <v>45819</v>
      </c>
      <c r="P5" s="3">
        <f ca="1"/>
        <v>100.79600000000001</v>
      </c>
      <c r="Q5" s="194">
        <f ca="1"/>
        <v>45880</v>
      </c>
      <c r="R5" s="3">
        <f ca="1"/>
        <v>99.703125</v>
      </c>
    </row>
    <row r="6" spans="1:18" x14ac:dyDescent="0.3">
      <c r="A6" s="15" t="s">
        <v>10</v>
      </c>
      <c r="B6" s="19">
        <v>0.01</v>
      </c>
      <c r="C6" s="10">
        <v>5.4640000000000001E-2</v>
      </c>
      <c r="D6" s="109">
        <v>4.2500000000000003E-2</v>
      </c>
      <c r="L6" s="3"/>
      <c r="M6" s="52">
        <f ca="1"/>
        <v>45820</v>
      </c>
      <c r="N6" s="3">
        <f ca="1"/>
        <v>57.186</v>
      </c>
      <c r="O6" s="52">
        <f ca="1"/>
        <v>45820</v>
      </c>
      <c r="P6" s="3">
        <f ca="1"/>
        <v>101.16</v>
      </c>
      <c r="Q6" s="194">
        <f ca="1"/>
        <v>45881</v>
      </c>
      <c r="R6" s="3">
        <f ca="1"/>
        <v>99.671875</v>
      </c>
    </row>
    <row r="7" spans="1:18" x14ac:dyDescent="0.3">
      <c r="A7" s="15" t="s">
        <v>12</v>
      </c>
      <c r="B7" s="19">
        <v>0</v>
      </c>
      <c r="C7" s="10">
        <v>4.1000000000000002E-2</v>
      </c>
      <c r="D7" s="109">
        <v>4.1000000000000002E-2</v>
      </c>
      <c r="E7" s="1"/>
      <c r="H7" s="1"/>
      <c r="L7" s="3"/>
      <c r="M7" s="52">
        <f ca="1"/>
        <v>45821</v>
      </c>
      <c r="N7" s="3">
        <f ca="1"/>
        <v>57.186</v>
      </c>
      <c r="O7" s="52">
        <f ca="1"/>
        <v>45821</v>
      </c>
      <c r="P7" s="3">
        <f ca="1"/>
        <v>100.727</v>
      </c>
      <c r="Q7" s="194">
        <f ca="1"/>
        <v>45882</v>
      </c>
      <c r="R7" s="3">
        <f ca="1"/>
        <v>100.125</v>
      </c>
    </row>
    <row r="8" spans="1:18" x14ac:dyDescent="0.3">
      <c r="A8" s="15" t="s">
        <v>14</v>
      </c>
      <c r="B8" s="15">
        <v>4.8</v>
      </c>
      <c r="C8" s="5"/>
      <c r="D8" s="15"/>
      <c r="E8" s="1"/>
      <c r="F8" s="1"/>
      <c r="G8" s="1"/>
      <c r="H8" s="1"/>
      <c r="I8" s="1"/>
      <c r="J8" s="1"/>
      <c r="K8" s="1"/>
      <c r="L8" s="1"/>
      <c r="M8" s="52">
        <f ca="1"/>
        <v>45824</v>
      </c>
      <c r="N8" s="3">
        <f ca="1"/>
        <v>57.186</v>
      </c>
      <c r="O8" s="52">
        <f ca="1"/>
        <v>45824</v>
      </c>
      <c r="P8" s="3">
        <f ca="1"/>
        <v>100.501</v>
      </c>
      <c r="Q8" s="194">
        <f ca="1"/>
        <v>45883</v>
      </c>
      <c r="R8" s="3">
        <f ca="1"/>
        <v>99.7109375</v>
      </c>
    </row>
    <row r="9" spans="1:18" x14ac:dyDescent="0.3">
      <c r="A9" s="15"/>
      <c r="B9" s="15"/>
      <c r="C9" s="5"/>
      <c r="D9" s="15"/>
      <c r="E9" s="1"/>
      <c r="F9" s="1"/>
      <c r="G9" s="1"/>
      <c r="H9" s="1"/>
      <c r="I9" s="1"/>
      <c r="J9" s="1"/>
      <c r="K9" s="1"/>
      <c r="L9" s="1"/>
      <c r="M9" s="52">
        <f ca="1"/>
        <v>45825</v>
      </c>
      <c r="N9" s="3">
        <f ca="1"/>
        <v>57.186</v>
      </c>
      <c r="O9" s="52">
        <f ca="1"/>
        <v>45825</v>
      </c>
      <c r="P9" s="3">
        <f ca="1"/>
        <v>100.82599999999999</v>
      </c>
      <c r="Q9" s="194">
        <f ca="1"/>
        <v>45884</v>
      </c>
      <c r="R9" s="3">
        <f ca="1"/>
        <v>99.4453125</v>
      </c>
    </row>
    <row r="10" spans="1:18" ht="15" thickBot="1" x14ac:dyDescent="0.35">
      <c r="A10" s="16"/>
      <c r="B10" s="20"/>
      <c r="C10" s="13"/>
      <c r="D10" s="20"/>
      <c r="E10" s="1"/>
      <c r="F10" s="1"/>
      <c r="G10" s="1"/>
      <c r="H10" s="1"/>
      <c r="I10" s="1"/>
      <c r="J10" s="1"/>
      <c r="K10" s="1"/>
      <c r="L10" s="1"/>
      <c r="M10" s="52">
        <f ca="1"/>
        <v>45826</v>
      </c>
      <c r="N10" s="3">
        <f ca="1"/>
        <v>57.186</v>
      </c>
      <c r="O10" s="52">
        <f ca="1"/>
        <v>45826</v>
      </c>
      <c r="P10" s="3">
        <f ca="1"/>
        <v>100.81399999999999</v>
      </c>
      <c r="Q10" s="194">
        <f ca="1"/>
        <v>45887</v>
      </c>
      <c r="R10" s="3">
        <f ca="1"/>
        <v>99.3203125</v>
      </c>
    </row>
    <row r="11" spans="1:18" ht="15" thickBot="1" x14ac:dyDescent="0.35">
      <c r="A11" s="1"/>
      <c r="B11" s="1"/>
      <c r="C11" s="1"/>
      <c r="D11" s="31"/>
      <c r="E11" s="1"/>
      <c r="F11" s="1"/>
      <c r="G11" s="1"/>
      <c r="H11" s="1"/>
      <c r="I11" s="1"/>
      <c r="J11" s="1"/>
      <c r="K11" s="1"/>
      <c r="L11" s="1"/>
      <c r="M11" s="52">
        <f ca="1"/>
        <v>45827</v>
      </c>
      <c r="N11" s="3">
        <f ca="1"/>
        <v>57.186</v>
      </c>
      <c r="O11" s="52">
        <f ca="1"/>
        <v>45828</v>
      </c>
      <c r="P11" s="3">
        <f ca="1"/>
        <v>100.89</v>
      </c>
      <c r="Q11" s="194">
        <f ca="1"/>
        <v>45888</v>
      </c>
      <c r="R11" s="3">
        <f ca="1"/>
        <v>99.5390625</v>
      </c>
    </row>
    <row r="12" spans="1:18" ht="15" thickBot="1" x14ac:dyDescent="0.35">
      <c r="A12" s="39" t="s">
        <v>22</v>
      </c>
      <c r="B12" s="169" t="s">
        <v>0</v>
      </c>
      <c r="C12" s="170"/>
      <c r="D12" s="171"/>
      <c r="E12" s="172" t="s">
        <v>1</v>
      </c>
      <c r="F12" s="173"/>
      <c r="G12" s="174"/>
      <c r="H12" s="187" t="s">
        <v>0</v>
      </c>
      <c r="I12" s="185"/>
      <c r="J12" s="188"/>
      <c r="K12" s="39" t="s">
        <v>16</v>
      </c>
      <c r="M12" s="52">
        <f ca="1"/>
        <v>45828</v>
      </c>
      <c r="N12" s="3">
        <f ca="1"/>
        <v>57.186</v>
      </c>
      <c r="O12" s="52">
        <f ca="1"/>
        <v>45831</v>
      </c>
      <c r="P12" s="3">
        <f ca="1"/>
        <v>101.033</v>
      </c>
      <c r="Q12" s="194">
        <f ca="1"/>
        <v>45889</v>
      </c>
      <c r="R12" s="3">
        <f ca="1"/>
        <v>99.6640625</v>
      </c>
    </row>
    <row r="13" spans="1:18" ht="15" thickBot="1" x14ac:dyDescent="0.35">
      <c r="A13" s="16"/>
      <c r="B13" s="11" t="s">
        <v>24</v>
      </c>
      <c r="C13" s="49" t="s">
        <v>19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6"/>
      <c r="M13" s="52">
        <f ca="1"/>
        <v>45831</v>
      </c>
      <c r="N13" s="3">
        <f ca="1"/>
        <v>57.186</v>
      </c>
      <c r="O13" s="52">
        <f ca="1"/>
        <v>45832</v>
      </c>
      <c r="P13" s="3">
        <f ca="1"/>
        <v>101.688</v>
      </c>
      <c r="Q13" s="194">
        <f ca="1"/>
        <v>45890</v>
      </c>
      <c r="R13" s="3">
        <f ca="1"/>
        <v>99.3671875</v>
      </c>
    </row>
    <row r="14" spans="1:18" x14ac:dyDescent="0.3">
      <c r="A14" s="128">
        <v>45938</v>
      </c>
      <c r="B14" s="45">
        <v>54.5</v>
      </c>
      <c r="C14" s="31"/>
      <c r="D14" s="5"/>
      <c r="E14" s="45">
        <f ca="1">VLOOKUP(A14,O:P,2)</f>
        <v>104.66200000000001</v>
      </c>
      <c r="F14" s="1"/>
      <c r="G14" s="5"/>
      <c r="H14" s="45">
        <f ca="1">VLOOKUP(A14,Q:R,2)</f>
        <v>101.046875</v>
      </c>
      <c r="I14" s="1"/>
      <c r="J14" s="5"/>
      <c r="K14" s="78">
        <v>0</v>
      </c>
      <c r="M14" s="52">
        <f ca="1"/>
        <v>45832</v>
      </c>
      <c r="N14" s="3">
        <f ca="1"/>
        <v>57.186</v>
      </c>
      <c r="O14" s="52">
        <f ca="1"/>
        <v>45833</v>
      </c>
      <c r="P14" s="3">
        <f ca="1"/>
        <v>101.746</v>
      </c>
      <c r="Q14" s="194">
        <f ca="1"/>
        <v>45891</v>
      </c>
      <c r="R14" s="3">
        <f ca="1"/>
        <v>99.9609375</v>
      </c>
    </row>
    <row r="15" spans="1:18" x14ac:dyDescent="0.3">
      <c r="A15" s="128">
        <v>45939</v>
      </c>
      <c r="B15" s="45">
        <v>56.36</v>
      </c>
      <c r="C15" s="31">
        <f>-1*(B15-$B$14)*$B$8*$B$5*10^-4</f>
        <v>-21873.599999999995</v>
      </c>
      <c r="D15" s="32">
        <f>$B$6*(A15-$A$14)/360*$B$5</f>
        <v>680.55555555555554</v>
      </c>
      <c r="E15" s="45">
        <f ca="1">VLOOKUP(A15,O:P,2)</f>
        <v>104.379</v>
      </c>
      <c r="F15" s="31">
        <f ca="1">(E15-$E$14)/100*$C$5</f>
        <v>-28300.000000000127</v>
      </c>
      <c r="G15" s="32">
        <f ca="1">$C$6*(A15-$A$14)/360*$C$5-$C$7*(A15-$A$14)/360*$C$5*$E$14/100</f>
        <v>325.79388888888889</v>
      </c>
      <c r="H15" s="45">
        <f ca="1">VLOOKUP(A15,Q:R,2)</f>
        <v>100.8828125</v>
      </c>
      <c r="I15" s="31">
        <f ca="1">(H15-$H$14)/100*$D$5</f>
        <v>-15864.84375</v>
      </c>
      <c r="J15" s="32">
        <f ca="1">$D$6*(A15-$A$14)/360*$D$5-$D$7*(A15-$A$14)/360*$D$5*$H$14/100</f>
        <v>28.762374131944398</v>
      </c>
      <c r="K15" s="79">
        <f ca="1">C15+D15-F15-G15+I15+J15</f>
        <v>-9054.9197092012582</v>
      </c>
      <c r="M15" s="52">
        <f ca="1"/>
        <v>45833</v>
      </c>
      <c r="N15" s="3">
        <f ca="1"/>
        <v>57.186</v>
      </c>
      <c r="O15" s="52">
        <f ca="1"/>
        <v>45834</v>
      </c>
      <c r="P15" s="3">
        <f ca="1"/>
        <v>102.17100000000001</v>
      </c>
      <c r="Q15" s="194">
        <f ca="1"/>
        <v>45894</v>
      </c>
      <c r="R15" s="3">
        <f ca="1"/>
        <v>99.7890625</v>
      </c>
    </row>
    <row r="16" spans="1:18" x14ac:dyDescent="0.3">
      <c r="A16" s="128">
        <v>45940</v>
      </c>
      <c r="B16" s="45">
        <v>59.47</v>
      </c>
      <c r="C16" s="31">
        <f t="shared" ref="C16:C28" si="0">-1*(B16-$B$14)*$B$8*$B$5*10^-4</f>
        <v>-58447.19999999999</v>
      </c>
      <c r="D16" s="32">
        <f t="shared" ref="D16:D28" si="1">$B$6*(A16-$A$14)/360*$B$5</f>
        <v>1361.1111111111111</v>
      </c>
      <c r="E16" s="45">
        <f t="shared" ref="E16" ca="1" si="2">VLOOKUP(A16,O:P,2)</f>
        <v>104.739</v>
      </c>
      <c r="F16" s="31">
        <f t="shared" ref="F16:F28" ca="1" si="3">(E16-$E$14)/100*$C$5</f>
        <v>7699.9999999998181</v>
      </c>
      <c r="G16" s="32">
        <f t="shared" ref="G16:G28" ca="1" si="4">$C$6*(A16-$A$14)/360*$C$5-$C$7*(A16-$A$14)/360*$C$5*$E$14/100</f>
        <v>651.58777777777777</v>
      </c>
      <c r="H16" s="45">
        <f t="shared" ref="H16" ca="1" si="5">VLOOKUP(A16,Q:R,2)</f>
        <v>101.734375</v>
      </c>
      <c r="I16" s="31">
        <f t="shared" ref="I16:I28" ca="1" si="6">(H16-$H$14)/100*$D$5</f>
        <v>66481.25</v>
      </c>
      <c r="J16" s="32">
        <f t="shared" ref="J16:J28" ca="1" si="7">$D$6*(A16-$A$14)/360*$D$5-$D$7*(A16-$A$14)/360*$D$5*$H$14/100</f>
        <v>57.524748263888796</v>
      </c>
      <c r="K16" s="79">
        <f ca="1">C16+D16-F16-G16+I16+J16</f>
        <v>1101.0980815974117</v>
      </c>
      <c r="M16" s="52">
        <f ca="1"/>
        <v>45834</v>
      </c>
      <c r="N16" s="3">
        <f ca="1"/>
        <v>68.790999999999997</v>
      </c>
      <c r="O16" s="52">
        <f ca="1"/>
        <v>45835</v>
      </c>
      <c r="P16" s="3">
        <f ca="1"/>
        <v>102.10599999999999</v>
      </c>
      <c r="Q16" s="194">
        <f ca="1"/>
        <v>45895</v>
      </c>
      <c r="R16" s="3">
        <f ca="1"/>
        <v>99.8984375</v>
      </c>
    </row>
    <row r="17" spans="1:18" x14ac:dyDescent="0.3">
      <c r="A17" s="128">
        <v>45943</v>
      </c>
      <c r="B17" s="45">
        <v>59.666499999999999</v>
      </c>
      <c r="C17" s="31">
        <f t="shared" si="0"/>
        <v>-60758.039999999994</v>
      </c>
      <c r="D17" s="32">
        <f t="shared" si="1"/>
        <v>3402.7777777777778</v>
      </c>
      <c r="E17" s="45">
        <f t="shared" ref="E17" ca="1" si="8">VLOOKUP(A17,O:P,2)</f>
        <v>104.739</v>
      </c>
      <c r="F17" s="31">
        <f t="shared" ca="1" si="3"/>
        <v>7699.9999999998181</v>
      </c>
      <c r="G17" s="32">
        <f t="shared" ca="1" si="4"/>
        <v>1628.9694444444449</v>
      </c>
      <c r="H17" s="45">
        <f t="shared" ref="H17" ca="1" si="9">VLOOKUP(A17,Q:R,2)</f>
        <v>101.734375</v>
      </c>
      <c r="I17" s="31">
        <f t="shared" ca="1" si="6"/>
        <v>66481.25</v>
      </c>
      <c r="J17" s="32">
        <f t="shared" ca="1" si="7"/>
        <v>143.81187065972244</v>
      </c>
      <c r="K17" s="79">
        <f t="shared" ref="K17" ca="1" si="10">C17+D17-F17-G17+I17+J17</f>
        <v>-59.169796006747674</v>
      </c>
      <c r="M17" s="52">
        <f ca="1"/>
        <v>45835</v>
      </c>
      <c r="N17" s="3">
        <f ca="1"/>
        <v>68.721999999999994</v>
      </c>
      <c r="O17" s="52">
        <f ca="1"/>
        <v>45838</v>
      </c>
      <c r="P17" s="3">
        <f ca="1"/>
        <v>102.623</v>
      </c>
      <c r="Q17" s="194">
        <f ca="1"/>
        <v>45896</v>
      </c>
      <c r="R17" s="3">
        <f ca="1"/>
        <v>100.1171875</v>
      </c>
    </row>
    <row r="18" spans="1:18" x14ac:dyDescent="0.3">
      <c r="A18" s="128">
        <v>45944</v>
      </c>
      <c r="B18" s="45">
        <v>58.685699999999997</v>
      </c>
      <c r="C18" s="31">
        <f t="shared" si="0"/>
        <v>-49223.831999999958</v>
      </c>
      <c r="D18" s="32">
        <f t="shared" si="1"/>
        <v>4083.333333333333</v>
      </c>
      <c r="E18" s="45">
        <f t="shared" ref="E18" ca="1" si="11">VLOOKUP(A18,O:P,2)</f>
        <v>105.012</v>
      </c>
      <c r="F18" s="31">
        <f t="shared" ca="1" si="3"/>
        <v>34999.999999999432</v>
      </c>
      <c r="G18" s="32">
        <f t="shared" ca="1" si="4"/>
        <v>1954.7633333333342</v>
      </c>
      <c r="H18" s="45">
        <f t="shared" ref="H18" ca="1" si="12">VLOOKUP(A18,Q:R,2)</f>
        <v>101.7421875</v>
      </c>
      <c r="I18" s="31">
        <f t="shared" ca="1" si="6"/>
        <v>67236.71875</v>
      </c>
      <c r="J18" s="32">
        <f t="shared" ca="1" si="7"/>
        <v>172.5742447916673</v>
      </c>
      <c r="K18" s="79">
        <f t="shared" ref="K18" ca="1" si="13">C18+D18-F18-G18+I18+J18</f>
        <v>-14685.969005207724</v>
      </c>
      <c r="M18" s="52">
        <f ca="1"/>
        <v>45838</v>
      </c>
      <c r="N18" s="3">
        <f ca="1"/>
        <v>68.069999999999993</v>
      </c>
      <c r="O18" s="52">
        <f ca="1"/>
        <v>45839</v>
      </c>
      <c r="P18" s="3">
        <f ca="1"/>
        <v>102.741</v>
      </c>
      <c r="Q18" s="194">
        <f ca="1"/>
        <v>45897</v>
      </c>
      <c r="R18" s="3">
        <f ca="1"/>
        <v>100.359375</v>
      </c>
    </row>
    <row r="19" spans="1:18" x14ac:dyDescent="0.3">
      <c r="A19" s="128">
        <v>45945</v>
      </c>
      <c r="B19" s="45">
        <v>56.786799999999999</v>
      </c>
      <c r="C19" s="31">
        <f t="shared" si="0"/>
        <v>-26892.767999999996</v>
      </c>
      <c r="D19" s="32">
        <f t="shared" si="1"/>
        <v>4763.8888888888896</v>
      </c>
      <c r="E19" s="45">
        <f t="shared" ref="E19" ca="1" si="14">VLOOKUP(A19,O:P,2)</f>
        <v>105.131</v>
      </c>
      <c r="F19" s="31">
        <f t="shared" ca="1" si="3"/>
        <v>46899.999999999411</v>
      </c>
      <c r="G19" s="32">
        <f t="shared" ca="1" si="4"/>
        <v>2280.5572222222199</v>
      </c>
      <c r="H19" s="45">
        <f t="shared" ref="H19" ca="1" si="15">VLOOKUP(A19,Q:R,2)</f>
        <v>101.7734375</v>
      </c>
      <c r="I19" s="31">
        <f t="shared" ca="1" si="6"/>
        <v>70258.59375</v>
      </c>
      <c r="J19" s="32">
        <f t="shared" ca="1" si="7"/>
        <v>201.33661892361124</v>
      </c>
      <c r="K19" s="79">
        <f t="shared" ref="K19" ca="1" si="16">C19+D19-F19-G19+I19+J19</f>
        <v>-849.50596440913796</v>
      </c>
      <c r="M19" s="52">
        <f ca="1"/>
        <v>45839</v>
      </c>
      <c r="N19" s="3">
        <f ca="1"/>
        <v>68.171999999999997</v>
      </c>
      <c r="O19" s="52">
        <f ca="1"/>
        <v>45840</v>
      </c>
      <c r="P19" s="3">
        <f ca="1"/>
        <v>102.589</v>
      </c>
      <c r="Q19" s="194">
        <f ca="1"/>
        <v>45898</v>
      </c>
      <c r="R19" s="3">
        <f ca="1"/>
        <v>100.15625</v>
      </c>
    </row>
    <row r="20" spans="1:18" x14ac:dyDescent="0.3">
      <c r="A20" s="128">
        <v>45946</v>
      </c>
      <c r="B20" s="45">
        <v>58.135399999999997</v>
      </c>
      <c r="C20" s="31">
        <f t="shared" si="0"/>
        <v>-42752.303999999967</v>
      </c>
      <c r="D20" s="32">
        <f t="shared" si="1"/>
        <v>5444.4444444444443</v>
      </c>
      <c r="E20" s="45">
        <f t="shared" ref="E20:E21" ca="1" si="17">VLOOKUP(A20,O:P,2)</f>
        <v>105.45099999999999</v>
      </c>
      <c r="F20" s="31">
        <f t="shared" ca="1" si="3"/>
        <v>78899.999999998734</v>
      </c>
      <c r="G20" s="32">
        <f t="shared" ca="1" si="4"/>
        <v>2606.3511111111111</v>
      </c>
      <c r="H20" s="45">
        <f t="shared" ref="H20:H21" ca="1" si="18">VLOOKUP(A20,Q:R,2)</f>
        <v>102.2109375</v>
      </c>
      <c r="I20" s="31">
        <f t="shared" ca="1" si="6"/>
        <v>112564.84375</v>
      </c>
      <c r="J20" s="32">
        <f t="shared" ca="1" si="7"/>
        <v>230.09899305555518</v>
      </c>
      <c r="K20" s="79">
        <f t="shared" ref="K20:K21" ca="1" si="19">C20+D20-F20-G20+I20+J20</f>
        <v>-6019.2679236098156</v>
      </c>
      <c r="M20" s="52">
        <f ca="1"/>
        <v>45840</v>
      </c>
      <c r="N20" s="3">
        <f ca="1"/>
        <v>67.387</v>
      </c>
      <c r="O20" s="52">
        <f ca="1"/>
        <v>45841</v>
      </c>
      <c r="P20" s="3">
        <f ca="1"/>
        <v>102.17100000000001</v>
      </c>
      <c r="Q20" s="194">
        <f ca="1"/>
        <v>45901</v>
      </c>
      <c r="R20" s="3">
        <f ca="1"/>
        <v>100.15625</v>
      </c>
    </row>
    <row r="21" spans="1:18" x14ac:dyDescent="0.3">
      <c r="A21" s="128">
        <v>45947</v>
      </c>
      <c r="B21" s="45">
        <v>58.182200000000002</v>
      </c>
      <c r="C21" s="31">
        <f t="shared" si="0"/>
        <v>-43302.67200000002</v>
      </c>
      <c r="D21" s="32">
        <f t="shared" si="1"/>
        <v>6125</v>
      </c>
      <c r="E21" s="45">
        <f t="shared" ca="1" si="17"/>
        <v>105.18600000000001</v>
      </c>
      <c r="F21" s="31">
        <f t="shared" ca="1" si="3"/>
        <v>52400.000000000095</v>
      </c>
      <c r="G21" s="32">
        <f t="shared" ca="1" si="4"/>
        <v>2932.1450000000004</v>
      </c>
      <c r="H21" s="45">
        <f t="shared" ca="1" si="18"/>
        <v>101.9296875</v>
      </c>
      <c r="I21" s="31">
        <f t="shared" ca="1" si="6"/>
        <v>85367.968749999985</v>
      </c>
      <c r="J21" s="32">
        <f t="shared" ca="1" si="7"/>
        <v>258.86136718749913</v>
      </c>
      <c r="K21" s="79">
        <f t="shared" ca="1" si="19"/>
        <v>-6882.9868828126273</v>
      </c>
      <c r="M21" s="52">
        <f ca="1"/>
        <v>45841</v>
      </c>
      <c r="N21" s="3">
        <f ca="1"/>
        <v>67.069999999999993</v>
      </c>
      <c r="O21" s="52">
        <f ca="1"/>
        <v>45845</v>
      </c>
      <c r="P21" s="3">
        <f ca="1"/>
        <v>101.631</v>
      </c>
      <c r="Q21" s="194">
        <f ca="1"/>
        <v>45902</v>
      </c>
      <c r="R21" s="3">
        <f ca="1"/>
        <v>99.8984375</v>
      </c>
    </row>
    <row r="22" spans="1:18" x14ac:dyDescent="0.3">
      <c r="A22" s="128">
        <v>45950</v>
      </c>
      <c r="B22" s="45">
        <v>58.052599999999998</v>
      </c>
      <c r="C22" s="31">
        <f t="shared" si="0"/>
        <v>-41778.575999999986</v>
      </c>
      <c r="D22" s="32">
        <f t="shared" si="1"/>
        <v>8166.6666666666661</v>
      </c>
      <c r="E22" s="45">
        <f ca="1">VLOOKUP(A20,O:P,2)</f>
        <v>105.45099999999999</v>
      </c>
      <c r="F22" s="31">
        <f t="shared" ca="1" si="3"/>
        <v>78899.999999998734</v>
      </c>
      <c r="G22" s="32">
        <f t="shared" ca="1" si="4"/>
        <v>3909.5266666666685</v>
      </c>
      <c r="H22" s="45">
        <f ca="1">VLOOKUP(A20,Q:R,2)</f>
        <v>102.2109375</v>
      </c>
      <c r="I22" s="31">
        <f t="shared" ca="1" si="6"/>
        <v>112564.84375</v>
      </c>
      <c r="J22" s="32">
        <f t="shared" ca="1" si="7"/>
        <v>345.14848958333459</v>
      </c>
      <c r="K22" s="79">
        <f ca="1">C22+D22-F22-G22+I22+J22</f>
        <v>-3511.4437604154009</v>
      </c>
      <c r="M22" s="52">
        <f ca="1"/>
        <v>45842</v>
      </c>
      <c r="N22" s="3">
        <f ca="1"/>
        <v>66.430999999999997</v>
      </c>
      <c r="O22" s="52">
        <f ca="1"/>
        <v>45846</v>
      </c>
      <c r="P22" s="3">
        <f ca="1"/>
        <v>101.41500000000001</v>
      </c>
      <c r="Q22" s="194">
        <f ca="1"/>
        <v>45903</v>
      </c>
      <c r="R22" s="3">
        <f ca="1"/>
        <v>100.2578125</v>
      </c>
    </row>
    <row r="23" spans="1:18" ht="14.4" customHeight="1" x14ac:dyDescent="0.3">
      <c r="A23" s="128">
        <v>45951</v>
      </c>
      <c r="B23" s="45">
        <v>56.726599999999998</v>
      </c>
      <c r="C23" s="31">
        <f t="shared" si="0"/>
        <v>-26184.81599999997</v>
      </c>
      <c r="D23" s="32">
        <f t="shared" si="1"/>
        <v>8847.2222222222226</v>
      </c>
      <c r="E23" s="45">
        <f ca="1">VLOOKUP(A21,O:P,2)</f>
        <v>105.18600000000001</v>
      </c>
      <c r="F23" s="31">
        <f t="shared" ca="1" si="3"/>
        <v>52400.000000000095</v>
      </c>
      <c r="G23" s="32">
        <f t="shared" ca="1" si="4"/>
        <v>4235.320555555556</v>
      </c>
      <c r="H23" s="45">
        <f ca="1">VLOOKUP(A21,Q:R,2)</f>
        <v>101.9296875</v>
      </c>
      <c r="I23" s="31">
        <f t="shared" ca="1" si="6"/>
        <v>85367.968749999985</v>
      </c>
      <c r="J23" s="32">
        <f t="shared" ca="1" si="7"/>
        <v>373.91086371527672</v>
      </c>
      <c r="K23" s="79">
        <f ca="1">C23+D23-F23-G23+I23+J23</f>
        <v>11768.965280381855</v>
      </c>
      <c r="M23" s="52">
        <f ca="1"/>
        <v>45845</v>
      </c>
      <c r="N23" s="3">
        <f ca="1"/>
        <v>65.94</v>
      </c>
      <c r="O23" s="52">
        <f ca="1"/>
        <v>45847</v>
      </c>
      <c r="P23" s="3">
        <f ca="1"/>
        <v>101.871</v>
      </c>
      <c r="Q23" s="194">
        <f ca="1"/>
        <v>45904</v>
      </c>
      <c r="R23" s="3">
        <f ca="1"/>
        <v>100.7109375</v>
      </c>
    </row>
    <row r="24" spans="1:18" ht="14.4" customHeight="1" x14ac:dyDescent="0.3">
      <c r="A24" s="128">
        <v>45952</v>
      </c>
      <c r="B24" s="45">
        <v>57.585099999999997</v>
      </c>
      <c r="C24" s="31">
        <f t="shared" si="0"/>
        <v>-36280.775999999969</v>
      </c>
      <c r="D24" s="32">
        <f t="shared" si="1"/>
        <v>9527.7777777777792</v>
      </c>
      <c r="E24" s="45">
        <f ca="1">VLOOKUP(A21,O:P,2)</f>
        <v>105.18600000000001</v>
      </c>
      <c r="F24" s="31">
        <f t="shared" ca="1" si="3"/>
        <v>52400.000000000095</v>
      </c>
      <c r="G24" s="32">
        <f t="shared" ca="1" si="4"/>
        <v>4561.1144444444399</v>
      </c>
      <c r="H24" s="45">
        <f ca="1">VLOOKUP(A21,Q:R,2)</f>
        <v>101.9296875</v>
      </c>
      <c r="I24" s="31">
        <f t="shared" ca="1" si="6"/>
        <v>85367.968749999985</v>
      </c>
      <c r="J24" s="32">
        <f t="shared" ca="1" si="7"/>
        <v>402.67323784722248</v>
      </c>
      <c r="K24" s="79">
        <f ca="1">C24+D24-F24-G24+I24+J24</f>
        <v>2056.5293211804819</v>
      </c>
      <c r="M24" s="52">
        <f ca="1"/>
        <v>45846</v>
      </c>
      <c r="N24" s="3">
        <f ca="1"/>
        <v>66.525000000000006</v>
      </c>
      <c r="O24" s="52">
        <f ca="1"/>
        <v>45848</v>
      </c>
      <c r="P24" s="3">
        <f ca="1"/>
        <v>101.907</v>
      </c>
      <c r="Q24" s="194">
        <f ca="1"/>
        <v>45905</v>
      </c>
      <c r="R24" s="3">
        <f ca="1"/>
        <v>101.40625</v>
      </c>
    </row>
    <row r="25" spans="1:18" ht="14.4" customHeight="1" x14ac:dyDescent="0.3">
      <c r="A25" s="128">
        <v>45953</v>
      </c>
      <c r="B25" s="45">
        <v>57.040999999999997</v>
      </c>
      <c r="C25" s="31">
        <f t="shared" si="0"/>
        <v>-29882.15999999996</v>
      </c>
      <c r="D25" s="32">
        <f t="shared" si="1"/>
        <v>10208.333333333332</v>
      </c>
      <c r="E25" s="45">
        <f ca="1">VLOOKUP(A22,O:P,2)</f>
        <v>105.49299999999999</v>
      </c>
      <c r="F25" s="31">
        <f t="shared" ca="1" si="3"/>
        <v>83099.99999999888</v>
      </c>
      <c r="G25" s="32">
        <f t="shared" ca="1" si="4"/>
        <v>4886.9083333333292</v>
      </c>
      <c r="H25" s="45">
        <f ca="1">VLOOKUP(A22,Q:R,2)</f>
        <v>102.1640625</v>
      </c>
      <c r="I25" s="31">
        <f t="shared" ca="1" si="6"/>
        <v>108032.03125</v>
      </c>
      <c r="J25" s="32">
        <f t="shared" ca="1" si="7"/>
        <v>431.43561197916642</v>
      </c>
      <c r="K25" s="79">
        <f ca="1">C25+D25-F25-G25+I25+J25</f>
        <v>802.73186198033</v>
      </c>
      <c r="M25" s="52">
        <f ca="1"/>
        <v>45847</v>
      </c>
      <c r="N25" s="3">
        <f ca="1"/>
        <v>66.244</v>
      </c>
      <c r="O25" s="52">
        <f ca="1"/>
        <v>45849</v>
      </c>
      <c r="P25" s="3">
        <f ca="1"/>
        <v>101.364</v>
      </c>
      <c r="Q25" s="194">
        <f ca="1"/>
        <v>45908</v>
      </c>
      <c r="R25" s="3">
        <f ca="1"/>
        <v>101.6953125</v>
      </c>
    </row>
    <row r="26" spans="1:18" ht="14.4" customHeight="1" x14ac:dyDescent="0.3">
      <c r="A26" s="128">
        <v>45954</v>
      </c>
      <c r="B26" s="45">
        <v>56.257199999999997</v>
      </c>
      <c r="C26" s="31">
        <f t="shared" si="0"/>
        <v>-20664.67199999997</v>
      </c>
      <c r="D26" s="32">
        <f t="shared" si="1"/>
        <v>10888.888888888889</v>
      </c>
      <c r="E26" s="45">
        <f ca="1">VLOOKUP(A23,O:P,2)</f>
        <v>105.583</v>
      </c>
      <c r="F26" s="31">
        <f t="shared" ca="1" si="3"/>
        <v>92099.999999999229</v>
      </c>
      <c r="G26" s="32">
        <f t="shared" ca="1" si="4"/>
        <v>5212.7022222222222</v>
      </c>
      <c r="H26" s="45">
        <f ca="1">VLOOKUP(A23,Q:R,2)</f>
        <v>102.3046875</v>
      </c>
      <c r="I26" s="31">
        <f t="shared" ca="1" si="6"/>
        <v>121630.46875000001</v>
      </c>
      <c r="J26" s="32">
        <f t="shared" ca="1" si="7"/>
        <v>460.19798611111037</v>
      </c>
      <c r="K26" s="79">
        <f ca="1">C26+D26-F26-G26+I26+J26</f>
        <v>15002.181402778595</v>
      </c>
      <c r="M26" s="52">
        <f ca="1"/>
        <v>45848</v>
      </c>
      <c r="N26" s="3">
        <f ca="1"/>
        <v>66.423000000000002</v>
      </c>
      <c r="O26" s="52">
        <f ca="1"/>
        <v>45852</v>
      </c>
      <c r="P26" s="3">
        <f ca="1"/>
        <v>101.203</v>
      </c>
      <c r="Q26" s="194">
        <f ca="1"/>
        <v>45909</v>
      </c>
      <c r="R26" s="3">
        <f ca="1"/>
        <v>101.3046875</v>
      </c>
    </row>
    <row r="27" spans="1:18" ht="14.4" customHeight="1" x14ac:dyDescent="0.3">
      <c r="A27" s="36">
        <v>45957</v>
      </c>
      <c r="B27" s="45">
        <v>55.428100000000001</v>
      </c>
      <c r="C27" s="31">
        <f t="shared" si="0"/>
        <v>-10914.456000000007</v>
      </c>
      <c r="D27" s="32">
        <f t="shared" si="1"/>
        <v>12930.555555555557</v>
      </c>
      <c r="E27" s="45">
        <f t="shared" ref="E27:E28" ca="1" si="20">VLOOKUP(A24,O:P,2)</f>
        <v>105.595</v>
      </c>
      <c r="F27" s="31">
        <f t="shared" ca="1" si="3"/>
        <v>93299.999999999272</v>
      </c>
      <c r="G27" s="32">
        <f t="shared" ca="1" si="4"/>
        <v>6190.0838888888866</v>
      </c>
      <c r="H27" s="45">
        <f t="shared" ref="H27:H28" ca="1" si="21">VLOOKUP(A24,Q:R,2)</f>
        <v>102.40625</v>
      </c>
      <c r="I27" s="31">
        <f t="shared" ca="1" si="6"/>
        <v>131451.5625</v>
      </c>
      <c r="J27" s="32">
        <f t="shared" ca="1" si="7"/>
        <v>546.48510850694947</v>
      </c>
      <c r="K27" s="79">
        <f t="shared" ref="K27:K28" ca="1" si="22">C27+D27-F27-G27+I27+J27</f>
        <v>34524.063275174354</v>
      </c>
      <c r="M27" s="52">
        <f ca="1"/>
        <v>45849</v>
      </c>
      <c r="N27" s="3">
        <f ca="1"/>
        <v>67.114000000000004</v>
      </c>
      <c r="O27" s="52">
        <f ca="1"/>
        <v>45853</v>
      </c>
      <c r="P27" s="3">
        <f ca="1"/>
        <v>100.934</v>
      </c>
      <c r="Q27" s="194">
        <f ca="1"/>
        <v>45910</v>
      </c>
      <c r="R27" s="3">
        <f ca="1"/>
        <v>101.640625</v>
      </c>
    </row>
    <row r="28" spans="1:18" ht="14.4" customHeight="1" x14ac:dyDescent="0.3">
      <c r="A28" s="36">
        <v>45958</v>
      </c>
      <c r="B28" s="45">
        <v>55.255099999999999</v>
      </c>
      <c r="C28" s="31">
        <f t="shared" si="0"/>
        <v>-8879.975999999986</v>
      </c>
      <c r="D28" s="32">
        <f t="shared" si="1"/>
        <v>13611.111111111111</v>
      </c>
      <c r="E28" s="45">
        <f t="shared" ca="1" si="20"/>
        <v>105.399</v>
      </c>
      <c r="F28" s="31">
        <f t="shared" ca="1" si="3"/>
        <v>73699.999999999476</v>
      </c>
      <c r="G28" s="32">
        <f t="shared" ca="1" si="4"/>
        <v>6515.8777777777796</v>
      </c>
      <c r="H28" s="45">
        <f t="shared" ca="1" si="21"/>
        <v>101.9921875</v>
      </c>
      <c r="I28" s="31">
        <f t="shared" ca="1" si="6"/>
        <v>91411.71875</v>
      </c>
      <c r="J28" s="32">
        <f t="shared" ca="1" si="7"/>
        <v>575.24748263888978</v>
      </c>
      <c r="K28" s="79">
        <f t="shared" ca="1" si="22"/>
        <v>16502.223565972756</v>
      </c>
      <c r="M28" s="52">
        <f ca="1"/>
        <v>45852</v>
      </c>
      <c r="N28" s="3">
        <f ca="1"/>
        <v>67.042000000000002</v>
      </c>
      <c r="O28" s="52">
        <f ca="1"/>
        <v>45854</v>
      </c>
      <c r="P28" s="3">
        <f ca="1"/>
        <v>101.27</v>
      </c>
      <c r="Q28" s="194">
        <f ca="1"/>
        <v>45911</v>
      </c>
      <c r="R28" s="3">
        <f ca="1"/>
        <v>101.84375</v>
      </c>
    </row>
    <row r="29" spans="1:18" ht="14.4" customHeight="1" x14ac:dyDescent="0.3">
      <c r="A29" s="36">
        <v>45959</v>
      </c>
      <c r="B29" s="45">
        <v>55.555700000000002</v>
      </c>
      <c r="C29" s="31">
        <f t="shared" ref="C29" si="23">-1*(B29-$B$14)*$B$8*$B$5*10^-4</f>
        <v>-12415.032000000019</v>
      </c>
      <c r="D29" s="32">
        <f t="shared" ref="D29" si="24">$B$6*(A29-$A$14)/360*$B$5</f>
        <v>14291.666666666666</v>
      </c>
      <c r="E29" s="45">
        <f t="shared" ref="E29" ca="1" si="25">VLOOKUP(A26,O:P,2)</f>
        <v>105.575</v>
      </c>
      <c r="F29" s="31">
        <f t="shared" ref="F29" ca="1" si="26">(E29-$E$14)/100*$C$5</f>
        <v>91299.999999999665</v>
      </c>
      <c r="G29" s="32">
        <f t="shared" ref="G29" ca="1" si="27">$C$6*(A29-$A$14)/360*$C$5-$C$7*(A29-$A$14)/360*$C$5*$E$14/100</f>
        <v>6841.6716666666653</v>
      </c>
      <c r="H29" s="45">
        <f t="shared" ref="H29" ca="1" si="28">VLOOKUP(A26,Q:R,2)</f>
        <v>101.984375</v>
      </c>
      <c r="I29" s="31">
        <f t="shared" ref="I29" ca="1" si="29">(H29-$H$14)/100*$D$5</f>
        <v>90656.25</v>
      </c>
      <c r="J29" s="32">
        <f t="shared" ref="J29" ca="1" si="30">$D$6*(A29-$A$14)/360*$D$5-$D$7*(A29-$A$14)/360*$D$5*$H$14/100</f>
        <v>604.00985677083736</v>
      </c>
      <c r="K29" s="79">
        <f t="shared" ref="K29" ca="1" si="31">C29+D29-F29-G29+I29+J29</f>
        <v>-5004.7771432288391</v>
      </c>
      <c r="M29" s="52">
        <f ca="1"/>
        <v>45853</v>
      </c>
      <c r="N29" s="3">
        <f ca="1"/>
        <v>67.724999999999994</v>
      </c>
      <c r="O29" s="52">
        <f ca="1"/>
        <v>45855</v>
      </c>
      <c r="P29" s="3">
        <f ca="1"/>
        <v>101.5</v>
      </c>
      <c r="Q29" s="194">
        <f ca="1"/>
        <v>45912</v>
      </c>
      <c r="R29" s="3">
        <f ca="1"/>
        <v>101.4765625</v>
      </c>
    </row>
    <row r="30" spans="1:18" ht="14.4" customHeight="1" x14ac:dyDescent="0.3">
      <c r="A30" s="36">
        <v>45960</v>
      </c>
      <c r="B30" s="45">
        <v>56.074100000000001</v>
      </c>
      <c r="C30" s="31">
        <f t="shared" ref="C30" si="32">-1*(B30-$B$14)*$B$8*$B$5*10^-4</f>
        <v>-18511.416000000016</v>
      </c>
      <c r="D30" s="32">
        <f t="shared" ref="D30" si="33">$B$6*(A30-$A$14)/360*$B$5</f>
        <v>14972.222222222223</v>
      </c>
      <c r="E30" s="45">
        <f t="shared" ref="E30" ca="1" si="34">VLOOKUP(A27,O:P,2)</f>
        <v>105.79900000000001</v>
      </c>
      <c r="F30" s="31">
        <f t="shared" ref="F30" ca="1" si="35">(E30-$E$14)/100*$C$5</f>
        <v>113700.00000000006</v>
      </c>
      <c r="G30" s="32">
        <f t="shared" ref="G30" ca="1" si="36">$C$6*(A30-$A$14)/360*$C$5-$C$7*(A30-$A$14)/360*$C$5*$E$14/100</f>
        <v>7167.4655555555546</v>
      </c>
      <c r="H30" s="45">
        <f t="shared" ref="H30" ca="1" si="37">VLOOKUP(A27,Q:R,2)</f>
        <v>102.15625</v>
      </c>
      <c r="I30" s="31">
        <f t="shared" ref="I30" ca="1" si="38">(H30-$H$14)/100*$D$5</f>
        <v>107276.5625</v>
      </c>
      <c r="J30" s="32">
        <f t="shared" ref="J30" ca="1" si="39">$D$6*(A30-$A$14)/360*$D$5-$D$7*(A30-$A$14)/360*$D$5*$H$14/100</f>
        <v>632.7722309027813</v>
      </c>
      <c r="K30" s="79">
        <f t="shared" ref="K30" ca="1" si="40">C30+D30-F30-G30+I30+J30</f>
        <v>-16497.324602430621</v>
      </c>
      <c r="M30" s="52">
        <f ca="1"/>
        <v>45854</v>
      </c>
      <c r="N30" s="3">
        <f ca="1"/>
        <v>67.887</v>
      </c>
      <c r="O30" s="52">
        <f ca="1"/>
        <v>45856</v>
      </c>
      <c r="P30" s="3">
        <f ca="1"/>
        <v>101.68</v>
      </c>
      <c r="Q30" s="194">
        <f ca="1"/>
        <v>45915</v>
      </c>
      <c r="R30" s="3">
        <f ca="1"/>
        <v>101.703125</v>
      </c>
    </row>
    <row r="31" spans="1:18" ht="14.4" customHeight="1" x14ac:dyDescent="0.3">
      <c r="A31" s="36">
        <v>45961</v>
      </c>
      <c r="B31" s="45"/>
      <c r="C31" s="31"/>
      <c r="D31" s="32"/>
      <c r="E31" s="45"/>
      <c r="F31" s="31"/>
      <c r="G31" s="32"/>
      <c r="H31" s="45"/>
      <c r="I31" s="31"/>
      <c r="J31" s="32"/>
      <c r="K31" s="79"/>
      <c r="M31" s="52">
        <f ca="1"/>
        <v>45855</v>
      </c>
      <c r="N31" s="3">
        <f ca="1"/>
        <v>67.484999999999999</v>
      </c>
      <c r="O31" s="52">
        <f ca="1"/>
        <v>45859</v>
      </c>
      <c r="P31" s="3">
        <f ca="1"/>
        <v>101.997</v>
      </c>
      <c r="Q31" s="194">
        <f ca="1"/>
        <v>45916</v>
      </c>
      <c r="R31" s="3">
        <f ca="1"/>
        <v>101.7890625</v>
      </c>
    </row>
    <row r="32" spans="1:18" ht="14.4" customHeight="1" x14ac:dyDescent="0.3">
      <c r="A32" s="36">
        <v>45964</v>
      </c>
      <c r="B32" s="45"/>
      <c r="C32" s="31"/>
      <c r="D32" s="32"/>
      <c r="E32" s="45"/>
      <c r="F32" s="1"/>
      <c r="G32" s="32"/>
      <c r="H32" s="45"/>
      <c r="I32" s="1"/>
      <c r="J32" s="32"/>
      <c r="K32" s="79"/>
      <c r="M32" s="52">
        <f ca="1"/>
        <v>45856</v>
      </c>
      <c r="N32" s="3">
        <f ca="1"/>
        <v>66.545000000000002</v>
      </c>
      <c r="O32" s="52">
        <f ca="1"/>
        <v>45860</v>
      </c>
      <c r="P32" s="3">
        <f ca="1"/>
        <v>102.188</v>
      </c>
      <c r="Q32" s="194">
        <f ca="1"/>
        <v>45917</v>
      </c>
      <c r="R32" s="3">
        <f ca="1"/>
        <v>101.296875</v>
      </c>
    </row>
    <row r="33" spans="1:18" ht="14.4" customHeight="1" x14ac:dyDescent="0.3">
      <c r="A33" s="36">
        <v>45965</v>
      </c>
      <c r="B33" s="45"/>
      <c r="C33" s="31"/>
      <c r="D33" s="32"/>
      <c r="E33" s="45"/>
      <c r="F33" s="1"/>
      <c r="G33" s="32"/>
      <c r="H33" s="45"/>
      <c r="I33" s="1"/>
      <c r="J33" s="32"/>
      <c r="K33" s="79"/>
      <c r="M33" s="52">
        <f ca="1"/>
        <v>45859</v>
      </c>
      <c r="N33" s="3">
        <f ca="1"/>
        <v>66.367000000000004</v>
      </c>
      <c r="O33" s="52">
        <f ca="1"/>
        <v>45861</v>
      </c>
      <c r="P33" s="3">
        <f ca="1"/>
        <v>101.98399999999999</v>
      </c>
      <c r="Q33" s="194">
        <f ca="1"/>
        <v>45918</v>
      </c>
      <c r="R33" s="3">
        <f ca="1"/>
        <v>101.15625</v>
      </c>
    </row>
    <row r="34" spans="1:18" ht="14.4" customHeight="1" x14ac:dyDescent="0.3">
      <c r="A34" s="36">
        <v>45966</v>
      </c>
      <c r="B34" s="45"/>
      <c r="C34" s="31"/>
      <c r="D34" s="32"/>
      <c r="E34" s="45"/>
      <c r="F34" s="1"/>
      <c r="G34" s="32"/>
      <c r="H34" s="45"/>
      <c r="I34" s="1"/>
      <c r="J34" s="32"/>
      <c r="K34" s="79"/>
      <c r="M34" s="52">
        <f ca="1"/>
        <v>45860</v>
      </c>
      <c r="N34" s="3">
        <f ca="1"/>
        <v>66.105000000000004</v>
      </c>
      <c r="O34" s="52">
        <f ca="1"/>
        <v>45862</v>
      </c>
      <c r="P34" s="3">
        <f ca="1"/>
        <v>102.03</v>
      </c>
      <c r="Q34" s="194">
        <f ca="1"/>
        <v>45919</v>
      </c>
      <c r="R34" s="3">
        <f ca="1"/>
        <v>100.9765625</v>
      </c>
    </row>
    <row r="35" spans="1:18" ht="14.4" customHeight="1" x14ac:dyDescent="0.3">
      <c r="A35" s="36">
        <v>45967</v>
      </c>
      <c r="B35" s="45"/>
      <c r="C35" s="31"/>
      <c r="D35" s="32"/>
      <c r="E35" s="45"/>
      <c r="F35" s="1"/>
      <c r="G35" s="32"/>
      <c r="H35" s="45"/>
      <c r="I35" s="1"/>
      <c r="J35" s="32"/>
      <c r="K35" s="79"/>
      <c r="M35" s="52">
        <f ca="1"/>
        <v>45861</v>
      </c>
      <c r="N35" s="3">
        <f ca="1"/>
        <v>65.403000000000006</v>
      </c>
      <c r="O35" s="52">
        <f ca="1"/>
        <v>45863</v>
      </c>
      <c r="P35" s="3">
        <f ca="1"/>
        <v>102.10899999999999</v>
      </c>
      <c r="Q35" s="194">
        <f ca="1"/>
        <v>45922</v>
      </c>
      <c r="R35" s="3">
        <f ca="1"/>
        <v>100.8203125</v>
      </c>
    </row>
    <row r="36" spans="1:18" ht="14.4" customHeight="1" x14ac:dyDescent="0.3">
      <c r="A36" s="36">
        <v>45968</v>
      </c>
      <c r="B36" s="45"/>
      <c r="C36" s="31"/>
      <c r="D36" s="32"/>
      <c r="E36" s="45"/>
      <c r="F36" s="1"/>
      <c r="G36" s="32"/>
      <c r="H36" s="45"/>
      <c r="I36" s="1"/>
      <c r="J36" s="32"/>
      <c r="K36" s="79"/>
      <c r="M36" s="52">
        <f ca="1"/>
        <v>45862</v>
      </c>
      <c r="N36" s="3">
        <f ca="1"/>
        <v>65.320999999999998</v>
      </c>
      <c r="O36" s="52">
        <f ca="1"/>
        <v>45866</v>
      </c>
      <c r="P36" s="3">
        <f ca="1"/>
        <v>101.959</v>
      </c>
      <c r="Q36" s="194">
        <f ca="1"/>
        <v>45923</v>
      </c>
      <c r="R36" s="3">
        <f ca="1"/>
        <v>101.1484375</v>
      </c>
    </row>
    <row r="37" spans="1:18" x14ac:dyDescent="0.3">
      <c r="A37" s="36">
        <v>45969</v>
      </c>
      <c r="B37" s="45"/>
      <c r="C37" s="31"/>
      <c r="D37" s="32"/>
      <c r="E37" s="45"/>
      <c r="F37" s="1"/>
      <c r="G37" s="32"/>
      <c r="H37" s="45"/>
      <c r="I37" s="1"/>
      <c r="J37" s="32"/>
      <c r="K37" s="79"/>
      <c r="M37" s="52">
        <f ca="1"/>
        <v>45863</v>
      </c>
      <c r="N37" s="3">
        <f ca="1"/>
        <v>64.915999999999997</v>
      </c>
      <c r="O37" s="52">
        <f ca="1"/>
        <v>45867</v>
      </c>
      <c r="P37" s="3">
        <f ca="1"/>
        <v>102.581</v>
      </c>
      <c r="Q37" s="194">
        <f ca="1"/>
        <v>45924</v>
      </c>
      <c r="R37" s="3">
        <f ca="1"/>
        <v>100.8203125</v>
      </c>
    </row>
    <row r="38" spans="1:18" x14ac:dyDescent="0.3">
      <c r="A38" s="36">
        <v>45970</v>
      </c>
      <c r="B38" s="45"/>
      <c r="C38" s="31"/>
      <c r="D38" s="32"/>
      <c r="E38" s="45"/>
      <c r="F38" s="1"/>
      <c r="G38" s="32"/>
      <c r="H38" s="45"/>
      <c r="I38" s="1"/>
      <c r="J38" s="32"/>
      <c r="K38" s="79"/>
      <c r="M38" s="52">
        <f ca="1"/>
        <v>45866</v>
      </c>
      <c r="N38" s="3">
        <f ca="1"/>
        <v>64.944999999999993</v>
      </c>
      <c r="O38" s="52">
        <f ca="1"/>
        <v>45868</v>
      </c>
      <c r="P38" s="3">
        <f ca="1"/>
        <v>102.148</v>
      </c>
      <c r="Q38" s="194">
        <f ca="1"/>
        <v>45925</v>
      </c>
      <c r="R38" s="3">
        <f ca="1"/>
        <v>100.6328125</v>
      </c>
    </row>
    <row r="39" spans="1:18" x14ac:dyDescent="0.3">
      <c r="A39" s="128"/>
      <c r="B39" s="45"/>
      <c r="C39" s="31"/>
      <c r="D39" s="32"/>
      <c r="E39" s="45"/>
      <c r="F39" s="1"/>
      <c r="G39" s="32"/>
      <c r="H39" s="45"/>
      <c r="I39" s="1"/>
      <c r="J39" s="32"/>
      <c r="K39" s="79"/>
      <c r="M39" s="52">
        <f ca="1"/>
        <v>45867</v>
      </c>
      <c r="N39" s="3">
        <f ca="1"/>
        <v>64.834000000000003</v>
      </c>
      <c r="O39" s="52">
        <f ca="1"/>
        <v>45869</v>
      </c>
      <c r="P39" s="3">
        <f ca="1"/>
        <v>102.137</v>
      </c>
      <c r="Q39" s="194">
        <f ca="1"/>
        <v>45926</v>
      </c>
      <c r="R39" s="3">
        <f ca="1"/>
        <v>100.5859375</v>
      </c>
    </row>
    <row r="40" spans="1:18" x14ac:dyDescent="0.3">
      <c r="B40" s="45"/>
      <c r="C40" s="31"/>
      <c r="D40" s="32"/>
      <c r="E40" s="45"/>
      <c r="F40" s="1"/>
      <c r="G40" s="32"/>
      <c r="H40" s="45"/>
      <c r="I40" s="1"/>
      <c r="J40" s="32"/>
      <c r="K40" s="79"/>
      <c r="M40" s="52">
        <f ca="1"/>
        <v>45868</v>
      </c>
      <c r="N40" s="3">
        <f ca="1"/>
        <v>65.064999999999998</v>
      </c>
      <c r="O40" s="52">
        <f ca="1"/>
        <v>45870</v>
      </c>
      <c r="P40" s="3">
        <f ca="1"/>
        <v>102.979</v>
      </c>
      <c r="Q40" s="194">
        <f ca="1"/>
        <v>45929</v>
      </c>
      <c r="R40" s="3">
        <f ca="1"/>
        <v>100.8828125</v>
      </c>
    </row>
    <row r="41" spans="1:18" x14ac:dyDescent="0.3">
      <c r="B41" s="45"/>
      <c r="C41" s="31"/>
      <c r="D41" s="32"/>
      <c r="E41" s="45"/>
      <c r="F41" s="1"/>
      <c r="G41" s="32"/>
      <c r="H41" s="45"/>
      <c r="I41" s="1"/>
      <c r="J41" s="32"/>
      <c r="K41" s="79"/>
      <c r="M41" s="52">
        <f ca="1"/>
        <v>45869</v>
      </c>
      <c r="N41" s="3">
        <f ca="1"/>
        <v>65.272000000000006</v>
      </c>
      <c r="O41" s="52">
        <f ca="1"/>
        <v>45873</v>
      </c>
      <c r="P41" s="3">
        <f ca="1"/>
        <v>103.155</v>
      </c>
      <c r="Q41" s="194">
        <f ca="1"/>
        <v>45930</v>
      </c>
      <c r="R41" s="3">
        <f ca="1"/>
        <v>100.7890625</v>
      </c>
    </row>
    <row r="42" spans="1:18" x14ac:dyDescent="0.3">
      <c r="B42" s="45"/>
      <c r="C42" s="31"/>
      <c r="D42" s="32"/>
      <c r="E42" s="45"/>
      <c r="F42" s="1"/>
      <c r="G42" s="32"/>
      <c r="H42" s="45"/>
      <c r="I42" s="1"/>
      <c r="J42" s="32"/>
      <c r="K42" s="79"/>
      <c r="M42" s="52">
        <f ca="1"/>
        <v>45870</v>
      </c>
      <c r="N42" s="3">
        <f ca="1"/>
        <v>66.826999999999998</v>
      </c>
      <c r="O42" s="52">
        <f ca="1"/>
        <v>45874</v>
      </c>
      <c r="P42" s="3">
        <f ca="1"/>
        <v>103.024</v>
      </c>
      <c r="Q42" s="194">
        <f ca="1"/>
        <v>45931</v>
      </c>
      <c r="R42" s="3">
        <f ca="1"/>
        <v>101.2109375</v>
      </c>
    </row>
    <row r="43" spans="1:18" x14ac:dyDescent="0.3">
      <c r="B43" s="45"/>
      <c r="C43" s="31"/>
      <c r="D43" s="32"/>
      <c r="E43" s="45"/>
      <c r="F43" s="1"/>
      <c r="G43" s="32"/>
      <c r="H43" s="45"/>
      <c r="I43" s="1"/>
      <c r="J43" s="32"/>
      <c r="K43" s="79"/>
      <c r="M43" s="52">
        <f ca="1"/>
        <v>45873</v>
      </c>
      <c r="N43" s="3">
        <f ca="1"/>
        <v>66.061000000000007</v>
      </c>
      <c r="O43" s="52">
        <f ca="1"/>
        <v>45875</v>
      </c>
      <c r="P43" s="3">
        <f ca="1"/>
        <v>102.974</v>
      </c>
      <c r="Q43" s="194">
        <f ca="1"/>
        <v>45932</v>
      </c>
      <c r="R43" s="3">
        <f ca="1"/>
        <v>101.3359375</v>
      </c>
    </row>
    <row r="44" spans="1:18" x14ac:dyDescent="0.3">
      <c r="B44" s="45"/>
      <c r="C44" s="31"/>
      <c r="D44" s="5"/>
      <c r="E44" s="45"/>
      <c r="F44" s="1"/>
      <c r="G44" s="5"/>
      <c r="H44" s="45"/>
      <c r="I44" s="1"/>
      <c r="J44" s="5"/>
      <c r="K44" s="78"/>
      <c r="M44" s="52">
        <f ca="1"/>
        <v>45874</v>
      </c>
      <c r="N44" s="3">
        <f ca="1"/>
        <v>65.790999999999997</v>
      </c>
      <c r="O44" s="52">
        <f ca="1"/>
        <v>45876</v>
      </c>
      <c r="P44" s="3">
        <f ca="1"/>
        <v>102.893</v>
      </c>
      <c r="Q44" s="194">
        <f ca="1"/>
        <v>45933</v>
      </c>
      <c r="R44" s="3">
        <f ca="1"/>
        <v>101.0390625</v>
      </c>
    </row>
    <row r="45" spans="1:18" x14ac:dyDescent="0.3">
      <c r="B45" s="45"/>
      <c r="C45" s="31"/>
      <c r="D45" s="5"/>
      <c r="E45" s="45"/>
      <c r="F45" s="1"/>
      <c r="G45" s="5"/>
      <c r="H45" s="45"/>
      <c r="I45" s="1"/>
      <c r="J45" s="5"/>
      <c r="K45" s="78"/>
      <c r="M45" s="52">
        <f ca="1"/>
        <v>45875</v>
      </c>
      <c r="N45" s="3">
        <f ca="1"/>
        <v>65.372</v>
      </c>
      <c r="O45" s="52">
        <f ca="1"/>
        <v>45877</v>
      </c>
      <c r="P45" s="3">
        <f ca="1"/>
        <v>102.575</v>
      </c>
      <c r="Q45" s="194">
        <f ca="1"/>
        <v>45936</v>
      </c>
      <c r="R45" s="3">
        <f ca="1"/>
        <v>100.765625</v>
      </c>
    </row>
    <row r="46" spans="1:18" x14ac:dyDescent="0.3">
      <c r="B46" s="45"/>
      <c r="C46" s="31"/>
      <c r="D46" s="5"/>
      <c r="E46" s="45"/>
      <c r="F46" s="1"/>
      <c r="G46" s="5"/>
      <c r="H46" s="45"/>
      <c r="I46" s="1"/>
      <c r="J46" s="5"/>
      <c r="K46" s="78"/>
      <c r="M46" s="52">
        <f ca="1"/>
        <v>45876</v>
      </c>
      <c r="N46" s="3">
        <f ca="1"/>
        <v>65.460999999999999</v>
      </c>
      <c r="O46" s="52">
        <f ca="1"/>
        <v>45880</v>
      </c>
      <c r="P46" s="3">
        <f ca="1"/>
        <v>102.467</v>
      </c>
      <c r="Q46" s="194">
        <f ca="1"/>
        <v>45937</v>
      </c>
      <c r="R46" s="3">
        <f ca="1"/>
        <v>101.0078125</v>
      </c>
    </row>
    <row r="47" spans="1:18" x14ac:dyDescent="0.3">
      <c r="B47" s="45"/>
      <c r="C47" s="31"/>
      <c r="D47" s="5"/>
      <c r="E47" s="45"/>
      <c r="F47" s="1"/>
      <c r="G47" s="5"/>
      <c r="H47" s="45"/>
      <c r="I47" s="1"/>
      <c r="J47" s="5"/>
      <c r="K47" s="78"/>
      <c r="M47" s="52">
        <f ca="1"/>
        <v>45877</v>
      </c>
      <c r="N47" s="3">
        <f ca="1"/>
        <v>65.619</v>
      </c>
      <c r="O47" s="52">
        <f ca="1"/>
        <v>45881</v>
      </c>
      <c r="P47" s="3">
        <f ca="1"/>
        <v>102.56699999999999</v>
      </c>
      <c r="Q47" s="194">
        <f ca="1"/>
        <v>45938</v>
      </c>
      <c r="R47" s="3">
        <f ca="1"/>
        <v>101.046875</v>
      </c>
    </row>
    <row r="48" spans="1:18" x14ac:dyDescent="0.3">
      <c r="B48" s="57"/>
      <c r="C48" s="58"/>
      <c r="D48" s="34"/>
      <c r="E48" s="57"/>
      <c r="G48" s="34"/>
      <c r="H48" s="57"/>
      <c r="J48" s="34"/>
      <c r="K48" s="80"/>
      <c r="M48" s="52">
        <f ca="1"/>
        <v>45880</v>
      </c>
      <c r="N48" s="3">
        <f ca="1"/>
        <v>65.174999999999997</v>
      </c>
      <c r="O48" s="52">
        <f ca="1"/>
        <v>45882</v>
      </c>
      <c r="P48" s="3">
        <f ca="1"/>
        <v>103.23699999999999</v>
      </c>
      <c r="Q48" s="194">
        <f ca="1"/>
        <v>45939</v>
      </c>
      <c r="R48" s="3">
        <f ca="1"/>
        <v>100.8828125</v>
      </c>
    </row>
    <row r="49" spans="2:18" ht="15" thickBot="1" x14ac:dyDescent="0.35">
      <c r="B49" s="35"/>
      <c r="C49" s="67"/>
      <c r="D49" s="13"/>
      <c r="E49" s="114"/>
      <c r="F49" s="12"/>
      <c r="G49" s="13"/>
      <c r="H49" s="114"/>
      <c r="I49" s="12"/>
      <c r="J49" s="13"/>
      <c r="K49" s="81"/>
      <c r="M49" s="52">
        <f ca="1"/>
        <v>45881</v>
      </c>
      <c r="N49" s="3">
        <f ca="1"/>
        <v>64.944000000000003</v>
      </c>
      <c r="O49" s="52">
        <f ca="1"/>
        <v>45883</v>
      </c>
      <c r="P49" s="3">
        <f ca="1"/>
        <v>102.833</v>
      </c>
      <c r="Q49" s="194">
        <f ca="1"/>
        <v>45940</v>
      </c>
      <c r="R49" s="3">
        <f ca="1"/>
        <v>101.734375</v>
      </c>
    </row>
    <row r="50" spans="2:18" x14ac:dyDescent="0.3">
      <c r="E50" s="59"/>
      <c r="H50" s="59"/>
      <c r="M50" s="52">
        <f ca="1"/>
        <v>45882</v>
      </c>
      <c r="N50" s="3">
        <f ca="1"/>
        <v>63.802</v>
      </c>
      <c r="O50" s="52">
        <f ca="1"/>
        <v>45884</v>
      </c>
      <c r="P50" s="3">
        <f ca="1"/>
        <v>102.70399999999999</v>
      </c>
      <c r="Q50" s="194">
        <f ca="1"/>
        <v>45943</v>
      </c>
      <c r="R50" s="3">
        <f ca="1"/>
        <v>101.734375</v>
      </c>
    </row>
    <row r="51" spans="2:18" x14ac:dyDescent="0.3">
      <c r="E51" s="59"/>
      <c r="H51" s="59"/>
      <c r="M51" s="52">
        <f ca="1"/>
        <v>45883</v>
      </c>
      <c r="N51" s="3">
        <f ca="1"/>
        <v>64.509</v>
      </c>
      <c r="O51" s="52">
        <f ca="1"/>
        <v>45887</v>
      </c>
      <c r="P51" s="3">
        <f ca="1"/>
        <v>102.584</v>
      </c>
      <c r="Q51" s="194">
        <f ca="1"/>
        <v>45944</v>
      </c>
      <c r="R51" s="3">
        <f ca="1"/>
        <v>101.7421875</v>
      </c>
    </row>
    <row r="52" spans="2:18" x14ac:dyDescent="0.3">
      <c r="H52" s="59"/>
      <c r="M52" s="52">
        <f ca="1"/>
        <v>45884</v>
      </c>
      <c r="N52" s="3">
        <f ca="1"/>
        <v>64.003</v>
      </c>
      <c r="O52" s="52">
        <f ca="1"/>
        <v>45888</v>
      </c>
      <c r="P52" s="3">
        <f ca="1"/>
        <v>102.634</v>
      </c>
      <c r="Q52" s="194">
        <f ca="1"/>
        <v>45945</v>
      </c>
      <c r="R52" s="3">
        <f ca="1"/>
        <v>101.7734375</v>
      </c>
    </row>
    <row r="53" spans="2:18" x14ac:dyDescent="0.3">
      <c r="H53" s="59"/>
      <c r="M53" s="52">
        <f ca="1"/>
        <v>45887</v>
      </c>
      <c r="N53" s="3">
        <f ca="1"/>
        <v>64.117999999999995</v>
      </c>
      <c r="O53" s="52">
        <f ca="1"/>
        <v>45889</v>
      </c>
      <c r="P53" s="3">
        <f ca="1"/>
        <v>102.47799999999999</v>
      </c>
      <c r="Q53" s="194">
        <f ca="1"/>
        <v>45946</v>
      </c>
      <c r="R53" s="3">
        <f ca="1"/>
        <v>102.2109375</v>
      </c>
    </row>
    <row r="54" spans="2:18" x14ac:dyDescent="0.3">
      <c r="H54" s="59"/>
      <c r="M54" s="52">
        <f ca="1"/>
        <v>45888</v>
      </c>
      <c r="N54" s="3">
        <f ca="1"/>
        <v>63.433999999999997</v>
      </c>
      <c r="O54" s="52">
        <f ca="1"/>
        <v>45890</v>
      </c>
      <c r="P54" s="3">
        <f ca="1"/>
        <v>102.20099999999999</v>
      </c>
      <c r="Q54" s="194">
        <f ca="1"/>
        <v>45947</v>
      </c>
      <c r="R54" s="3">
        <f ca="1"/>
        <v>101.9296875</v>
      </c>
    </row>
    <row r="55" spans="2:18" x14ac:dyDescent="0.3">
      <c r="H55" s="59"/>
      <c r="M55" s="52">
        <f ca="1"/>
        <v>45889</v>
      </c>
      <c r="N55" s="3">
        <f ca="1"/>
        <v>63.737000000000002</v>
      </c>
      <c r="O55" s="52">
        <f ca="1"/>
        <v>45891</v>
      </c>
      <c r="P55" s="3">
        <f ca="1"/>
        <v>102.886</v>
      </c>
      <c r="Q55" s="194">
        <f ca="1"/>
        <v>45950</v>
      </c>
      <c r="R55" s="3">
        <f ca="1"/>
        <v>102.1640625</v>
      </c>
    </row>
    <row r="56" spans="2:18" x14ac:dyDescent="0.3">
      <c r="H56" s="59"/>
      <c r="M56" s="52">
        <f ca="1"/>
        <v>45890</v>
      </c>
      <c r="N56" s="3">
        <f ca="1"/>
        <v>63.795000000000002</v>
      </c>
      <c r="O56" s="52">
        <f ca="1"/>
        <v>45894</v>
      </c>
      <c r="P56" s="3">
        <f ca="1"/>
        <v>102.70099999999999</v>
      </c>
      <c r="Q56" s="194">
        <f ca="1"/>
        <v>45951</v>
      </c>
      <c r="R56" s="3">
        <f ca="1"/>
        <v>102.3046875</v>
      </c>
    </row>
    <row r="57" spans="2:18" x14ac:dyDescent="0.3">
      <c r="M57" s="52">
        <f ca="1"/>
        <v>45891</v>
      </c>
      <c r="N57" s="3">
        <f ca="1"/>
        <v>63.033000000000001</v>
      </c>
      <c r="O57" s="52">
        <f ca="1"/>
        <v>45895</v>
      </c>
      <c r="P57" s="3">
        <f ca="1"/>
        <v>102.666</v>
      </c>
      <c r="Q57" s="194">
        <f ca="1"/>
        <v>45952</v>
      </c>
      <c r="R57" s="3">
        <f ca="1"/>
        <v>102.40625</v>
      </c>
    </row>
    <row r="58" spans="2:18" x14ac:dyDescent="0.3">
      <c r="M58" s="52">
        <f ca="1"/>
        <v>45894</v>
      </c>
      <c r="N58" s="3">
        <f ca="1"/>
        <v>63.055</v>
      </c>
      <c r="O58" s="52">
        <f ca="1"/>
        <v>45896</v>
      </c>
      <c r="P58" s="3">
        <f ca="1"/>
        <v>102.883</v>
      </c>
      <c r="Q58" s="194">
        <f ca="1"/>
        <v>45953</v>
      </c>
      <c r="R58" s="3">
        <f ca="1"/>
        <v>101.9921875</v>
      </c>
    </row>
    <row r="59" spans="2:18" x14ac:dyDescent="0.3">
      <c r="M59" s="52">
        <f ca="1"/>
        <v>45895</v>
      </c>
      <c r="N59" s="3">
        <f ca="1"/>
        <v>62.975000000000001</v>
      </c>
      <c r="O59" s="52">
        <f ca="1"/>
        <v>45897</v>
      </c>
      <c r="P59" s="3">
        <f ca="1"/>
        <v>103.069</v>
      </c>
      <c r="Q59" s="194">
        <f ca="1"/>
        <v>45954</v>
      </c>
      <c r="R59" s="3">
        <f ca="1"/>
        <v>101.984375</v>
      </c>
    </row>
    <row r="60" spans="2:18" x14ac:dyDescent="0.3">
      <c r="M60" s="52">
        <f ca="1"/>
        <v>45896</v>
      </c>
      <c r="N60" s="3">
        <f ca="1"/>
        <v>62.814999999999998</v>
      </c>
      <c r="O60" s="52">
        <f ca="1"/>
        <v>45898</v>
      </c>
      <c r="P60" s="3">
        <f ca="1"/>
        <v>102.70099999999999</v>
      </c>
      <c r="Q60" s="194">
        <f ca="1"/>
        <v>45957</v>
      </c>
      <c r="R60" s="3">
        <f ca="1"/>
        <v>102.15625</v>
      </c>
    </row>
    <row r="61" spans="2:18" x14ac:dyDescent="0.3">
      <c r="M61" s="52">
        <f ca="1"/>
        <v>45897</v>
      </c>
      <c r="N61" s="3">
        <f ca="1"/>
        <v>63.460999999999999</v>
      </c>
      <c r="O61" s="52">
        <f ca="1"/>
        <v>45902</v>
      </c>
      <c r="P61" s="3">
        <f ca="1"/>
        <v>102.49299999999999</v>
      </c>
      <c r="Q61" s="194">
        <f ca="1"/>
        <v>45958</v>
      </c>
      <c r="R61" s="3">
        <f ca="1"/>
        <v>102.1953125</v>
      </c>
    </row>
    <row r="62" spans="2:18" x14ac:dyDescent="0.3">
      <c r="M62" s="52">
        <f ca="1"/>
        <v>45898</v>
      </c>
      <c r="N62" s="3">
        <f ca="1"/>
        <v>64.126999999999995</v>
      </c>
      <c r="O62" s="52">
        <f ca="1"/>
        <v>45903</v>
      </c>
      <c r="P62" s="3">
        <f ca="1"/>
        <v>102.964</v>
      </c>
      <c r="Q62" s="194">
        <f ca="1"/>
        <v>45959</v>
      </c>
      <c r="R62" s="3">
        <f ca="1"/>
        <v>101.375</v>
      </c>
    </row>
    <row r="63" spans="2:18" x14ac:dyDescent="0.3">
      <c r="M63" s="52">
        <f ca="1"/>
        <v>45901</v>
      </c>
      <c r="N63" s="3">
        <f ca="1"/>
        <v>64.126000000000005</v>
      </c>
      <c r="O63" s="52">
        <f ca="1"/>
        <v>45904</v>
      </c>
      <c r="P63" s="3">
        <f ca="1"/>
        <v>103.59099999999999</v>
      </c>
      <c r="Q63" s="194">
        <f ca="1"/>
        <v>45960</v>
      </c>
      <c r="R63" s="3">
        <f ca="1"/>
        <v>101.203125</v>
      </c>
    </row>
    <row r="64" spans="2:18" x14ac:dyDescent="0.3">
      <c r="M64" s="52">
        <f ca="1"/>
        <v>45902</v>
      </c>
      <c r="N64" s="3">
        <f ca="1"/>
        <v>65.56</v>
      </c>
      <c r="O64" s="52">
        <f ca="1"/>
        <v>45905</v>
      </c>
      <c r="P64" s="3">
        <f ca="1"/>
        <v>104.31399999999999</v>
      </c>
      <c r="Q64" s="194">
        <f ca="1"/>
        <v>45961</v>
      </c>
      <c r="R64" s="3">
        <f ca="1"/>
        <v>101.3671875</v>
      </c>
    </row>
    <row r="65" spans="13:18" x14ac:dyDescent="0.3">
      <c r="M65" s="52">
        <f ca="1"/>
        <v>45903</v>
      </c>
      <c r="N65" s="3">
        <f ca="1"/>
        <v>64.844999999999999</v>
      </c>
      <c r="O65" s="52">
        <f ca="1"/>
        <v>45908</v>
      </c>
      <c r="P65" s="3">
        <f ca="1"/>
        <v>104.47499999999999</v>
      </c>
      <c r="Q65" s="194">
        <f ca="1"/>
        <v>45964</v>
      </c>
      <c r="R65" s="3">
        <f ca="1"/>
        <v>101.1171875</v>
      </c>
    </row>
    <row r="66" spans="13:18" x14ac:dyDescent="0.3">
      <c r="M66" s="52">
        <f ca="1"/>
        <v>45904</v>
      </c>
      <c r="N66" s="3">
        <f ca="1"/>
        <v>64.320999999999998</v>
      </c>
      <c r="O66" s="52">
        <f ca="1"/>
        <v>45909</v>
      </c>
      <c r="P66" s="3">
        <f ca="1"/>
        <v>104.056</v>
      </c>
    </row>
    <row r="67" spans="13:18" x14ac:dyDescent="0.3">
      <c r="M67" s="52">
        <f ca="1"/>
        <v>45905</v>
      </c>
      <c r="N67" s="3">
        <f ca="1"/>
        <v>63.731999999999999</v>
      </c>
      <c r="O67" s="52">
        <f ca="1"/>
        <v>45910</v>
      </c>
      <c r="P67" s="3">
        <f ca="1"/>
        <v>104.554</v>
      </c>
    </row>
    <row r="68" spans="13:18" x14ac:dyDescent="0.3">
      <c r="M68" s="52">
        <f ca="1"/>
        <v>45908</v>
      </c>
      <c r="N68" s="3">
        <f ca="1"/>
        <v>63.633000000000003</v>
      </c>
      <c r="O68" s="52">
        <f ca="1"/>
        <v>45911</v>
      </c>
      <c r="P68" s="3">
        <f ca="1"/>
        <v>104.824</v>
      </c>
    </row>
    <row r="69" spans="13:18" x14ac:dyDescent="0.3">
      <c r="M69" s="52">
        <f ca="1"/>
        <v>45909</v>
      </c>
      <c r="N69" s="3">
        <f ca="1"/>
        <v>63.423000000000002</v>
      </c>
      <c r="O69" s="52">
        <f ca="1"/>
        <v>45912</v>
      </c>
      <c r="P69" s="3">
        <f ca="1"/>
        <v>104.553</v>
      </c>
    </row>
    <row r="70" spans="13:18" x14ac:dyDescent="0.3">
      <c r="M70" s="52">
        <f ca="1"/>
        <v>45910</v>
      </c>
      <c r="N70" s="3">
        <f ca="1"/>
        <v>63.201999999999998</v>
      </c>
      <c r="O70" s="52">
        <f ca="1"/>
        <v>45915</v>
      </c>
      <c r="P70" s="3">
        <f ca="1"/>
        <v>104.831</v>
      </c>
    </row>
    <row r="71" spans="13:18" x14ac:dyDescent="0.3">
      <c r="M71" s="52">
        <f ca="1"/>
        <v>45911</v>
      </c>
      <c r="N71" s="3">
        <f ca="1"/>
        <v>62.77</v>
      </c>
      <c r="O71" s="52">
        <f ca="1"/>
        <v>45916</v>
      </c>
      <c r="P71" s="3">
        <f ca="1"/>
        <v>104.877</v>
      </c>
    </row>
    <row r="72" spans="13:18" x14ac:dyDescent="0.3">
      <c r="M72" s="52">
        <f ca="1"/>
        <v>45912</v>
      </c>
      <c r="N72" s="3">
        <f ca="1"/>
        <v>62.994</v>
      </c>
      <c r="O72" s="52">
        <f ca="1"/>
        <v>45917</v>
      </c>
      <c r="P72" s="3">
        <f ca="1"/>
        <v>104.45699999999999</v>
      </c>
    </row>
    <row r="73" spans="13:18" x14ac:dyDescent="0.3">
      <c r="M73" s="52">
        <f ca="1"/>
        <v>45915</v>
      </c>
      <c r="N73" s="3">
        <f ca="1"/>
        <v>63.128999999999998</v>
      </c>
      <c r="O73" s="52">
        <f ca="1"/>
        <v>45918</v>
      </c>
      <c r="P73" s="3">
        <f ca="1"/>
        <v>104.489</v>
      </c>
    </row>
    <row r="74" spans="13:18" x14ac:dyDescent="0.3">
      <c r="M74" s="52">
        <f ca="1"/>
        <v>45916</v>
      </c>
      <c r="N74" s="3">
        <f ca="1"/>
        <v>63.17</v>
      </c>
      <c r="O74" s="52">
        <f ca="1"/>
        <v>45919</v>
      </c>
      <c r="P74" s="3">
        <f ca="1"/>
        <v>104.494</v>
      </c>
    </row>
    <row r="75" spans="13:18" x14ac:dyDescent="0.3">
      <c r="M75" s="52">
        <f ca="1"/>
        <v>45917</v>
      </c>
      <c r="N75" s="3">
        <f ca="1"/>
        <v>63.49</v>
      </c>
      <c r="O75" s="52">
        <f ca="1"/>
        <v>45922</v>
      </c>
      <c r="P75" s="3">
        <f ca="1"/>
        <v>104.434</v>
      </c>
    </row>
    <row r="76" spans="13:18" x14ac:dyDescent="0.3">
      <c r="M76" s="52">
        <f ca="1"/>
        <v>45918</v>
      </c>
      <c r="N76" s="3">
        <f ca="1"/>
        <v>63.084000000000003</v>
      </c>
      <c r="O76" s="52">
        <f ca="1"/>
        <v>45923</v>
      </c>
      <c r="P76" s="3">
        <f ca="1"/>
        <v>104.78100000000001</v>
      </c>
    </row>
    <row r="77" spans="13:18" x14ac:dyDescent="0.3">
      <c r="M77" s="52">
        <f ca="1"/>
        <v>45919</v>
      </c>
      <c r="N77" s="3">
        <f ca="1"/>
        <v>63.002000000000002</v>
      </c>
      <c r="O77" s="52">
        <f ca="1"/>
        <v>45924</v>
      </c>
      <c r="P77" s="3">
        <f ca="1"/>
        <v>104.285</v>
      </c>
    </row>
    <row r="78" spans="13:18" x14ac:dyDescent="0.3">
      <c r="M78" s="52">
        <f ca="1"/>
        <v>45922</v>
      </c>
      <c r="N78" s="3">
        <f ca="1"/>
        <v>67.573999999999998</v>
      </c>
      <c r="O78" s="52">
        <f ca="1"/>
        <v>45925</v>
      </c>
      <c r="P78" s="3">
        <f ca="1"/>
        <v>104.11499999999999</v>
      </c>
    </row>
    <row r="79" spans="13:18" x14ac:dyDescent="0.3">
      <c r="M79" s="52">
        <f ca="1"/>
        <v>45923</v>
      </c>
      <c r="N79" s="3">
        <f ca="1"/>
        <v>67.238</v>
      </c>
      <c r="O79" s="52">
        <f ca="1"/>
        <v>45926</v>
      </c>
      <c r="P79" s="3">
        <f ca="1"/>
        <v>104.175</v>
      </c>
    </row>
    <row r="80" spans="13:18" x14ac:dyDescent="0.3">
      <c r="M80" s="52">
        <f ca="1"/>
        <v>45924</v>
      </c>
      <c r="N80" s="3">
        <f ca="1"/>
        <v>68.316999999999993</v>
      </c>
      <c r="O80" s="52">
        <f ca="1"/>
        <v>45929</v>
      </c>
      <c r="P80" s="3">
        <f ca="1"/>
        <v>104.57</v>
      </c>
    </row>
    <row r="81" spans="13:32" x14ac:dyDescent="0.3">
      <c r="M81" s="52">
        <f ca="1"/>
        <v>45925</v>
      </c>
      <c r="N81" s="3">
        <f ca="1"/>
        <v>69.316999999999993</v>
      </c>
      <c r="O81" s="52">
        <f ca="1"/>
        <v>45930</v>
      </c>
      <c r="P81" s="3">
        <f ca="1"/>
        <v>104.336</v>
      </c>
    </row>
    <row r="82" spans="13:32" x14ac:dyDescent="0.3">
      <c r="M82" s="52">
        <f ca="1"/>
        <v>45926</v>
      </c>
      <c r="N82" s="3">
        <f ca="1"/>
        <v>68.647999999999996</v>
      </c>
      <c r="O82" s="52">
        <f ca="1"/>
        <v>45931</v>
      </c>
      <c r="P82" s="3">
        <f ca="1"/>
        <v>104.896</v>
      </c>
    </row>
    <row r="83" spans="13:32" x14ac:dyDescent="0.3">
      <c r="M83" s="52">
        <f ca="1"/>
        <v>45929</v>
      </c>
      <c r="N83" s="3">
        <f ca="1"/>
        <v>68.183999999999997</v>
      </c>
      <c r="O83" s="52">
        <f ca="1"/>
        <v>45932</v>
      </c>
      <c r="P83" s="3">
        <f ca="1"/>
        <v>105.07299999999999</v>
      </c>
    </row>
    <row r="84" spans="13:32" x14ac:dyDescent="0.3">
      <c r="M84" s="52">
        <f ca="1"/>
        <v>45930</v>
      </c>
      <c r="N84" s="3">
        <f ca="1"/>
        <v>68.17</v>
      </c>
      <c r="O84" s="52">
        <f ca="1"/>
        <v>45933</v>
      </c>
      <c r="P84" s="3">
        <f ca="1"/>
        <v>104.839</v>
      </c>
    </row>
    <row r="85" spans="13:32" x14ac:dyDescent="0.3">
      <c r="M85" s="52">
        <f ca="1"/>
        <v>45931</v>
      </c>
      <c r="N85" s="3">
        <f ca="1"/>
        <v>69.165000000000006</v>
      </c>
      <c r="O85" s="52">
        <f ca="1"/>
        <v>45936</v>
      </c>
      <c r="P85" s="3">
        <f ca="1"/>
        <v>104.559</v>
      </c>
    </row>
    <row r="86" spans="13:32" x14ac:dyDescent="0.3">
      <c r="M86" s="52">
        <f ca="1"/>
        <v>45932</v>
      </c>
      <c r="N86" s="3">
        <f ca="1"/>
        <v>68.813999999999993</v>
      </c>
      <c r="O86" s="52">
        <f ca="1"/>
        <v>45937</v>
      </c>
      <c r="P86" s="3">
        <f ca="1"/>
        <v>104.711</v>
      </c>
    </row>
    <row r="87" spans="13:32" x14ac:dyDescent="0.3">
      <c r="M87" s="52">
        <f ca="1"/>
        <v>45933</v>
      </c>
      <c r="N87" s="3">
        <f ca="1"/>
        <v>69.846000000000004</v>
      </c>
      <c r="O87" s="52">
        <f ca="1"/>
        <v>45938</v>
      </c>
      <c r="P87" s="3">
        <f ca="1"/>
        <v>104.66200000000001</v>
      </c>
    </row>
    <row r="88" spans="13:32" x14ac:dyDescent="0.3">
      <c r="M88" s="52">
        <f ca="1"/>
        <v>45936</v>
      </c>
      <c r="N88" s="3">
        <f ca="1"/>
        <v>69.724999999999994</v>
      </c>
      <c r="O88" s="52">
        <f ca="1"/>
        <v>45939</v>
      </c>
      <c r="P88" s="3">
        <f ca="1"/>
        <v>104.379</v>
      </c>
    </row>
    <row r="89" spans="13:32" x14ac:dyDescent="0.3">
      <c r="M89" s="52">
        <f ca="1"/>
        <v>45937</v>
      </c>
      <c r="N89" s="3">
        <f ca="1"/>
        <v>69.47</v>
      </c>
      <c r="O89" s="52">
        <f ca="1"/>
        <v>45940</v>
      </c>
      <c r="P89" s="3">
        <f ca="1"/>
        <v>104.739</v>
      </c>
    </row>
    <row r="90" spans="13:32" x14ac:dyDescent="0.3">
      <c r="M90" s="52">
        <f ca="1"/>
        <v>45938</v>
      </c>
      <c r="N90" s="3">
        <f ca="1"/>
        <v>69.233999999999995</v>
      </c>
      <c r="O90" s="52">
        <f ca="1"/>
        <v>45944</v>
      </c>
      <c r="P90" s="3">
        <f ca="1"/>
        <v>105.012</v>
      </c>
    </row>
    <row r="91" spans="13:32" x14ac:dyDescent="0.3">
      <c r="M91" s="52">
        <f ca="1"/>
        <v>45939</v>
      </c>
      <c r="N91" s="3">
        <f ca="1"/>
        <v>70.13</v>
      </c>
      <c r="O91" s="52">
        <f ca="1"/>
        <v>45945</v>
      </c>
      <c r="P91" s="3">
        <f ca="1"/>
        <v>105.131</v>
      </c>
    </row>
    <row r="92" spans="13:32" x14ac:dyDescent="0.3">
      <c r="M92" s="52">
        <f ca="1"/>
        <v>45940</v>
      </c>
      <c r="N92" s="3">
        <f ca="1"/>
        <v>71.622</v>
      </c>
      <c r="O92" s="52">
        <f ca="1"/>
        <v>45946</v>
      </c>
      <c r="P92" s="3">
        <f ca="1"/>
        <v>105.45099999999999</v>
      </c>
    </row>
    <row r="93" spans="13:32" x14ac:dyDescent="0.3">
      <c r="M93" s="52">
        <f ca="1"/>
        <v>45943</v>
      </c>
      <c r="N93" s="3">
        <f ca="1"/>
        <v>72.066000000000003</v>
      </c>
      <c r="O93" s="52">
        <f ca="1"/>
        <v>45947</v>
      </c>
      <c r="P93" s="3">
        <f ca="1"/>
        <v>105.18600000000001</v>
      </c>
    </row>
    <row r="94" spans="13:32" x14ac:dyDescent="0.3">
      <c r="M94" s="52">
        <f ca="1"/>
        <v>45944</v>
      </c>
      <c r="N94" s="3">
        <f ca="1"/>
        <v>72.063999999999993</v>
      </c>
      <c r="O94" s="52">
        <f ca="1"/>
        <v>45950</v>
      </c>
      <c r="P94" s="3">
        <f ca="1"/>
        <v>105.49299999999999</v>
      </c>
    </row>
    <row r="95" spans="13:32" x14ac:dyDescent="0.3">
      <c r="M95" s="52">
        <f ca="1"/>
        <v>45945</v>
      </c>
      <c r="N95" s="3">
        <f ca="1"/>
        <v>70.635999999999996</v>
      </c>
      <c r="O95" s="52">
        <f ca="1"/>
        <v>45951</v>
      </c>
      <c r="P95" s="3">
        <f ca="1"/>
        <v>105.583</v>
      </c>
      <c r="X95" s="58"/>
      <c r="AF95" s="82"/>
    </row>
    <row r="96" spans="13:32" x14ac:dyDescent="0.3">
      <c r="M96" s="52">
        <f ca="1"/>
        <v>45946</v>
      </c>
      <c r="N96" s="3">
        <f ca="1"/>
        <v>71.272000000000006</v>
      </c>
      <c r="O96" s="52">
        <f ca="1"/>
        <v>45952</v>
      </c>
      <c r="P96" s="3">
        <f ca="1"/>
        <v>105.595</v>
      </c>
      <c r="X96" s="58"/>
      <c r="AF96" s="82"/>
    </row>
    <row r="97" spans="13:32" x14ac:dyDescent="0.3">
      <c r="M97" s="52">
        <f ca="1"/>
        <v>45947</v>
      </c>
      <c r="N97" s="3">
        <f ca="1"/>
        <v>72.864000000000004</v>
      </c>
      <c r="O97" s="52">
        <f ca="1"/>
        <v>45953</v>
      </c>
      <c r="P97" s="3">
        <f ca="1"/>
        <v>105.399</v>
      </c>
      <c r="X97" s="58"/>
      <c r="AF97" s="82"/>
    </row>
    <row r="98" spans="13:32" x14ac:dyDescent="0.3">
      <c r="M98" s="52">
        <f ca="1"/>
        <v>45950</v>
      </c>
      <c r="N98" s="3">
        <f ca="1"/>
        <v>72.221000000000004</v>
      </c>
      <c r="O98" s="52">
        <f ca="1"/>
        <v>45954</v>
      </c>
      <c r="P98" s="3">
        <f ca="1"/>
        <v>105.575</v>
      </c>
      <c r="W98" s="111" t="s">
        <v>86</v>
      </c>
      <c r="X98" s="111" t="s">
        <v>87</v>
      </c>
      <c r="Y98" s="111" t="s">
        <v>88</v>
      </c>
      <c r="Z98" s="111" t="s">
        <v>89</v>
      </c>
      <c r="AA98" s="111" t="s">
        <v>90</v>
      </c>
      <c r="AB98" s="111" t="s">
        <v>91</v>
      </c>
      <c r="AC98" s="111" t="s">
        <v>92</v>
      </c>
      <c r="AD98" s="111" t="s">
        <v>93</v>
      </c>
      <c r="AE98" s="110"/>
      <c r="AF98" s="82"/>
    </row>
    <row r="99" spans="13:32" x14ac:dyDescent="0.3">
      <c r="M99" s="52">
        <f ca="1"/>
        <v>45951</v>
      </c>
      <c r="N99" s="3">
        <f ca="1"/>
        <v>71.733000000000004</v>
      </c>
      <c r="O99" s="52">
        <f ca="1"/>
        <v>45957</v>
      </c>
      <c r="P99" s="3">
        <f ca="1"/>
        <v>105.79900000000001</v>
      </c>
      <c r="W99" s="111">
        <v>6787</v>
      </c>
      <c r="X99" s="112">
        <v>45936</v>
      </c>
      <c r="Y99" s="113" t="s">
        <v>94</v>
      </c>
      <c r="Z99" s="113" t="s">
        <v>95</v>
      </c>
      <c r="AA99" s="113" t="s">
        <v>96</v>
      </c>
      <c r="AB99" s="113" t="s">
        <v>97</v>
      </c>
      <c r="AC99" s="113" t="s">
        <v>98</v>
      </c>
      <c r="AD99" s="113" t="s">
        <v>99</v>
      </c>
      <c r="AE99" s="113">
        <v>56.9191</v>
      </c>
      <c r="AF99" s="82"/>
    </row>
    <row r="100" spans="13:32" x14ac:dyDescent="0.3">
      <c r="M100" s="52">
        <f ca="1"/>
        <v>45952</v>
      </c>
      <c r="N100" s="3">
        <f ca="1"/>
        <v>72.233999999999995</v>
      </c>
      <c r="O100" s="52">
        <f ca="1"/>
        <v>45958</v>
      </c>
      <c r="P100" s="3">
        <f ca="1"/>
        <v>105.771</v>
      </c>
      <c r="W100" s="111">
        <v>61629</v>
      </c>
      <c r="X100" s="112">
        <v>45937</v>
      </c>
      <c r="Y100" s="113" t="s">
        <v>94</v>
      </c>
      <c r="Z100" s="113" t="s">
        <v>95</v>
      </c>
      <c r="AA100" s="113" t="s">
        <v>96</v>
      </c>
      <c r="AB100" s="113" t="s">
        <v>97</v>
      </c>
      <c r="AC100" s="113" t="s">
        <v>98</v>
      </c>
      <c r="AD100" s="113" t="s">
        <v>99</v>
      </c>
      <c r="AE100" s="113">
        <v>56.886099999999999</v>
      </c>
      <c r="AF100" s="82"/>
    </row>
    <row r="101" spans="13:32" x14ac:dyDescent="0.3">
      <c r="M101" s="52">
        <f ca="1"/>
        <v>45953</v>
      </c>
      <c r="N101" s="3">
        <f ca="1"/>
        <v>72.391999999999996</v>
      </c>
      <c r="O101" s="52">
        <f ca="1"/>
        <v>45959</v>
      </c>
      <c r="P101" s="3">
        <f ca="1"/>
        <v>105.021</v>
      </c>
      <c r="W101" s="111">
        <v>116533</v>
      </c>
      <c r="X101" s="112">
        <v>45938</v>
      </c>
      <c r="Y101" s="113" t="s">
        <v>94</v>
      </c>
      <c r="Z101" s="113" t="s">
        <v>95</v>
      </c>
      <c r="AA101" s="113" t="s">
        <v>96</v>
      </c>
      <c r="AB101" s="113" t="s">
        <v>97</v>
      </c>
      <c r="AC101" s="113" t="s">
        <v>98</v>
      </c>
      <c r="AD101" s="113" t="s">
        <v>99</v>
      </c>
      <c r="AE101" s="113">
        <v>56.288499999999999</v>
      </c>
      <c r="AF101" s="82"/>
    </row>
    <row r="102" spans="13:32" x14ac:dyDescent="0.3">
      <c r="M102" s="52">
        <f ca="1"/>
        <v>45954</v>
      </c>
      <c r="N102" s="3">
        <f ca="1"/>
        <v>70.947999999999993</v>
      </c>
      <c r="O102" s="52">
        <f ca="1"/>
        <v>45960</v>
      </c>
      <c r="P102" s="3">
        <f ca="1"/>
        <v>104.79300000000001</v>
      </c>
      <c r="W102" s="111">
        <v>171383</v>
      </c>
      <c r="X102" s="112">
        <v>45939</v>
      </c>
      <c r="Y102" s="113" t="s">
        <v>94</v>
      </c>
      <c r="Z102" s="113" t="s">
        <v>95</v>
      </c>
      <c r="AA102" s="113" t="s">
        <v>96</v>
      </c>
      <c r="AB102" s="113" t="s">
        <v>97</v>
      </c>
      <c r="AC102" s="113" t="s">
        <v>98</v>
      </c>
      <c r="AD102" s="113" t="s">
        <v>99</v>
      </c>
      <c r="AE102" s="113">
        <v>56.36</v>
      </c>
      <c r="AF102" s="82"/>
    </row>
    <row r="103" spans="13:32" x14ac:dyDescent="0.3">
      <c r="M103" s="52">
        <f ca="1"/>
        <v>45957</v>
      </c>
      <c r="N103" s="3">
        <f ca="1"/>
        <v>70.147999999999996</v>
      </c>
      <c r="O103" s="52">
        <f ca="1"/>
        <v>45961</v>
      </c>
      <c r="P103" s="3">
        <f ca="1"/>
        <v>104.67</v>
      </c>
      <c r="W103" s="111">
        <v>226332</v>
      </c>
      <c r="X103" s="112">
        <v>45940</v>
      </c>
      <c r="Y103" s="113" t="s">
        <v>94</v>
      </c>
      <c r="Z103" s="113" t="s">
        <v>95</v>
      </c>
      <c r="AA103" s="113" t="s">
        <v>96</v>
      </c>
      <c r="AB103" s="113" t="s">
        <v>97</v>
      </c>
      <c r="AC103" s="113" t="s">
        <v>98</v>
      </c>
      <c r="AD103" s="113" t="s">
        <v>99</v>
      </c>
      <c r="AE103" s="113">
        <v>59.473300000000002</v>
      </c>
      <c r="AF103" s="82"/>
    </row>
    <row r="104" spans="13:32" x14ac:dyDescent="0.3">
      <c r="M104" s="52">
        <f ca="1"/>
        <v>45958</v>
      </c>
      <c r="N104" s="3">
        <f ca="1"/>
        <v>69.606999999999999</v>
      </c>
      <c r="O104" s="52">
        <f ca="1"/>
        <v>45964</v>
      </c>
      <c r="P104" s="3">
        <f ca="1"/>
        <v>104.31399999999999</v>
      </c>
      <c r="X104" s="58"/>
      <c r="AF104" s="82"/>
    </row>
    <row r="105" spans="13:32" x14ac:dyDescent="0.3">
      <c r="M105" s="52">
        <f ca="1"/>
        <v>45959</v>
      </c>
      <c r="N105" s="3">
        <f ca="1"/>
        <v>69.7</v>
      </c>
      <c r="O105" s="52"/>
      <c r="X105" s="58"/>
      <c r="AF105" s="82"/>
    </row>
    <row r="106" spans="13:32" x14ac:dyDescent="0.3">
      <c r="M106" s="52">
        <f ca="1"/>
        <v>45960</v>
      </c>
      <c r="N106" s="3">
        <f ca="1"/>
        <v>70.234999999999999</v>
      </c>
      <c r="O106" s="52"/>
      <c r="X106" s="58"/>
      <c r="AF106" s="82"/>
    </row>
    <row r="107" spans="13:32" x14ac:dyDescent="0.3">
      <c r="M107" s="52">
        <f ca="1"/>
        <v>45961</v>
      </c>
      <c r="N107" s="3">
        <f ca="1"/>
        <v>70.680999999999997</v>
      </c>
      <c r="X107" s="58"/>
      <c r="AE107" s="3">
        <f ca="1">AE99-N103</f>
        <v>-13.228899999999996</v>
      </c>
      <c r="AF107" s="82"/>
    </row>
    <row r="108" spans="13:32" x14ac:dyDescent="0.3">
      <c r="M108" s="52"/>
      <c r="X108" s="58"/>
      <c r="AE108" s="3">
        <f ca="1">AE100-N104</f>
        <v>-12.7209</v>
      </c>
      <c r="AF108" s="82"/>
    </row>
    <row r="109" spans="13:32" x14ac:dyDescent="0.3">
      <c r="M109" s="52"/>
      <c r="X109" s="58"/>
      <c r="AE109" s="3">
        <f ca="1">AE101-N105</f>
        <v>-13.411500000000004</v>
      </c>
      <c r="AF109" s="82"/>
    </row>
    <row r="110" spans="13:32" x14ac:dyDescent="0.3">
      <c r="M110" s="52"/>
      <c r="X110" s="58"/>
      <c r="AE110" s="3">
        <f ca="1">AE102-N106</f>
        <v>-13.875</v>
      </c>
      <c r="AF110" s="82"/>
    </row>
    <row r="111" spans="13:32" x14ac:dyDescent="0.3">
      <c r="X111" s="58"/>
      <c r="AE111" s="3">
        <f ca="1">AE103-N107</f>
        <v>-11.207699999999996</v>
      </c>
      <c r="AF111" s="82"/>
    </row>
    <row r="112" spans="13:32" x14ac:dyDescent="0.3">
      <c r="X112" s="58"/>
      <c r="AF112" s="82"/>
    </row>
    <row r="113" spans="24:32" x14ac:dyDescent="0.3">
      <c r="X113" s="58"/>
      <c r="AF113" s="82"/>
    </row>
    <row r="114" spans="24:32" x14ac:dyDescent="0.3">
      <c r="X114" s="58"/>
      <c r="AF114" s="82"/>
    </row>
  </sheetData>
  <mergeCells count="3">
    <mergeCell ref="B12:D12"/>
    <mergeCell ref="E12:G12"/>
    <mergeCell ref="H12:J12"/>
  </mergeCells>
  <conditionalFormatting sqref="L1 L7:L11 K12:K49 L50:L98 AF95:AF114 L119:L1048576">
    <cfRule type="cellIs" dxfId="9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EB0B-8FF4-45C7-B056-76D75E901C59}">
  <dimension ref="A1:O105"/>
  <sheetViews>
    <sheetView zoomScale="80" zoomScaleNormal="80" workbookViewId="0">
      <selection activeCell="A45" sqref="A45:A51"/>
    </sheetView>
  </sheetViews>
  <sheetFormatPr defaultColWidth="9.109375" defaultRowHeight="14.4" x14ac:dyDescent="0.3"/>
  <cols>
    <col min="1" max="1" width="15.44140625" style="3" bestFit="1" customWidth="1"/>
    <col min="2" max="2" width="21.33203125" style="3" bestFit="1" customWidth="1"/>
    <col min="3" max="3" width="19.109375" style="3" bestFit="1" customWidth="1"/>
    <col min="4" max="4" width="11.33203125" style="58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33" hidden="1" customWidth="1"/>
    <col min="11" max="11" width="10.6640625" style="59" hidden="1" customWidth="1"/>
    <col min="12" max="12" width="10.5546875" style="52" hidden="1" customWidth="1"/>
    <col min="13" max="13" width="10.5546875" style="59" hidden="1" customWidth="1"/>
    <col min="14" max="14" width="8" style="3" bestFit="1" customWidth="1"/>
    <col min="15" max="15" width="10.5546875" style="3" bestFit="1" customWidth="1"/>
    <col min="16" max="16384" width="9.109375" style="3"/>
  </cols>
  <sheetData>
    <row r="1" spans="1:15" ht="15" thickBot="1" x14ac:dyDescent="0.35">
      <c r="A1" s="1"/>
      <c r="B1" s="1"/>
      <c r="C1" s="1"/>
      <c r="D1" s="31"/>
      <c r="J1" s="52">
        <f ca="1">TODAY()-150</f>
        <v>45814</v>
      </c>
    </row>
    <row r="2" spans="1:15" ht="15" thickBot="1" x14ac:dyDescent="0.35">
      <c r="A2" s="14"/>
      <c r="B2" s="27" t="s">
        <v>0</v>
      </c>
      <c r="C2" s="28" t="s">
        <v>1</v>
      </c>
      <c r="D2" s="31"/>
      <c r="J2" s="99" t="s">
        <v>0</v>
      </c>
      <c r="L2" s="101" t="s">
        <v>1</v>
      </c>
    </row>
    <row r="3" spans="1:15" x14ac:dyDescent="0.3">
      <c r="A3" s="14" t="s">
        <v>32</v>
      </c>
      <c r="B3" s="15" t="s">
        <v>103</v>
      </c>
      <c r="C3" s="5" t="s">
        <v>104</v>
      </c>
      <c r="D3" s="31"/>
      <c r="J3" s="52" cm="1">
        <f t="array" aca="1" ref="J3:K105" ca="1">_xll.BDH($B$4, "PX_LAST, ", J$1, "")</f>
        <v>45814</v>
      </c>
      <c r="K3" s="59">
        <f ca="1"/>
        <v>54.006</v>
      </c>
      <c r="L3" s="52" cm="1">
        <f t="array" aca="1" ref="L3:M51" ca="1">_xll.BDH($C$4, "PX_LAST, ", J$1, "")</f>
        <v>45814</v>
      </c>
      <c r="M3" s="59">
        <f ca="1"/>
        <v>655.72</v>
      </c>
    </row>
    <row r="4" spans="1:15" ht="30" customHeight="1" x14ac:dyDescent="0.3">
      <c r="A4" s="15" t="s">
        <v>33</v>
      </c>
      <c r="B4" s="17" t="s">
        <v>105</v>
      </c>
      <c r="C4" s="6" t="s">
        <v>106</v>
      </c>
      <c r="D4" s="31"/>
      <c r="J4" s="52">
        <f ca="1"/>
        <v>45817</v>
      </c>
      <c r="K4" s="59">
        <f ca="1"/>
        <v>53.912999999999997</v>
      </c>
      <c r="L4" s="52">
        <f ca="1"/>
        <v>45821</v>
      </c>
      <c r="M4" s="59">
        <f ca="1"/>
        <v>655.7</v>
      </c>
    </row>
    <row r="5" spans="1:15" x14ac:dyDescent="0.3">
      <c r="A5" s="15" t="s">
        <v>8</v>
      </c>
      <c r="B5" s="18">
        <f>125*10^6</f>
        <v>125000000</v>
      </c>
      <c r="C5" s="32">
        <v>21</v>
      </c>
      <c r="D5" s="31"/>
      <c r="J5" s="52">
        <f ca="1"/>
        <v>45818</v>
      </c>
      <c r="K5" s="59">
        <f ca="1"/>
        <v>53.087000000000003</v>
      </c>
      <c r="L5" s="52">
        <f ca="1"/>
        <v>45833</v>
      </c>
      <c r="M5" s="59">
        <f ca="1"/>
        <v>579.63</v>
      </c>
    </row>
    <row r="6" spans="1:15" x14ac:dyDescent="0.3">
      <c r="A6" s="15" t="s">
        <v>10</v>
      </c>
      <c r="B6" s="19">
        <v>0.01</v>
      </c>
      <c r="C6" s="10">
        <v>0</v>
      </c>
      <c r="D6" s="31"/>
      <c r="J6" s="52">
        <f ca="1"/>
        <v>45819</v>
      </c>
      <c r="K6" s="59">
        <f ca="1"/>
        <v>53.267000000000003</v>
      </c>
      <c r="L6" s="52">
        <f ca="1"/>
        <v>45834</v>
      </c>
      <c r="M6" s="59">
        <f ca="1"/>
        <v>547.1</v>
      </c>
    </row>
    <row r="7" spans="1:15" x14ac:dyDescent="0.3">
      <c r="A7" s="15" t="s">
        <v>12</v>
      </c>
      <c r="B7" s="19">
        <v>0</v>
      </c>
      <c r="C7" s="10">
        <v>0</v>
      </c>
      <c r="D7" s="31"/>
      <c r="J7" s="53">
        <f ca="1"/>
        <v>45820</v>
      </c>
      <c r="K7" s="59">
        <f ca="1"/>
        <v>53.845999999999997</v>
      </c>
      <c r="L7" s="52">
        <f ca="1"/>
        <v>45835</v>
      </c>
      <c r="M7" s="59">
        <f ca="1"/>
        <v>526.04</v>
      </c>
      <c r="O7" s="52"/>
    </row>
    <row r="8" spans="1:15" x14ac:dyDescent="0.3">
      <c r="A8" s="15" t="s">
        <v>14</v>
      </c>
      <c r="B8" s="15">
        <v>4.8</v>
      </c>
      <c r="C8" s="5"/>
      <c r="D8" s="31"/>
      <c r="E8" s="53"/>
      <c r="G8" s="52"/>
      <c r="H8" s="52"/>
      <c r="J8" s="52">
        <f ca="1"/>
        <v>45821</v>
      </c>
      <c r="K8" s="59">
        <f ca="1"/>
        <v>55.892000000000003</v>
      </c>
      <c r="L8" s="52">
        <f ca="1"/>
        <v>45855</v>
      </c>
      <c r="M8" s="59">
        <f ca="1"/>
        <v>438.35</v>
      </c>
    </row>
    <row r="9" spans="1:15" x14ac:dyDescent="0.3">
      <c r="A9" s="15" t="s">
        <v>15</v>
      </c>
      <c r="B9" s="15" t="s">
        <v>23</v>
      </c>
      <c r="C9" s="5"/>
      <c r="D9" s="31"/>
      <c r="E9" s="53"/>
      <c r="G9" s="52"/>
      <c r="H9" s="52"/>
      <c r="J9" s="52">
        <f ca="1"/>
        <v>45824</v>
      </c>
      <c r="K9" s="59">
        <f ca="1"/>
        <v>54.283999999999999</v>
      </c>
      <c r="L9" s="52">
        <f ca="1"/>
        <v>45870</v>
      </c>
      <c r="M9" s="59">
        <f ca="1"/>
        <v>491.43</v>
      </c>
    </row>
    <row r="10" spans="1:15" ht="15" thickBot="1" x14ac:dyDescent="0.35">
      <c r="A10" s="16" t="s">
        <v>28</v>
      </c>
      <c r="B10" s="20" cm="1">
        <f t="array" ref="B10">_xll.BDP(B4,"PX_LAST")</f>
        <v>53.32555</v>
      </c>
      <c r="C10" s="13" cm="1">
        <f t="array" ref="C10">_xll.BDP(C4,"PX_LAST")</f>
        <v>105.56</v>
      </c>
      <c r="D10" s="31"/>
      <c r="E10" s="1"/>
      <c r="G10" s="52"/>
      <c r="H10" s="52"/>
      <c r="J10" s="52">
        <f ca="1"/>
        <v>45825</v>
      </c>
      <c r="K10" s="59">
        <f ca="1"/>
        <v>56.819000000000003</v>
      </c>
      <c r="L10" s="52">
        <f ca="1"/>
        <v>45891</v>
      </c>
      <c r="M10" s="59">
        <f ca="1"/>
        <v>302.45999999999998</v>
      </c>
    </row>
    <row r="11" spans="1:15" ht="15" thickBot="1" x14ac:dyDescent="0.35">
      <c r="A11" s="1"/>
      <c r="B11" s="1"/>
      <c r="C11" s="1"/>
      <c r="D11" s="31"/>
      <c r="E11" s="1"/>
      <c r="J11" s="52">
        <f ca="1"/>
        <v>45826</v>
      </c>
      <c r="K11" s="59">
        <f ca="1"/>
        <v>56.100999999999999</v>
      </c>
      <c r="L11" s="52">
        <f ca="1"/>
        <v>45894</v>
      </c>
      <c r="M11" s="59">
        <f ca="1"/>
        <v>303.64999999999998</v>
      </c>
    </row>
    <row r="12" spans="1:15" ht="15" thickBot="1" x14ac:dyDescent="0.35">
      <c r="A12" s="39" t="s">
        <v>22</v>
      </c>
      <c r="B12" s="169" t="s">
        <v>0</v>
      </c>
      <c r="C12" s="170"/>
      <c r="D12" s="171"/>
      <c r="E12" s="172" t="s">
        <v>1</v>
      </c>
      <c r="F12" s="174"/>
      <c r="G12" s="39" t="s">
        <v>16</v>
      </c>
      <c r="H12" s="1"/>
      <c r="J12" s="133">
        <f ca="1"/>
        <v>45828</v>
      </c>
      <c r="K12" s="46">
        <f ca="1"/>
        <v>56.012999999999998</v>
      </c>
      <c r="L12" s="52">
        <f ca="1"/>
        <v>45898</v>
      </c>
      <c r="M12" s="59">
        <f ca="1"/>
        <v>305.2</v>
      </c>
    </row>
    <row r="13" spans="1:15" ht="15" thickBot="1" x14ac:dyDescent="0.35">
      <c r="A13" s="16"/>
      <c r="B13" s="11" t="s">
        <v>24</v>
      </c>
      <c r="C13" s="49" t="s">
        <v>19</v>
      </c>
      <c r="D13" s="22" t="s">
        <v>20</v>
      </c>
      <c r="E13" s="11" t="s">
        <v>17</v>
      </c>
      <c r="F13" s="21" t="s">
        <v>21</v>
      </c>
      <c r="G13" s="96"/>
      <c r="H13" s="148"/>
      <c r="J13" s="133">
        <f ca="1"/>
        <v>45831</v>
      </c>
      <c r="K13" s="46">
        <f ca="1"/>
        <v>54.692</v>
      </c>
      <c r="L13" s="52">
        <f ca="1"/>
        <v>45908</v>
      </c>
      <c r="M13" s="59">
        <f ca="1"/>
        <v>271.3</v>
      </c>
    </row>
    <row r="14" spans="1:15" x14ac:dyDescent="0.3">
      <c r="A14" s="36">
        <v>45939</v>
      </c>
      <c r="B14" s="45">
        <v>52.6</v>
      </c>
      <c r="C14" s="31"/>
      <c r="D14" s="5"/>
      <c r="E14" s="45">
        <v>155.55000000000001</v>
      </c>
      <c r="F14" s="1"/>
      <c r="G14" s="79">
        <v>0</v>
      </c>
      <c r="H14" s="148"/>
      <c r="J14" s="133">
        <f ca="1"/>
        <v>45832</v>
      </c>
      <c r="K14" s="46">
        <f ca="1"/>
        <v>52.798999999999999</v>
      </c>
      <c r="L14" s="52">
        <f ca="1"/>
        <v>45909</v>
      </c>
      <c r="M14" s="59">
        <f ca="1"/>
        <v>268.22000000000003</v>
      </c>
    </row>
    <row r="15" spans="1:15" x14ac:dyDescent="0.3">
      <c r="A15" s="36">
        <v>45940</v>
      </c>
      <c r="B15" s="45">
        <f t="shared" ref="B15:B43" ca="1" si="0">VLOOKUP(A15,J:K,2)</f>
        <v>56.701999999999998</v>
      </c>
      <c r="C15" s="31">
        <f ca="1">-1*(B15-$B$14)*$B$8*$B$5*10^(-4)</f>
        <v>-246119.99999999983</v>
      </c>
      <c r="D15" s="32">
        <f>(A15-$A$14)/360*$B$6*$B$5</f>
        <v>3472.2222222222222</v>
      </c>
      <c r="E15" s="45">
        <f t="shared" ref="E15:E43" ca="1" si="1">VLOOKUP(A15,L:M,2)</f>
        <v>267.07</v>
      </c>
      <c r="F15" s="31">
        <f ca="1">(E15-$E$14)*$C$5*100</f>
        <v>234191.99999999997</v>
      </c>
      <c r="G15" s="79">
        <f ca="1">C15+D15+F15</f>
        <v>-8455.7777777776355</v>
      </c>
      <c r="H15" s="148"/>
      <c r="J15" s="133">
        <f ca="1"/>
        <v>45833</v>
      </c>
      <c r="K15" s="46">
        <f ca="1"/>
        <v>53.402000000000001</v>
      </c>
      <c r="L15" s="52">
        <f ca="1"/>
        <v>45911</v>
      </c>
      <c r="M15" s="59">
        <f ca="1"/>
        <v>234.12</v>
      </c>
    </row>
    <row r="16" spans="1:15" x14ac:dyDescent="0.3">
      <c r="A16" s="36">
        <v>45943</v>
      </c>
      <c r="B16" s="45">
        <f t="shared" ca="1" si="0"/>
        <v>56.701999999999998</v>
      </c>
      <c r="C16" s="31">
        <f t="shared" ref="C16:C41" ca="1" si="2">-1*(B16-$B$14)*$B$8*$B$5*10^(-4)</f>
        <v>-246119.99999999983</v>
      </c>
      <c r="D16" s="32">
        <f t="shared" ref="D16:D41" si="3">(A16-$A$14)/360*$B$6*$B$5</f>
        <v>13888.888888888889</v>
      </c>
      <c r="E16" s="45">
        <f t="shared" ca="1" si="1"/>
        <v>195.86</v>
      </c>
      <c r="F16" s="31">
        <f t="shared" ref="F16:F41" ca="1" si="4">(E16-$E$14)*$C$5*100</f>
        <v>84651</v>
      </c>
      <c r="G16" s="79">
        <f ca="1">C16+D16+F16</f>
        <v>-147580.11111111095</v>
      </c>
      <c r="H16" s="148"/>
      <c r="J16" s="133">
        <f ca="1"/>
        <v>45834</v>
      </c>
      <c r="K16" s="46">
        <f ca="1"/>
        <v>52.491999999999997</v>
      </c>
      <c r="L16" s="52">
        <f ca="1"/>
        <v>45912</v>
      </c>
      <c r="M16" s="59">
        <f ca="1"/>
        <v>224.91</v>
      </c>
    </row>
    <row r="17" spans="1:13" x14ac:dyDescent="0.3">
      <c r="A17" s="36">
        <v>45944</v>
      </c>
      <c r="B17" s="45">
        <f t="shared" ca="1" si="0"/>
        <v>53.369</v>
      </c>
      <c r="C17" s="31">
        <f t="shared" ca="1" si="2"/>
        <v>-46139.999999999898</v>
      </c>
      <c r="D17" s="32">
        <f t="shared" si="3"/>
        <v>17361.111111111109</v>
      </c>
      <c r="E17" s="45">
        <f t="shared" ca="1" si="1"/>
        <v>220.74</v>
      </c>
      <c r="F17" s="31">
        <f t="shared" ca="1" si="4"/>
        <v>136899</v>
      </c>
      <c r="G17" s="79">
        <f ca="1">C17+D17+F17</f>
        <v>108120.11111111121</v>
      </c>
      <c r="H17" s="148"/>
      <c r="J17" s="133">
        <f ca="1"/>
        <v>45835</v>
      </c>
      <c r="K17" s="46">
        <f ca="1"/>
        <v>51.991</v>
      </c>
      <c r="L17" s="52">
        <f ca="1"/>
        <v>45915</v>
      </c>
      <c r="M17" s="59">
        <f ca="1"/>
        <v>211.6</v>
      </c>
    </row>
    <row r="18" spans="1:13" x14ac:dyDescent="0.3">
      <c r="A18" s="36">
        <v>45945</v>
      </c>
      <c r="B18" s="45">
        <f t="shared" ca="1" si="0"/>
        <v>52.787999999999997</v>
      </c>
      <c r="C18" s="31">
        <f t="shared" ca="1" si="2"/>
        <v>-11279.999999999718</v>
      </c>
      <c r="D18" s="32">
        <f t="shared" si="3"/>
        <v>20833.333333333332</v>
      </c>
      <c r="E18" s="45">
        <f t="shared" ca="1" si="1"/>
        <v>191.5</v>
      </c>
      <c r="F18" s="31">
        <f t="shared" ca="1" si="4"/>
        <v>75494.999999999985</v>
      </c>
      <c r="G18" s="79">
        <f ca="1">C18+D18+F18</f>
        <v>85048.333333333605</v>
      </c>
      <c r="H18" s="151" t="s">
        <v>144</v>
      </c>
      <c r="J18" s="133">
        <f ca="1"/>
        <v>45838</v>
      </c>
      <c r="K18" s="46">
        <f ca="1"/>
        <v>51.058</v>
      </c>
      <c r="L18" s="52">
        <f ca="1"/>
        <v>45916</v>
      </c>
      <c r="M18" s="59">
        <f ca="1"/>
        <v>223.2</v>
      </c>
    </row>
    <row r="19" spans="1:13" x14ac:dyDescent="0.3">
      <c r="A19" s="128">
        <v>45946</v>
      </c>
      <c r="B19" s="45">
        <f t="shared" ca="1" si="0"/>
        <v>54.866</v>
      </c>
      <c r="C19" s="31">
        <f t="shared" ca="1" si="2"/>
        <v>-135959.99999999988</v>
      </c>
      <c r="D19" s="32">
        <f t="shared" si="3"/>
        <v>24305.555555555558</v>
      </c>
      <c r="E19" s="45">
        <f t="shared" ca="1" si="1"/>
        <v>231.8</v>
      </c>
      <c r="F19" s="31">
        <f t="shared" ca="1" si="4"/>
        <v>160125</v>
      </c>
      <c r="G19" s="79">
        <f ca="1">C19+D19+F19</f>
        <v>48470.555555555678</v>
      </c>
      <c r="H19" s="148"/>
      <c r="J19" s="133">
        <f ca="1"/>
        <v>45839</v>
      </c>
      <c r="K19" s="46">
        <f ca="1"/>
        <v>50.558999999999997</v>
      </c>
      <c r="L19" s="52">
        <f ca="1"/>
        <v>45917</v>
      </c>
      <c r="M19" s="59">
        <f ca="1"/>
        <v>226.6</v>
      </c>
    </row>
    <row r="20" spans="1:13" x14ac:dyDescent="0.3">
      <c r="A20" s="128">
        <v>45947</v>
      </c>
      <c r="B20" s="45">
        <f t="shared" ca="1" si="0"/>
        <v>53.643999999999998</v>
      </c>
      <c r="C20" s="31">
        <f t="shared" ca="1" si="2"/>
        <v>-62639.999999999825</v>
      </c>
      <c r="D20" s="32">
        <f t="shared" si="3"/>
        <v>27777.777777777777</v>
      </c>
      <c r="E20" s="45">
        <f t="shared" ca="1" si="1"/>
        <v>238.94</v>
      </c>
      <c r="F20" s="31">
        <f t="shared" ca="1" si="4"/>
        <v>175118.99999999997</v>
      </c>
      <c r="G20" s="79">
        <f t="shared" ref="G20" ca="1" si="5">C20+D20+F20</f>
        <v>140256.77777777793</v>
      </c>
      <c r="H20" s="148"/>
      <c r="J20" s="133">
        <f ca="1"/>
        <v>45840</v>
      </c>
      <c r="K20" s="46">
        <f ca="1"/>
        <v>50.177999999999997</v>
      </c>
      <c r="L20" s="52">
        <f ca="1"/>
        <v>45919</v>
      </c>
      <c r="M20" s="59">
        <f ca="1"/>
        <v>197.25</v>
      </c>
    </row>
    <row r="21" spans="1:13" x14ac:dyDescent="0.3">
      <c r="A21" s="128">
        <v>45950</v>
      </c>
      <c r="B21" s="45">
        <f t="shared" ca="1" si="0"/>
        <v>52.158000000000001</v>
      </c>
      <c r="C21" s="31">
        <f t="shared" ca="1" si="2"/>
        <v>26520.000000000011</v>
      </c>
      <c r="D21" s="32">
        <f t="shared" si="3"/>
        <v>38194.444444444445</v>
      </c>
      <c r="E21" s="45">
        <f t="shared" ca="1" si="1"/>
        <v>147.07</v>
      </c>
      <c r="F21" s="31">
        <f t="shared" ca="1" si="4"/>
        <v>-17808.000000000036</v>
      </c>
      <c r="G21" s="79">
        <f ca="1">C21+D21+F21</f>
        <v>46906.444444444416</v>
      </c>
      <c r="H21" s="148"/>
      <c r="J21" s="133">
        <f ca="1"/>
        <v>45841</v>
      </c>
      <c r="K21" s="46">
        <f ca="1"/>
        <v>49.305</v>
      </c>
      <c r="L21" s="52">
        <f ca="1"/>
        <v>45922</v>
      </c>
      <c r="M21" s="59">
        <f ca="1"/>
        <v>185.03</v>
      </c>
    </row>
    <row r="22" spans="1:13" x14ac:dyDescent="0.3">
      <c r="A22" s="128">
        <v>45951</v>
      </c>
      <c r="B22" s="45">
        <f t="shared" ca="1" si="0"/>
        <v>52.853000000000002</v>
      </c>
      <c r="C22" s="31">
        <f t="shared" ca="1" si="2"/>
        <v>-15180.000000000007</v>
      </c>
      <c r="D22" s="32">
        <f t="shared" si="3"/>
        <v>41666.666666666664</v>
      </c>
      <c r="E22" s="45">
        <f t="shared" ca="1" si="1"/>
        <v>148.41</v>
      </c>
      <c r="F22" s="31">
        <f t="shared" ca="1" si="4"/>
        <v>-14994.000000000031</v>
      </c>
      <c r="G22" s="79">
        <f ca="1">C22+D22+F22</f>
        <v>11492.666666666626</v>
      </c>
      <c r="H22" s="148"/>
      <c r="J22" s="133">
        <f ca="1"/>
        <v>45845</v>
      </c>
      <c r="K22" s="46">
        <f ca="1"/>
        <v>50.89</v>
      </c>
      <c r="L22" s="52">
        <f ca="1"/>
        <v>45923</v>
      </c>
      <c r="M22" s="59">
        <f ca="1"/>
        <v>199.8</v>
      </c>
    </row>
    <row r="23" spans="1:13" ht="14.4" hidden="1" customHeight="1" x14ac:dyDescent="0.3">
      <c r="A23" s="128">
        <v>45952</v>
      </c>
      <c r="B23" s="45">
        <f t="shared" ca="1" si="0"/>
        <v>53.048000000000002</v>
      </c>
      <c r="C23" s="31">
        <f t="shared" ca="1" si="2"/>
        <v>-26880.000000000018</v>
      </c>
      <c r="D23" s="32">
        <f t="shared" si="3"/>
        <v>45138.888888888883</v>
      </c>
      <c r="E23" s="45">
        <f t="shared" ca="1" si="1"/>
        <v>159.94999999999999</v>
      </c>
      <c r="F23" s="31">
        <f t="shared" ca="1" si="4"/>
        <v>9239.9999999999527</v>
      </c>
      <c r="G23" s="79">
        <f t="shared" ref="G23:G37" ca="1" si="6">C23+D23+F23</f>
        <v>27498.888888888818</v>
      </c>
      <c r="H23" s="148"/>
      <c r="J23" s="133">
        <f ca="1"/>
        <v>45846</v>
      </c>
      <c r="K23" s="46">
        <f ca="1"/>
        <v>51.234000000000002</v>
      </c>
      <c r="L23" s="52">
        <f ca="1"/>
        <v>45924</v>
      </c>
      <c r="M23" s="59">
        <f ca="1"/>
        <v>213.23</v>
      </c>
    </row>
    <row r="24" spans="1:13" ht="14.4" hidden="1" customHeight="1" x14ac:dyDescent="0.3">
      <c r="A24" s="128">
        <v>45953</v>
      </c>
      <c r="B24" s="45">
        <f t="shared" ca="1" si="0"/>
        <v>52.078000000000003</v>
      </c>
      <c r="C24" s="31">
        <f t="shared" ca="1" si="2"/>
        <v>31319.999999999913</v>
      </c>
      <c r="D24" s="32">
        <f t="shared" si="3"/>
        <v>48611.111111111117</v>
      </c>
      <c r="E24" s="45">
        <f t="shared" ca="1" si="1"/>
        <v>138.02000000000001</v>
      </c>
      <c r="F24" s="31">
        <f t="shared" ca="1" si="4"/>
        <v>-36813</v>
      </c>
      <c r="G24" s="79">
        <f t="shared" ca="1" si="6"/>
        <v>43118.111111111037</v>
      </c>
      <c r="H24" s="148"/>
      <c r="J24" s="133">
        <f ca="1"/>
        <v>45847</v>
      </c>
      <c r="K24" s="46">
        <f ca="1"/>
        <v>50.05</v>
      </c>
      <c r="L24" s="52">
        <f ca="1"/>
        <v>45925</v>
      </c>
      <c r="M24" s="59">
        <f ca="1"/>
        <v>222.8</v>
      </c>
    </row>
    <row r="25" spans="1:13" ht="14.4" hidden="1" customHeight="1" x14ac:dyDescent="0.3">
      <c r="A25" s="128">
        <v>45954</v>
      </c>
      <c r="B25" s="45">
        <f t="shared" ca="1" si="0"/>
        <v>51.530999999999999</v>
      </c>
      <c r="C25" s="31">
        <f t="shared" ca="1" si="2"/>
        <v>64140.00000000016</v>
      </c>
      <c r="D25" s="32">
        <f t="shared" si="3"/>
        <v>52083.333333333328</v>
      </c>
      <c r="E25" s="45">
        <f t="shared" ca="1" si="1"/>
        <v>115.55</v>
      </c>
      <c r="F25" s="31">
        <f t="shared" ca="1" si="4"/>
        <v>-84000.000000000029</v>
      </c>
      <c r="G25" s="79">
        <f t="shared" ca="1" si="6"/>
        <v>32223.333333333459</v>
      </c>
      <c r="H25" s="148"/>
      <c r="J25" s="133">
        <f ca="1"/>
        <v>45848</v>
      </c>
      <c r="K25" s="46">
        <f ca="1"/>
        <v>49.847000000000001</v>
      </c>
      <c r="L25" s="52">
        <f ca="1"/>
        <v>45926</v>
      </c>
      <c r="M25" s="59">
        <f ca="1"/>
        <v>213.4</v>
      </c>
    </row>
    <row r="26" spans="1:13" ht="14.4" hidden="1" customHeight="1" x14ac:dyDescent="0.3">
      <c r="A26" s="128">
        <v>45955</v>
      </c>
      <c r="B26" s="45">
        <f t="shared" ca="1" si="0"/>
        <v>51.530999999999999</v>
      </c>
      <c r="C26" s="31">
        <f t="shared" ca="1" si="2"/>
        <v>64140.00000000016</v>
      </c>
      <c r="D26" s="32">
        <f t="shared" si="3"/>
        <v>55555.555555555555</v>
      </c>
      <c r="E26" s="45">
        <f t="shared" ca="1" si="1"/>
        <v>115.55</v>
      </c>
      <c r="F26" s="31">
        <f t="shared" ca="1" si="4"/>
        <v>-84000.000000000029</v>
      </c>
      <c r="G26" s="79">
        <f t="shared" ca="1" si="6"/>
        <v>35695.555555555678</v>
      </c>
      <c r="H26" s="148"/>
      <c r="J26" s="133">
        <f ca="1"/>
        <v>45849</v>
      </c>
      <c r="K26" s="46">
        <f ca="1"/>
        <v>50.536000000000001</v>
      </c>
      <c r="L26" s="52">
        <f ca="1"/>
        <v>45929</v>
      </c>
      <c r="M26" s="59">
        <f ca="1"/>
        <v>181.95</v>
      </c>
    </row>
    <row r="27" spans="1:13" ht="14.4" hidden="1" customHeight="1" x14ac:dyDescent="0.3">
      <c r="A27" s="128">
        <v>45956</v>
      </c>
      <c r="B27" s="45">
        <f t="shared" ca="1" si="0"/>
        <v>51.530999999999999</v>
      </c>
      <c r="C27" s="31">
        <f t="shared" ca="1" si="2"/>
        <v>64140.00000000016</v>
      </c>
      <c r="D27" s="32">
        <f t="shared" si="3"/>
        <v>59027.777777777781</v>
      </c>
      <c r="E27" s="45">
        <f t="shared" ca="1" si="1"/>
        <v>115.55</v>
      </c>
      <c r="F27" s="31">
        <f t="shared" ca="1" si="4"/>
        <v>-84000.000000000029</v>
      </c>
      <c r="G27" s="79">
        <f t="shared" ca="1" si="6"/>
        <v>39167.777777777912</v>
      </c>
      <c r="H27" s="148"/>
      <c r="J27" s="133">
        <f ca="1"/>
        <v>45852</v>
      </c>
      <c r="K27" s="46">
        <f ca="1"/>
        <v>50.942999999999998</v>
      </c>
      <c r="L27" s="52">
        <f ca="1"/>
        <v>45930</v>
      </c>
      <c r="M27" s="59">
        <f ca="1"/>
        <v>189.6</v>
      </c>
    </row>
    <row r="28" spans="1:13" ht="14.4" hidden="1" customHeight="1" x14ac:dyDescent="0.3">
      <c r="A28" s="128">
        <v>45957</v>
      </c>
      <c r="B28" s="45">
        <f t="shared" ca="1" si="0"/>
        <v>50.222000000000001</v>
      </c>
      <c r="C28" s="31">
        <f t="shared" ca="1" si="2"/>
        <v>142680</v>
      </c>
      <c r="D28" s="32">
        <f t="shared" si="3"/>
        <v>62500</v>
      </c>
      <c r="E28" s="45">
        <f t="shared" ca="1" si="1"/>
        <v>90.52</v>
      </c>
      <c r="F28" s="31">
        <f t="shared" ca="1" si="4"/>
        <v>-136563.00000000003</v>
      </c>
      <c r="G28" s="79">
        <f t="shared" ca="1" si="6"/>
        <v>68616.999999999971</v>
      </c>
      <c r="H28" s="148"/>
      <c r="J28" s="133">
        <f ca="1"/>
        <v>45853</v>
      </c>
      <c r="K28" s="46">
        <f ca="1"/>
        <v>52.14</v>
      </c>
      <c r="L28" s="52">
        <f ca="1"/>
        <v>45931</v>
      </c>
      <c r="M28" s="59">
        <f ca="1"/>
        <v>164.7</v>
      </c>
    </row>
    <row r="29" spans="1:13" ht="14.4" hidden="1" customHeight="1" x14ac:dyDescent="0.3">
      <c r="A29" s="128">
        <v>45958</v>
      </c>
      <c r="B29" s="45">
        <f t="shared" ca="1" si="0"/>
        <v>50.74</v>
      </c>
      <c r="C29" s="31">
        <f t="shared" ca="1" si="2"/>
        <v>111599.99999999999</v>
      </c>
      <c r="D29" s="32">
        <f t="shared" si="3"/>
        <v>65972.222222222234</v>
      </c>
      <c r="E29" s="45">
        <f t="shared" ca="1" si="1"/>
        <v>91.34</v>
      </c>
      <c r="F29" s="31">
        <f t="shared" ca="1" si="4"/>
        <v>-134841</v>
      </c>
      <c r="G29" s="79">
        <f t="shared" ca="1" si="6"/>
        <v>42731.222222222219</v>
      </c>
      <c r="H29" s="148"/>
      <c r="J29" s="133">
        <f ca="1"/>
        <v>45854</v>
      </c>
      <c r="K29" s="46">
        <f ca="1"/>
        <v>51.95</v>
      </c>
      <c r="L29" s="52">
        <f ca="1"/>
        <v>45932</v>
      </c>
      <c r="M29" s="59">
        <f ca="1"/>
        <v>166.3</v>
      </c>
    </row>
    <row r="30" spans="1:13" ht="14.4" hidden="1" customHeight="1" x14ac:dyDescent="0.3">
      <c r="A30" s="128">
        <v>45959</v>
      </c>
      <c r="B30" s="45">
        <f t="shared" ca="1" si="0"/>
        <v>51.082999999999998</v>
      </c>
      <c r="C30" s="31">
        <f t="shared" ca="1" si="2"/>
        <v>91020.000000000189</v>
      </c>
      <c r="D30" s="32">
        <f t="shared" si="3"/>
        <v>69444.444444444438</v>
      </c>
      <c r="E30" s="45">
        <f t="shared" ca="1" si="1"/>
        <v>100.01</v>
      </c>
      <c r="F30" s="31">
        <f t="shared" ca="1" si="4"/>
        <v>-116634.00000000001</v>
      </c>
      <c r="G30" s="79">
        <f t="shared" ca="1" si="6"/>
        <v>43830.444444444598</v>
      </c>
      <c r="H30" s="148"/>
      <c r="J30" s="133">
        <f ca="1"/>
        <v>45855</v>
      </c>
      <c r="K30" s="46">
        <f ca="1"/>
        <v>50.658000000000001</v>
      </c>
      <c r="L30" s="52">
        <f ca="1"/>
        <v>45933</v>
      </c>
      <c r="M30" s="59">
        <f ca="1"/>
        <v>166.01</v>
      </c>
    </row>
    <row r="31" spans="1:13" ht="14.4" hidden="1" customHeight="1" x14ac:dyDescent="0.3">
      <c r="A31" s="128">
        <v>45960</v>
      </c>
      <c r="B31" s="45">
        <f t="shared" ca="1" si="0"/>
        <v>51.795000000000002</v>
      </c>
      <c r="C31" s="31">
        <f t="shared" ca="1" si="2"/>
        <v>48299.999999999985</v>
      </c>
      <c r="D31" s="32">
        <f t="shared" si="3"/>
        <v>72916.666666666672</v>
      </c>
      <c r="E31" s="45">
        <f t="shared" ca="1" si="1"/>
        <v>107.1</v>
      </c>
      <c r="F31" s="31">
        <f t="shared" ca="1" si="4"/>
        <v>-101745.00000000004</v>
      </c>
      <c r="G31" s="79">
        <f t="shared" ca="1" si="6"/>
        <v>19471.666666666613</v>
      </c>
      <c r="H31" s="148"/>
      <c r="J31" s="133">
        <f ca="1"/>
        <v>45856</v>
      </c>
      <c r="K31" s="46">
        <f ca="1"/>
        <v>50.805</v>
      </c>
      <c r="L31" s="52">
        <f ca="1"/>
        <v>45936</v>
      </c>
      <c r="M31" s="59">
        <f ca="1"/>
        <v>154.01</v>
      </c>
    </row>
    <row r="32" spans="1:13" ht="14.4" hidden="1" customHeight="1" x14ac:dyDescent="0.3">
      <c r="A32" s="128">
        <v>45961</v>
      </c>
      <c r="B32" s="45">
        <f t="shared" ca="1" si="0"/>
        <v>52.591000000000001</v>
      </c>
      <c r="C32" s="31">
        <f t="shared" ca="1" si="2"/>
        <v>540.00000000002046</v>
      </c>
      <c r="D32" s="32">
        <f t="shared" si="3"/>
        <v>76388.888888888891</v>
      </c>
      <c r="E32" s="45">
        <f t="shared" ca="1" si="1"/>
        <v>108.38</v>
      </c>
      <c r="F32" s="31">
        <f t="shared" ca="1" si="4"/>
        <v>-99057.000000000044</v>
      </c>
      <c r="G32" s="79">
        <f t="shared" ca="1" si="6"/>
        <v>-22128.111111111139</v>
      </c>
      <c r="H32" s="148"/>
      <c r="J32" s="133">
        <f ca="1"/>
        <v>45859</v>
      </c>
      <c r="K32" s="46">
        <f ca="1"/>
        <v>50.99</v>
      </c>
      <c r="L32" s="52">
        <f ca="1"/>
        <v>45937</v>
      </c>
      <c r="M32" s="59">
        <f ca="1"/>
        <v>166.5</v>
      </c>
    </row>
    <row r="33" spans="1:13" ht="14.4" hidden="1" customHeight="1" x14ac:dyDescent="0.3">
      <c r="A33" s="128">
        <v>45962</v>
      </c>
      <c r="B33" s="45">
        <f t="shared" ca="1" si="0"/>
        <v>52.591000000000001</v>
      </c>
      <c r="C33" s="31">
        <f t="shared" ca="1" si="2"/>
        <v>540.00000000002046</v>
      </c>
      <c r="D33" s="32">
        <f t="shared" si="3"/>
        <v>79861.111111111109</v>
      </c>
      <c r="E33" s="45">
        <f t="shared" ca="1" si="1"/>
        <v>108.38</v>
      </c>
      <c r="F33" s="31">
        <f t="shared" ca="1" si="4"/>
        <v>-99057.000000000044</v>
      </c>
      <c r="G33" s="79">
        <f t="shared" ca="1" si="6"/>
        <v>-18655.88888888892</v>
      </c>
      <c r="H33" s="148"/>
      <c r="J33" s="133">
        <f ca="1"/>
        <v>45860</v>
      </c>
      <c r="K33" s="46">
        <f ca="1"/>
        <v>51.104999999999997</v>
      </c>
      <c r="L33" s="52">
        <f ca="1"/>
        <v>45938</v>
      </c>
      <c r="M33" s="59">
        <f ca="1"/>
        <v>148.79</v>
      </c>
    </row>
    <row r="34" spans="1:13" ht="14.4" hidden="1" customHeight="1" x14ac:dyDescent="0.3">
      <c r="A34" s="128">
        <v>45963</v>
      </c>
      <c r="B34" s="45">
        <f t="shared" ca="1" si="0"/>
        <v>52.591000000000001</v>
      </c>
      <c r="C34" s="31">
        <f t="shared" ca="1" si="2"/>
        <v>540.00000000002046</v>
      </c>
      <c r="D34" s="32">
        <f t="shared" si="3"/>
        <v>83333.333333333328</v>
      </c>
      <c r="E34" s="45">
        <f t="shared" ca="1" si="1"/>
        <v>108.38</v>
      </c>
      <c r="F34" s="31">
        <f t="shared" ca="1" si="4"/>
        <v>-99057.000000000044</v>
      </c>
      <c r="G34" s="79">
        <f t="shared" ca="1" si="6"/>
        <v>-15183.666666666701</v>
      </c>
      <c r="H34" s="148"/>
      <c r="J34" s="133">
        <f ca="1"/>
        <v>45861</v>
      </c>
      <c r="K34" s="46">
        <f ca="1"/>
        <v>50.115000000000002</v>
      </c>
      <c r="L34" s="52">
        <f ca="1"/>
        <v>45939</v>
      </c>
      <c r="M34" s="59">
        <f ca="1"/>
        <v>161.04</v>
      </c>
    </row>
    <row r="35" spans="1:13" ht="14.4" hidden="1" customHeight="1" x14ac:dyDescent="0.3">
      <c r="A35" s="128">
        <v>45964</v>
      </c>
      <c r="B35" s="45">
        <f t="shared" ca="1" si="0"/>
        <v>53.07</v>
      </c>
      <c r="C35" s="31">
        <f t="shared" ca="1" si="2"/>
        <v>-28199.999999999931</v>
      </c>
      <c r="D35" s="32">
        <f t="shared" si="3"/>
        <v>86805.555555555562</v>
      </c>
      <c r="E35" s="45">
        <f t="shared" ca="1" si="1"/>
        <v>105.56</v>
      </c>
      <c r="F35" s="31">
        <f t="shared" ca="1" si="4"/>
        <v>-104979.00000000001</v>
      </c>
      <c r="G35" s="79">
        <f t="shared" ca="1" si="6"/>
        <v>-46373.44444444438</v>
      </c>
      <c r="H35" s="148"/>
      <c r="J35" s="133">
        <f ca="1"/>
        <v>45862</v>
      </c>
      <c r="K35" s="46">
        <f ca="1"/>
        <v>50.139000000000003</v>
      </c>
      <c r="L35" s="52">
        <f ca="1"/>
        <v>45940</v>
      </c>
      <c r="M35" s="59">
        <f ca="1"/>
        <v>267.07</v>
      </c>
    </row>
    <row r="36" spans="1:13" ht="14.4" hidden="1" customHeight="1" x14ac:dyDescent="0.3">
      <c r="A36" s="128">
        <v>45965</v>
      </c>
      <c r="B36" s="45">
        <f t="shared" ca="1" si="0"/>
        <v>53.07</v>
      </c>
      <c r="C36" s="31">
        <f t="shared" ca="1" si="2"/>
        <v>-28199.999999999931</v>
      </c>
      <c r="D36" s="32">
        <f t="shared" si="3"/>
        <v>90277.777777777766</v>
      </c>
      <c r="E36" s="45">
        <f t="shared" ca="1" si="1"/>
        <v>105.56</v>
      </c>
      <c r="F36" s="31">
        <f t="shared" ca="1" si="4"/>
        <v>-104979.00000000001</v>
      </c>
      <c r="G36" s="79">
        <f t="shared" ca="1" si="6"/>
        <v>-42901.222222222175</v>
      </c>
      <c r="H36" s="148"/>
      <c r="J36" s="133">
        <f ca="1"/>
        <v>45863</v>
      </c>
      <c r="K36" s="46">
        <f ca="1"/>
        <v>50.043999999999997</v>
      </c>
      <c r="L36" s="52">
        <f ca="1"/>
        <v>45943</v>
      </c>
      <c r="M36" s="59">
        <f ca="1"/>
        <v>195.86</v>
      </c>
    </row>
    <row r="37" spans="1:13" x14ac:dyDescent="0.3">
      <c r="A37" s="128">
        <v>45952</v>
      </c>
      <c r="B37" s="45">
        <f t="shared" ca="1" si="0"/>
        <v>53.048000000000002</v>
      </c>
      <c r="C37" s="31">
        <f t="shared" ca="1" si="2"/>
        <v>-26880.000000000018</v>
      </c>
      <c r="D37" s="32">
        <f t="shared" si="3"/>
        <v>45138.888888888883</v>
      </c>
      <c r="E37" s="45">
        <f t="shared" ca="1" si="1"/>
        <v>159.94999999999999</v>
      </c>
      <c r="F37" s="31">
        <f t="shared" ca="1" si="4"/>
        <v>9239.9999999999527</v>
      </c>
      <c r="G37" s="79">
        <f t="shared" ca="1" si="6"/>
        <v>27498.888888888818</v>
      </c>
      <c r="H37" s="148"/>
      <c r="J37" s="133">
        <f ca="1"/>
        <v>45866</v>
      </c>
      <c r="K37" s="46">
        <f ca="1"/>
        <v>50.25</v>
      </c>
      <c r="L37" s="52">
        <f ca="1"/>
        <v>45944</v>
      </c>
      <c r="M37" s="59">
        <f ca="1"/>
        <v>220.74</v>
      </c>
    </row>
    <row r="38" spans="1:13" x14ac:dyDescent="0.3">
      <c r="A38" s="128">
        <v>45953</v>
      </c>
      <c r="B38" s="45">
        <f t="shared" ca="1" si="0"/>
        <v>52.078000000000003</v>
      </c>
      <c r="C38" s="31">
        <f t="shared" ca="1" si="2"/>
        <v>31319.999999999913</v>
      </c>
      <c r="D38" s="32">
        <f t="shared" si="3"/>
        <v>48611.111111111117</v>
      </c>
      <c r="E38" s="45">
        <f t="shared" ca="1" si="1"/>
        <v>138.02000000000001</v>
      </c>
      <c r="F38" s="31">
        <f t="shared" ca="1" si="4"/>
        <v>-36813</v>
      </c>
      <c r="G38" s="79">
        <f t="shared" ref="G38" ca="1" si="7">C38+D38+F38</f>
        <v>43118.111111111037</v>
      </c>
      <c r="H38" s="148"/>
      <c r="J38" s="133">
        <f ca="1"/>
        <v>45867</v>
      </c>
      <c r="K38" s="46">
        <f ca="1"/>
        <v>50.933999999999997</v>
      </c>
      <c r="L38" s="52">
        <f ca="1"/>
        <v>45945</v>
      </c>
      <c r="M38" s="59">
        <f ca="1"/>
        <v>191.5</v>
      </c>
    </row>
    <row r="39" spans="1:13" x14ac:dyDescent="0.3">
      <c r="A39" s="128">
        <v>45954</v>
      </c>
      <c r="B39" s="45">
        <f t="shared" ca="1" si="0"/>
        <v>51.530999999999999</v>
      </c>
      <c r="C39" s="31">
        <f t="shared" ca="1" si="2"/>
        <v>64140.00000000016</v>
      </c>
      <c r="D39" s="32">
        <f t="shared" si="3"/>
        <v>52083.333333333328</v>
      </c>
      <c r="E39" s="45">
        <f t="shared" ca="1" si="1"/>
        <v>115.55</v>
      </c>
      <c r="F39" s="31">
        <f t="shared" ca="1" si="4"/>
        <v>-84000.000000000029</v>
      </c>
      <c r="G39" s="79">
        <f t="shared" ref="G39" ca="1" si="8">C39+D39+F39</f>
        <v>32223.333333333459</v>
      </c>
      <c r="H39" s="149"/>
      <c r="J39" s="133">
        <f ca="1"/>
        <v>45868</v>
      </c>
      <c r="K39" s="46">
        <f ca="1"/>
        <v>50.837000000000003</v>
      </c>
      <c r="L39" s="52">
        <f ca="1"/>
        <v>45946</v>
      </c>
      <c r="M39" s="59">
        <f ca="1"/>
        <v>231.8</v>
      </c>
    </row>
    <row r="40" spans="1:13" x14ac:dyDescent="0.3">
      <c r="A40" s="36">
        <v>45957</v>
      </c>
      <c r="B40" s="45">
        <f t="shared" ca="1" si="0"/>
        <v>50.222000000000001</v>
      </c>
      <c r="C40" s="31">
        <f t="shared" ca="1" si="2"/>
        <v>142680</v>
      </c>
      <c r="D40" s="32">
        <f t="shared" si="3"/>
        <v>62500</v>
      </c>
      <c r="E40" s="45">
        <f t="shared" ca="1" si="1"/>
        <v>90.52</v>
      </c>
      <c r="F40" s="31">
        <f t="shared" ca="1" si="4"/>
        <v>-136563.00000000003</v>
      </c>
      <c r="G40" s="79">
        <f t="shared" ref="G40" ca="1" si="9">C40+D40+F40</f>
        <v>68616.999999999971</v>
      </c>
      <c r="H40" s="149"/>
      <c r="J40" s="133">
        <f ca="1"/>
        <v>45869</v>
      </c>
      <c r="K40" s="46">
        <f ca="1"/>
        <v>51.338999999999999</v>
      </c>
      <c r="L40" s="52">
        <f ca="1"/>
        <v>45947</v>
      </c>
      <c r="M40" s="59">
        <f ca="1"/>
        <v>238.94</v>
      </c>
    </row>
    <row r="41" spans="1:13" x14ac:dyDescent="0.3">
      <c r="A41" s="36">
        <v>45958</v>
      </c>
      <c r="B41" s="45">
        <f t="shared" ca="1" si="0"/>
        <v>50.74</v>
      </c>
      <c r="C41" s="31">
        <f t="shared" ca="1" si="2"/>
        <v>111599.99999999999</v>
      </c>
      <c r="D41" s="32">
        <f t="shared" si="3"/>
        <v>65972.222222222234</v>
      </c>
      <c r="E41" s="45">
        <f t="shared" ca="1" si="1"/>
        <v>91.34</v>
      </c>
      <c r="F41" s="31">
        <f t="shared" ca="1" si="4"/>
        <v>-134841</v>
      </c>
      <c r="G41" s="79">
        <f t="shared" ref="G41" ca="1" si="10">C41+D41+F41</f>
        <v>42731.222222222219</v>
      </c>
      <c r="H41" s="149"/>
      <c r="J41" s="133">
        <f ca="1"/>
        <v>45870</v>
      </c>
      <c r="K41" s="46">
        <f ca="1"/>
        <v>53.94</v>
      </c>
      <c r="L41" s="52">
        <f ca="1"/>
        <v>45950</v>
      </c>
      <c r="M41" s="59">
        <f ca="1"/>
        <v>147.07</v>
      </c>
    </row>
    <row r="42" spans="1:13" x14ac:dyDescent="0.3">
      <c r="A42" s="36">
        <v>45959</v>
      </c>
      <c r="B42" s="45">
        <f t="shared" ca="1" si="0"/>
        <v>51.082999999999998</v>
      </c>
      <c r="C42" s="31">
        <f t="shared" ref="C42" ca="1" si="11">-1*(B42-$B$14)*$B$8*$B$5*10^(-4)</f>
        <v>91020.000000000189</v>
      </c>
      <c r="D42" s="32">
        <f t="shared" ref="D42" si="12">(A42-$A$14)/360*$B$6*$B$5</f>
        <v>69444.444444444438</v>
      </c>
      <c r="E42" s="45">
        <f t="shared" ca="1" si="1"/>
        <v>100.01</v>
      </c>
      <c r="F42" s="31">
        <f t="shared" ref="F42" ca="1" si="13">(E42-$E$14)*$C$5*100</f>
        <v>-116634.00000000001</v>
      </c>
      <c r="G42" s="79">
        <f t="shared" ref="G42" ca="1" si="14">C42+D42+F42</f>
        <v>43830.444444444598</v>
      </c>
      <c r="H42" s="149"/>
      <c r="J42" s="133">
        <f ca="1"/>
        <v>45873</v>
      </c>
      <c r="K42" s="46">
        <f ca="1"/>
        <v>51.886000000000003</v>
      </c>
      <c r="L42" s="52">
        <f ca="1"/>
        <v>45951</v>
      </c>
      <c r="M42" s="59">
        <f ca="1"/>
        <v>148.41</v>
      </c>
    </row>
    <row r="43" spans="1:13" x14ac:dyDescent="0.3">
      <c r="A43" s="36">
        <v>45960</v>
      </c>
      <c r="B43" s="45">
        <f t="shared" ca="1" si="0"/>
        <v>51.795000000000002</v>
      </c>
      <c r="C43" s="31">
        <f t="shared" ref="C43:C44" ca="1" si="15">-1*(B43-$B$14)*$B$8*$B$5*10^(-4)</f>
        <v>48299.999999999985</v>
      </c>
      <c r="D43" s="32">
        <f t="shared" ref="D43:D44" si="16">(A43-$A$14)/360*$B$6*$B$5</f>
        <v>72916.666666666672</v>
      </c>
      <c r="E43" s="45">
        <f t="shared" ca="1" si="1"/>
        <v>107.1</v>
      </c>
      <c r="F43" s="31">
        <f t="shared" ref="F43:F44" ca="1" si="17">(E43-$E$14)*$C$5*100</f>
        <v>-101745.00000000004</v>
      </c>
      <c r="G43" s="79">
        <f t="shared" ref="G43:G44" ca="1" si="18">C43+D43+F43</f>
        <v>19471.666666666613</v>
      </c>
      <c r="H43" s="149"/>
      <c r="J43" s="133">
        <f ca="1"/>
        <v>45874</v>
      </c>
      <c r="K43" s="46">
        <f ca="1"/>
        <v>52.518999999999998</v>
      </c>
      <c r="L43" s="52">
        <f ca="1"/>
        <v>45952</v>
      </c>
      <c r="M43" s="59">
        <f ca="1"/>
        <v>159.94999999999999</v>
      </c>
    </row>
    <row r="44" spans="1:13" x14ac:dyDescent="0.3">
      <c r="A44" s="36">
        <v>45961</v>
      </c>
      <c r="B44" s="45">
        <f>$B$10</f>
        <v>53.32555</v>
      </c>
      <c r="C44" s="31">
        <f t="shared" si="15"/>
        <v>-43532.999999999898</v>
      </c>
      <c r="D44" s="32">
        <f t="shared" si="16"/>
        <v>76388.888888888891</v>
      </c>
      <c r="E44" s="45">
        <f>$C$10</f>
        <v>105.56</v>
      </c>
      <c r="F44" s="31">
        <f t="shared" si="17"/>
        <v>-104979.00000000001</v>
      </c>
      <c r="G44" s="79">
        <f t="shared" si="18"/>
        <v>-72123.111111111022</v>
      </c>
      <c r="H44" s="149"/>
      <c r="J44" s="133">
        <f ca="1"/>
        <v>45875</v>
      </c>
      <c r="K44" s="46">
        <f ca="1"/>
        <v>52.03</v>
      </c>
      <c r="L44" s="52">
        <f ca="1"/>
        <v>45953</v>
      </c>
      <c r="M44" s="59">
        <f ca="1"/>
        <v>138.02000000000001</v>
      </c>
    </row>
    <row r="45" spans="1:13" x14ac:dyDescent="0.3">
      <c r="A45" s="36">
        <v>45964</v>
      </c>
      <c r="B45" s="45"/>
      <c r="C45" s="31"/>
      <c r="D45" s="32"/>
      <c r="E45" s="45"/>
      <c r="F45" s="31"/>
      <c r="G45" s="79"/>
      <c r="H45" s="149"/>
      <c r="J45" s="133">
        <f ca="1"/>
        <v>45876</v>
      </c>
      <c r="K45" s="46">
        <f ca="1"/>
        <v>51.976999999999997</v>
      </c>
      <c r="L45" s="52">
        <f ca="1"/>
        <v>45954</v>
      </c>
      <c r="M45" s="59">
        <f ca="1"/>
        <v>115.55</v>
      </c>
    </row>
    <row r="46" spans="1:13" x14ac:dyDescent="0.3">
      <c r="A46" s="36">
        <v>45965</v>
      </c>
      <c r="B46" s="45"/>
      <c r="C46" s="31"/>
      <c r="D46" s="32"/>
      <c r="E46" s="45"/>
      <c r="F46" s="31"/>
      <c r="G46" s="79"/>
      <c r="H46" s="149"/>
      <c r="J46" s="133">
        <f ca="1"/>
        <v>45877</v>
      </c>
      <c r="K46" s="46">
        <f ca="1"/>
        <v>51.043999999999997</v>
      </c>
      <c r="L46" s="52">
        <f ca="1"/>
        <v>45957</v>
      </c>
      <c r="M46" s="59">
        <f ca="1"/>
        <v>90.52</v>
      </c>
    </row>
    <row r="47" spans="1:13" x14ac:dyDescent="0.3">
      <c r="A47" s="36">
        <v>45966</v>
      </c>
      <c r="B47" s="45"/>
      <c r="C47" s="31"/>
      <c r="D47" s="32"/>
      <c r="E47" s="45"/>
      <c r="F47" s="31"/>
      <c r="G47" s="79"/>
      <c r="H47" s="149"/>
      <c r="J47" s="133">
        <f ca="1"/>
        <v>45880</v>
      </c>
      <c r="K47" s="46">
        <f ca="1"/>
        <v>51.491999999999997</v>
      </c>
      <c r="L47" s="52">
        <f ca="1"/>
        <v>45958</v>
      </c>
      <c r="M47" s="59">
        <f ca="1"/>
        <v>91.34</v>
      </c>
    </row>
    <row r="48" spans="1:13" x14ac:dyDescent="0.3">
      <c r="A48" s="36">
        <v>45967</v>
      </c>
      <c r="B48" s="45"/>
      <c r="C48" s="31"/>
      <c r="D48" s="32"/>
      <c r="E48" s="45"/>
      <c r="F48" s="31"/>
      <c r="G48" s="79"/>
      <c r="H48" s="149"/>
      <c r="J48" s="133">
        <f ca="1"/>
        <v>45881</v>
      </c>
      <c r="K48" s="46">
        <f ca="1"/>
        <v>50.103999999999999</v>
      </c>
      <c r="L48" s="52">
        <f ca="1"/>
        <v>45959</v>
      </c>
      <c r="M48" s="59">
        <f ca="1"/>
        <v>100.01</v>
      </c>
    </row>
    <row r="49" spans="1:13" x14ac:dyDescent="0.3">
      <c r="A49" s="36">
        <v>45968</v>
      </c>
      <c r="B49" s="45"/>
      <c r="C49" s="31"/>
      <c r="D49" s="32"/>
      <c r="E49" s="45"/>
      <c r="F49" s="31"/>
      <c r="G49" s="79"/>
      <c r="H49" s="149"/>
      <c r="J49" s="133">
        <f ca="1"/>
        <v>45882</v>
      </c>
      <c r="K49" s="46">
        <f ca="1"/>
        <v>49.718000000000004</v>
      </c>
      <c r="L49" s="52">
        <f ca="1"/>
        <v>45960</v>
      </c>
      <c r="M49" s="59">
        <f ca="1"/>
        <v>107.1</v>
      </c>
    </row>
    <row r="50" spans="1:13" x14ac:dyDescent="0.3">
      <c r="A50" s="36">
        <v>45969</v>
      </c>
      <c r="B50" s="45"/>
      <c r="C50" s="31"/>
      <c r="D50" s="32"/>
      <c r="E50" s="45"/>
      <c r="F50" s="31"/>
      <c r="G50" s="79"/>
      <c r="H50" s="149"/>
      <c r="J50" s="133">
        <f ca="1"/>
        <v>45883</v>
      </c>
      <c r="K50" s="46">
        <f ca="1"/>
        <v>49.960999999999999</v>
      </c>
      <c r="L50" s="52">
        <f ca="1"/>
        <v>45961</v>
      </c>
      <c r="M50" s="59">
        <f ca="1"/>
        <v>108.38</v>
      </c>
    </row>
    <row r="51" spans="1:13" x14ac:dyDescent="0.3">
      <c r="A51" s="36">
        <v>45970</v>
      </c>
      <c r="B51" s="45"/>
      <c r="C51" s="31"/>
      <c r="D51" s="32"/>
      <c r="E51" s="45"/>
      <c r="F51" s="31"/>
      <c r="G51" s="79"/>
      <c r="H51" s="149"/>
      <c r="J51" s="133">
        <f ca="1"/>
        <v>45884</v>
      </c>
      <c r="K51" s="46">
        <f ca="1"/>
        <v>50.036000000000001</v>
      </c>
      <c r="L51" s="52">
        <f ca="1"/>
        <v>45964</v>
      </c>
      <c r="M51" s="59">
        <f ca="1"/>
        <v>105.56</v>
      </c>
    </row>
    <row r="52" spans="1:13" x14ac:dyDescent="0.3">
      <c r="A52" s="36"/>
      <c r="B52" s="45"/>
      <c r="C52" s="31"/>
      <c r="D52" s="32"/>
      <c r="E52" s="45"/>
      <c r="F52" s="31"/>
      <c r="G52" s="79"/>
      <c r="H52" s="149"/>
      <c r="J52" s="133">
        <f ca="1"/>
        <v>45887</v>
      </c>
      <c r="K52" s="46">
        <f ca="1"/>
        <v>50.034999999999997</v>
      </c>
    </row>
    <row r="53" spans="1:13" x14ac:dyDescent="0.3">
      <c r="A53" s="36"/>
      <c r="B53" s="45"/>
      <c r="C53" s="31"/>
      <c r="D53" s="32"/>
      <c r="E53" s="45"/>
      <c r="F53" s="31"/>
      <c r="G53" s="79"/>
      <c r="H53" s="149"/>
      <c r="J53" s="133">
        <f ca="1"/>
        <v>45888</v>
      </c>
      <c r="K53" s="46">
        <f ca="1"/>
        <v>50.387999999999998</v>
      </c>
    </row>
    <row r="54" spans="1:13" x14ac:dyDescent="0.3">
      <c r="A54" s="36"/>
      <c r="B54" s="45"/>
      <c r="C54" s="31"/>
      <c r="D54" s="32"/>
      <c r="E54" s="45"/>
      <c r="F54" s="31"/>
      <c r="G54" s="79"/>
      <c r="H54" s="149"/>
      <c r="J54" s="133">
        <f ca="1"/>
        <v>45889</v>
      </c>
      <c r="K54" s="46">
        <f ca="1"/>
        <v>50.752000000000002</v>
      </c>
    </row>
    <row r="55" spans="1:13" x14ac:dyDescent="0.3">
      <c r="B55" s="45"/>
      <c r="C55" s="31"/>
      <c r="D55" s="5"/>
      <c r="E55" s="45"/>
      <c r="F55" s="1"/>
      <c r="G55" s="78"/>
      <c r="H55" s="149"/>
      <c r="J55" s="133">
        <f ca="1"/>
        <v>45890</v>
      </c>
      <c r="K55" s="46">
        <f ca="1"/>
        <v>51.588000000000001</v>
      </c>
    </row>
    <row r="56" spans="1:13" x14ac:dyDescent="0.3">
      <c r="A56" s="36"/>
      <c r="B56" s="57"/>
      <c r="C56" s="58"/>
      <c r="D56" s="34"/>
      <c r="E56" s="57"/>
      <c r="G56" s="80"/>
      <c r="H56" s="150"/>
      <c r="J56" s="133">
        <f ca="1"/>
        <v>45891</v>
      </c>
      <c r="K56" s="59">
        <f ca="1"/>
        <v>49.064999999999998</v>
      </c>
    </row>
    <row r="57" spans="1:13" ht="15" thickBot="1" x14ac:dyDescent="0.35">
      <c r="A57" s="36"/>
      <c r="B57" s="114"/>
      <c r="C57" s="67"/>
      <c r="D57" s="13"/>
      <c r="E57" s="114"/>
      <c r="F57" s="12"/>
      <c r="G57" s="81"/>
      <c r="H57" s="150"/>
      <c r="J57" s="133">
        <f ca="1"/>
        <v>45894</v>
      </c>
      <c r="K57" s="59">
        <f ca="1"/>
        <v>49.643999999999998</v>
      </c>
    </row>
    <row r="58" spans="1:13" x14ac:dyDescent="0.3">
      <c r="J58" s="133">
        <f ca="1"/>
        <v>45895</v>
      </c>
      <c r="K58" s="59">
        <f ca="1"/>
        <v>49.65</v>
      </c>
    </row>
    <row r="59" spans="1:13" x14ac:dyDescent="0.3">
      <c r="J59" s="133">
        <f ca="1"/>
        <v>45896</v>
      </c>
      <c r="K59" s="59">
        <f ca="1"/>
        <v>50.3</v>
      </c>
    </row>
    <row r="60" spans="1:13" x14ac:dyDescent="0.3">
      <c r="J60" s="133">
        <f ca="1"/>
        <v>45897</v>
      </c>
      <c r="K60" s="59">
        <f ca="1"/>
        <v>50.12</v>
      </c>
    </row>
    <row r="61" spans="1:13" x14ac:dyDescent="0.3">
      <c r="J61" s="133">
        <f ca="1"/>
        <v>45898</v>
      </c>
      <c r="K61" s="59">
        <f ca="1"/>
        <v>50.957999999999998</v>
      </c>
    </row>
    <row r="62" spans="1:13" x14ac:dyDescent="0.3">
      <c r="J62" s="133">
        <f ca="1"/>
        <v>45902</v>
      </c>
      <c r="K62" s="59">
        <f ca="1"/>
        <v>51.023000000000003</v>
      </c>
    </row>
    <row r="63" spans="1:13" x14ac:dyDescent="0.3">
      <c r="J63" s="133">
        <f ca="1"/>
        <v>45903</v>
      </c>
      <c r="K63" s="59">
        <f ca="1"/>
        <v>50.9</v>
      </c>
    </row>
    <row r="64" spans="1:13" x14ac:dyDescent="0.3">
      <c r="J64" s="133">
        <f ca="1"/>
        <v>45904</v>
      </c>
      <c r="K64" s="59">
        <f ca="1"/>
        <v>49.542000000000002</v>
      </c>
    </row>
    <row r="65" spans="10:11" x14ac:dyDescent="0.3">
      <c r="J65" s="133">
        <f ca="1"/>
        <v>45905</v>
      </c>
      <c r="K65" s="59">
        <f ca="1"/>
        <v>49.9</v>
      </c>
    </row>
    <row r="66" spans="10:11" x14ac:dyDescent="0.3">
      <c r="J66" s="133">
        <f ca="1"/>
        <v>45908</v>
      </c>
      <c r="K66" s="59">
        <f ca="1"/>
        <v>49.997</v>
      </c>
    </row>
    <row r="67" spans="10:11" x14ac:dyDescent="0.3">
      <c r="J67" s="133">
        <f ca="1"/>
        <v>45909</v>
      </c>
      <c r="K67" s="59">
        <f ca="1"/>
        <v>49.539000000000001</v>
      </c>
    </row>
    <row r="68" spans="10:11" x14ac:dyDescent="0.3">
      <c r="J68" s="133">
        <f ca="1"/>
        <v>45910</v>
      </c>
      <c r="K68" s="59">
        <f ca="1"/>
        <v>48.988</v>
      </c>
    </row>
    <row r="69" spans="10:11" x14ac:dyDescent="0.3">
      <c r="J69" s="133">
        <f ca="1"/>
        <v>45911</v>
      </c>
      <c r="K69" s="59">
        <f ca="1"/>
        <v>47.709000000000003</v>
      </c>
    </row>
    <row r="70" spans="10:11" x14ac:dyDescent="0.3">
      <c r="J70" s="133">
        <f ca="1"/>
        <v>45912</v>
      </c>
      <c r="K70" s="59">
        <f ca="1"/>
        <v>47.848999999999997</v>
      </c>
    </row>
    <row r="71" spans="10:11" x14ac:dyDescent="0.3">
      <c r="J71" s="133">
        <f ca="1"/>
        <v>45915</v>
      </c>
      <c r="K71" s="59">
        <f ca="1"/>
        <v>46.994</v>
      </c>
    </row>
    <row r="72" spans="10:11" x14ac:dyDescent="0.3">
      <c r="J72" s="133">
        <f ca="1"/>
        <v>45916</v>
      </c>
      <c r="K72" s="59">
        <f ca="1"/>
        <v>47.453000000000003</v>
      </c>
    </row>
    <row r="73" spans="10:11" x14ac:dyDescent="0.3">
      <c r="J73" s="133">
        <f ca="1"/>
        <v>45917</v>
      </c>
      <c r="K73" s="59">
        <f ca="1"/>
        <v>47.76</v>
      </c>
    </row>
    <row r="74" spans="10:11" x14ac:dyDescent="0.3">
      <c r="J74" s="133">
        <f ca="1"/>
        <v>45918</v>
      </c>
      <c r="K74" s="59">
        <f ca="1"/>
        <v>46.95</v>
      </c>
    </row>
    <row r="75" spans="10:11" x14ac:dyDescent="0.3">
      <c r="J75" s="133">
        <f ca="1"/>
        <v>45919</v>
      </c>
      <c r="K75" s="59">
        <f ca="1"/>
        <v>47.262</v>
      </c>
    </row>
    <row r="76" spans="10:11" x14ac:dyDescent="0.3">
      <c r="J76" s="133">
        <f ca="1"/>
        <v>45922</v>
      </c>
      <c r="K76" s="59">
        <f ca="1"/>
        <v>51.720999999999997</v>
      </c>
    </row>
    <row r="77" spans="10:11" x14ac:dyDescent="0.3">
      <c r="J77" s="133">
        <f ca="1"/>
        <v>45923</v>
      </c>
      <c r="K77" s="59">
        <f ca="1"/>
        <v>52.152000000000001</v>
      </c>
    </row>
    <row r="78" spans="10:11" x14ac:dyDescent="0.3">
      <c r="J78" s="133">
        <f ca="1"/>
        <v>45924</v>
      </c>
      <c r="K78" s="59">
        <f ca="1"/>
        <v>52.631</v>
      </c>
    </row>
    <row r="79" spans="10:11" x14ac:dyDescent="0.3">
      <c r="J79" s="133">
        <f ca="1"/>
        <v>45925</v>
      </c>
      <c r="K79" s="59">
        <f ca="1"/>
        <v>53.494999999999997</v>
      </c>
    </row>
    <row r="80" spans="10:11" x14ac:dyDescent="0.3">
      <c r="J80" s="133">
        <f ca="1"/>
        <v>45926</v>
      </c>
      <c r="K80" s="59">
        <f ca="1"/>
        <v>52.826000000000001</v>
      </c>
    </row>
    <row r="81" spans="10:11" x14ac:dyDescent="0.3">
      <c r="J81" s="133">
        <f ca="1"/>
        <v>45929</v>
      </c>
      <c r="K81" s="59">
        <f ca="1"/>
        <v>52.215000000000003</v>
      </c>
    </row>
    <row r="82" spans="10:11" x14ac:dyDescent="0.3">
      <c r="J82" s="133">
        <f ca="1"/>
        <v>45930</v>
      </c>
      <c r="K82" s="59">
        <f ca="1"/>
        <v>52.07</v>
      </c>
    </row>
    <row r="83" spans="10:11" x14ac:dyDescent="0.3">
      <c r="J83" s="133">
        <f ca="1"/>
        <v>45931</v>
      </c>
      <c r="K83" s="59">
        <f ca="1"/>
        <v>52.097999999999999</v>
      </c>
    </row>
    <row r="84" spans="10:11" x14ac:dyDescent="0.3">
      <c r="J84" s="133">
        <f ca="1"/>
        <v>45932</v>
      </c>
      <c r="K84" s="59">
        <f ca="1"/>
        <v>51.646000000000001</v>
      </c>
    </row>
    <row r="85" spans="10:11" x14ac:dyDescent="0.3">
      <c r="J85" s="133">
        <f ca="1"/>
        <v>45933</v>
      </c>
      <c r="K85" s="59">
        <f ca="1"/>
        <v>51.488999999999997</v>
      </c>
    </row>
    <row r="86" spans="10:11" x14ac:dyDescent="0.3">
      <c r="J86" s="133">
        <f ca="1"/>
        <v>45936</v>
      </c>
      <c r="K86" s="59">
        <f ca="1"/>
        <v>50.904000000000003</v>
      </c>
    </row>
    <row r="87" spans="10:11" x14ac:dyDescent="0.3">
      <c r="J87" s="133">
        <f ca="1"/>
        <v>45937</v>
      </c>
      <c r="K87" s="59">
        <f ca="1"/>
        <v>51.424999999999997</v>
      </c>
    </row>
    <row r="88" spans="10:11" x14ac:dyDescent="0.3">
      <c r="J88" s="133">
        <f ca="1"/>
        <v>45938</v>
      </c>
      <c r="K88" s="59">
        <f ca="1"/>
        <v>51.866</v>
      </c>
    </row>
    <row r="89" spans="10:11" x14ac:dyDescent="0.3">
      <c r="J89" s="133">
        <f ca="1"/>
        <v>45939</v>
      </c>
      <c r="K89" s="59">
        <f ca="1"/>
        <v>52.597000000000001</v>
      </c>
    </row>
    <row r="90" spans="10:11" x14ac:dyDescent="0.3">
      <c r="J90" s="133">
        <f ca="1"/>
        <v>45940</v>
      </c>
      <c r="K90" s="59">
        <f ca="1"/>
        <v>56.701999999999998</v>
      </c>
    </row>
    <row r="91" spans="10:11" x14ac:dyDescent="0.3">
      <c r="J91" s="133">
        <f ca="1"/>
        <v>45944</v>
      </c>
      <c r="K91" s="59">
        <f ca="1"/>
        <v>53.369</v>
      </c>
    </row>
    <row r="92" spans="10:11" x14ac:dyDescent="0.3">
      <c r="J92" s="133">
        <f ca="1"/>
        <v>45945</v>
      </c>
      <c r="K92" s="59">
        <f ca="1"/>
        <v>52.787999999999997</v>
      </c>
    </row>
    <row r="93" spans="10:11" x14ac:dyDescent="0.3">
      <c r="J93" s="133">
        <f ca="1"/>
        <v>45946</v>
      </c>
      <c r="K93" s="59">
        <f ca="1"/>
        <v>54.866</v>
      </c>
    </row>
    <row r="94" spans="10:11" x14ac:dyDescent="0.3">
      <c r="J94" s="133">
        <f ca="1"/>
        <v>45947</v>
      </c>
      <c r="K94" s="59">
        <f ca="1"/>
        <v>53.643999999999998</v>
      </c>
    </row>
    <row r="95" spans="10:11" x14ac:dyDescent="0.3">
      <c r="J95" s="133">
        <f ca="1"/>
        <v>45950</v>
      </c>
      <c r="K95" s="59">
        <f ca="1"/>
        <v>52.158000000000001</v>
      </c>
    </row>
    <row r="96" spans="10:11" x14ac:dyDescent="0.3">
      <c r="J96" s="133">
        <f ca="1"/>
        <v>45951</v>
      </c>
      <c r="K96" s="59">
        <f ca="1"/>
        <v>52.853000000000002</v>
      </c>
    </row>
    <row r="97" spans="10:11" x14ac:dyDescent="0.3">
      <c r="J97" s="133">
        <f ca="1"/>
        <v>45952</v>
      </c>
      <c r="K97" s="59">
        <f ca="1"/>
        <v>53.048000000000002</v>
      </c>
    </row>
    <row r="98" spans="10:11" x14ac:dyDescent="0.3">
      <c r="J98" s="133">
        <f ca="1"/>
        <v>45953</v>
      </c>
      <c r="K98" s="59">
        <f ca="1"/>
        <v>52.078000000000003</v>
      </c>
    </row>
    <row r="99" spans="10:11" x14ac:dyDescent="0.3">
      <c r="J99" s="133">
        <f ca="1"/>
        <v>45954</v>
      </c>
      <c r="K99" s="59">
        <f ca="1"/>
        <v>51.530999999999999</v>
      </c>
    </row>
    <row r="100" spans="10:11" x14ac:dyDescent="0.3">
      <c r="J100" s="133">
        <f ca="1"/>
        <v>45957</v>
      </c>
      <c r="K100" s="59">
        <f ca="1"/>
        <v>50.222000000000001</v>
      </c>
    </row>
    <row r="101" spans="10:11" x14ac:dyDescent="0.3">
      <c r="J101" s="133">
        <f ca="1"/>
        <v>45958</v>
      </c>
      <c r="K101" s="59">
        <f ca="1"/>
        <v>50.74</v>
      </c>
    </row>
    <row r="102" spans="10:11" x14ac:dyDescent="0.3">
      <c r="J102" s="133">
        <f ca="1"/>
        <v>45959</v>
      </c>
      <c r="K102" s="59">
        <f ca="1"/>
        <v>51.082999999999998</v>
      </c>
    </row>
    <row r="103" spans="10:11" x14ac:dyDescent="0.3">
      <c r="J103" s="133">
        <f ca="1"/>
        <v>45960</v>
      </c>
      <c r="K103" s="59">
        <f ca="1"/>
        <v>51.795000000000002</v>
      </c>
    </row>
    <row r="104" spans="10:11" x14ac:dyDescent="0.3">
      <c r="J104" s="133">
        <f ca="1"/>
        <v>45961</v>
      </c>
      <c r="K104" s="59">
        <f ca="1"/>
        <v>52.591000000000001</v>
      </c>
    </row>
    <row r="105" spans="10:11" x14ac:dyDescent="0.3">
      <c r="J105" s="133">
        <f ca="1"/>
        <v>45964</v>
      </c>
      <c r="K105" s="59">
        <f ca="1"/>
        <v>53.07</v>
      </c>
    </row>
  </sheetData>
  <mergeCells count="2">
    <mergeCell ref="B12:D12"/>
    <mergeCell ref="E12:F12"/>
  </mergeCells>
  <conditionalFormatting sqref="G13:H38 G39:G54">
    <cfRule type="cellIs" dxfId="8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0786-03F6-479F-A251-6C254BA0859B}">
  <dimension ref="A1:O105"/>
  <sheetViews>
    <sheetView zoomScale="80" zoomScaleNormal="80" workbookViewId="0">
      <selection activeCell="A16" sqref="A16:A22"/>
    </sheetView>
  </sheetViews>
  <sheetFormatPr defaultColWidth="9.109375" defaultRowHeight="14.4" x14ac:dyDescent="0.3"/>
  <cols>
    <col min="1" max="1" width="15.44140625" style="3" bestFit="1" customWidth="1"/>
    <col min="2" max="2" width="21.33203125" style="3" bestFit="1" customWidth="1"/>
    <col min="3" max="3" width="19.109375" style="3" bestFit="1" customWidth="1"/>
    <col min="4" max="4" width="11.33203125" style="58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33" hidden="1" customWidth="1"/>
    <col min="11" max="11" width="10.6640625" style="59" hidden="1" customWidth="1"/>
    <col min="12" max="12" width="10.5546875" style="52" hidden="1" customWidth="1"/>
    <col min="13" max="13" width="10.5546875" style="59" hidden="1" customWidth="1"/>
    <col min="14" max="14" width="8" style="3" bestFit="1" customWidth="1"/>
    <col min="15" max="15" width="10.5546875" style="3" bestFit="1" customWidth="1"/>
    <col min="16" max="16384" width="9.109375" style="3"/>
  </cols>
  <sheetData>
    <row r="1" spans="1:15" ht="15" thickBot="1" x14ac:dyDescent="0.35">
      <c r="A1" s="1"/>
      <c r="B1" s="1"/>
      <c r="C1" s="1"/>
      <c r="D1" s="31"/>
      <c r="J1" s="52">
        <f ca="1">TODAY()-150</f>
        <v>45814</v>
      </c>
    </row>
    <row r="2" spans="1:15" ht="15" thickBot="1" x14ac:dyDescent="0.35">
      <c r="A2" s="14"/>
      <c r="B2" s="27" t="s">
        <v>0</v>
      </c>
      <c r="C2" s="28" t="s">
        <v>1</v>
      </c>
      <c r="D2" s="31"/>
      <c r="J2" s="99" t="s">
        <v>0</v>
      </c>
      <c r="L2" s="101" t="s">
        <v>1</v>
      </c>
    </row>
    <row r="3" spans="1:15" x14ac:dyDescent="0.3">
      <c r="A3" s="14" t="s">
        <v>32</v>
      </c>
      <c r="B3" s="15" t="s">
        <v>103</v>
      </c>
      <c r="C3" s="5" t="s">
        <v>104</v>
      </c>
      <c r="D3" s="31"/>
      <c r="J3" s="52" cm="1">
        <f t="array" aca="1" ref="J3:K105" ca="1">_xll.BDH($B$4, "PX_LAST, ", J$1, "")</f>
        <v>45814</v>
      </c>
      <c r="K3" s="59">
        <f ca="1"/>
        <v>54.006</v>
      </c>
      <c r="L3" s="52" cm="1">
        <f t="array" aca="1" ref="L3:M28" ca="1">_xll.BDH($C$4, "PX_LAST, ", J$1, "")</f>
        <v>45835</v>
      </c>
      <c r="M3" s="59">
        <f ca="1"/>
        <v>627.22</v>
      </c>
    </row>
    <row r="4" spans="1:15" ht="30" customHeight="1" x14ac:dyDescent="0.3">
      <c r="A4" s="15" t="s">
        <v>33</v>
      </c>
      <c r="B4" s="17" t="s">
        <v>105</v>
      </c>
      <c r="C4" s="6" t="s">
        <v>188</v>
      </c>
      <c r="D4" s="31"/>
      <c r="J4" s="52">
        <f ca="1"/>
        <v>45817</v>
      </c>
      <c r="K4" s="59">
        <f ca="1"/>
        <v>53.912999999999997</v>
      </c>
      <c r="L4" s="52">
        <f ca="1"/>
        <v>45882</v>
      </c>
      <c r="M4" s="59">
        <f ca="1"/>
        <v>380.68</v>
      </c>
    </row>
    <row r="5" spans="1:15" x14ac:dyDescent="0.3">
      <c r="A5" s="15" t="s">
        <v>8</v>
      </c>
      <c r="B5" s="18">
        <f>125*10^6</f>
        <v>125000000</v>
      </c>
      <c r="C5" s="32">
        <v>20</v>
      </c>
      <c r="D5" s="31"/>
      <c r="J5" s="52">
        <f ca="1"/>
        <v>45818</v>
      </c>
      <c r="K5" s="59">
        <f ca="1"/>
        <v>53.087000000000003</v>
      </c>
      <c r="L5" s="52">
        <f ca="1"/>
        <v>45883</v>
      </c>
      <c r="M5" s="59">
        <f ca="1"/>
        <v>381.54</v>
      </c>
    </row>
    <row r="6" spans="1:15" x14ac:dyDescent="0.3">
      <c r="A6" s="15" t="s">
        <v>10</v>
      </c>
      <c r="B6" s="19">
        <v>0.01</v>
      </c>
      <c r="C6" s="10">
        <v>0</v>
      </c>
      <c r="D6" s="31"/>
      <c r="J6" s="52">
        <f ca="1"/>
        <v>45819</v>
      </c>
      <c r="K6" s="59">
        <f ca="1"/>
        <v>53.267000000000003</v>
      </c>
      <c r="L6" s="52">
        <f ca="1"/>
        <v>45887</v>
      </c>
      <c r="M6" s="59">
        <f ca="1"/>
        <v>388.24</v>
      </c>
    </row>
    <row r="7" spans="1:15" x14ac:dyDescent="0.3">
      <c r="A7" s="15" t="s">
        <v>12</v>
      </c>
      <c r="B7" s="19">
        <v>0</v>
      </c>
      <c r="C7" s="10">
        <v>0</v>
      </c>
      <c r="D7" s="31"/>
      <c r="J7" s="53">
        <f ca="1"/>
        <v>45820</v>
      </c>
      <c r="K7" s="59">
        <f ca="1"/>
        <v>53.845999999999997</v>
      </c>
      <c r="L7" s="52">
        <f ca="1"/>
        <v>45912</v>
      </c>
      <c r="M7" s="59">
        <f ca="1"/>
        <v>283.77</v>
      </c>
      <c r="O7" s="52"/>
    </row>
    <row r="8" spans="1:15" x14ac:dyDescent="0.3">
      <c r="A8" s="15" t="s">
        <v>14</v>
      </c>
      <c r="B8" s="15">
        <v>4.8</v>
      </c>
      <c r="C8" s="5"/>
      <c r="D8" s="31"/>
      <c r="E8" s="53"/>
      <c r="G8" s="52"/>
      <c r="H8" s="52"/>
      <c r="J8" s="52">
        <f ca="1"/>
        <v>45821</v>
      </c>
      <c r="K8" s="59">
        <f ca="1"/>
        <v>55.892000000000003</v>
      </c>
      <c r="L8" s="52">
        <f ca="1"/>
        <v>45917</v>
      </c>
      <c r="M8" s="59">
        <f ca="1"/>
        <v>292.10000000000002</v>
      </c>
    </row>
    <row r="9" spans="1:15" x14ac:dyDescent="0.3">
      <c r="A9" s="15" t="s">
        <v>15</v>
      </c>
      <c r="B9" s="15" t="s">
        <v>23</v>
      </c>
      <c r="C9" s="5"/>
      <c r="D9" s="31"/>
      <c r="E9" s="53"/>
      <c r="G9" s="52"/>
      <c r="H9" s="52"/>
      <c r="J9" s="52">
        <f ca="1"/>
        <v>45824</v>
      </c>
      <c r="K9" s="59">
        <f ca="1"/>
        <v>54.283999999999999</v>
      </c>
      <c r="L9" s="52">
        <f ca="1"/>
        <v>45922</v>
      </c>
      <c r="M9" s="59">
        <f ca="1"/>
        <v>243.28</v>
      </c>
    </row>
    <row r="10" spans="1:15" ht="15" thickBot="1" x14ac:dyDescent="0.35">
      <c r="A10" s="16" t="s">
        <v>28</v>
      </c>
      <c r="B10" s="20" cm="1">
        <f t="array" ref="B10">_xll.BDP(B4,"PX_LAST")</f>
        <v>53.32555</v>
      </c>
      <c r="C10" s="13" cm="1">
        <f t="array" ref="C10">_xll.BDP(C4,"PX_LAST")</f>
        <v>169.03</v>
      </c>
      <c r="D10" s="31"/>
      <c r="E10" s="1"/>
      <c r="G10" s="52"/>
      <c r="H10" s="52"/>
      <c r="J10" s="52">
        <f ca="1"/>
        <v>45825</v>
      </c>
      <c r="K10" s="59">
        <f ca="1"/>
        <v>56.819000000000003</v>
      </c>
      <c r="L10" s="52">
        <f ca="1"/>
        <v>45923</v>
      </c>
      <c r="M10" s="59">
        <f ca="1"/>
        <v>268.75</v>
      </c>
    </row>
    <row r="11" spans="1:15" ht="15" thickBot="1" x14ac:dyDescent="0.35">
      <c r="A11" s="1"/>
      <c r="B11" s="1"/>
      <c r="C11" s="1"/>
      <c r="D11" s="31"/>
      <c r="E11" s="1"/>
      <c r="J11" s="52">
        <f ca="1"/>
        <v>45826</v>
      </c>
      <c r="K11" s="59">
        <f ca="1"/>
        <v>56.100999999999999</v>
      </c>
      <c r="L11" s="52">
        <f ca="1"/>
        <v>45932</v>
      </c>
      <c r="M11" s="59">
        <f ca="1"/>
        <v>228.05</v>
      </c>
    </row>
    <row r="12" spans="1:15" ht="15" thickBot="1" x14ac:dyDescent="0.35">
      <c r="A12" s="39" t="s">
        <v>22</v>
      </c>
      <c r="B12" s="169" t="s">
        <v>0</v>
      </c>
      <c r="C12" s="170"/>
      <c r="D12" s="171"/>
      <c r="E12" s="172" t="s">
        <v>1</v>
      </c>
      <c r="F12" s="174"/>
      <c r="G12" s="39" t="s">
        <v>16</v>
      </c>
      <c r="H12" s="1"/>
      <c r="J12" s="133">
        <f ca="1"/>
        <v>45828</v>
      </c>
      <c r="K12" s="46">
        <f ca="1"/>
        <v>56.012999999999998</v>
      </c>
      <c r="L12" s="52">
        <f ca="1"/>
        <v>45933</v>
      </c>
      <c r="M12" s="59">
        <f ca="1"/>
        <v>218.2</v>
      </c>
    </row>
    <row r="13" spans="1:15" ht="15" thickBot="1" x14ac:dyDescent="0.35">
      <c r="A13" s="16"/>
      <c r="B13" s="11" t="s">
        <v>24</v>
      </c>
      <c r="C13" s="49" t="s">
        <v>19</v>
      </c>
      <c r="D13" s="22" t="s">
        <v>20</v>
      </c>
      <c r="E13" s="11" t="s">
        <v>17</v>
      </c>
      <c r="F13" s="21" t="s">
        <v>21</v>
      </c>
      <c r="G13" s="96"/>
      <c r="H13" s="148"/>
      <c r="J13" s="133">
        <f ca="1"/>
        <v>45831</v>
      </c>
      <c r="K13" s="46">
        <f ca="1"/>
        <v>54.692</v>
      </c>
      <c r="L13" s="52">
        <f ca="1"/>
        <v>45936</v>
      </c>
      <c r="M13" s="59">
        <f ca="1"/>
        <v>216.6</v>
      </c>
    </row>
    <row r="14" spans="1:15" x14ac:dyDescent="0.3">
      <c r="A14" s="36">
        <v>45960</v>
      </c>
      <c r="B14" s="45">
        <v>51.55</v>
      </c>
      <c r="C14" s="31"/>
      <c r="D14" s="5"/>
      <c r="E14" s="45">
        <v>158</v>
      </c>
      <c r="F14" s="1"/>
      <c r="G14" s="79">
        <v>0</v>
      </c>
      <c r="H14" s="148"/>
      <c r="J14" s="133">
        <f ca="1"/>
        <v>45832</v>
      </c>
      <c r="K14" s="46">
        <f ca="1"/>
        <v>52.798999999999999</v>
      </c>
      <c r="L14" s="52">
        <f ca="1"/>
        <v>45938</v>
      </c>
      <c r="M14" s="59">
        <f ca="1"/>
        <v>213.2</v>
      </c>
    </row>
    <row r="15" spans="1:15" x14ac:dyDescent="0.3">
      <c r="A15" s="36">
        <v>45961</v>
      </c>
      <c r="B15" s="45">
        <f ca="1">VLOOKUP(A15,J:K,2)</f>
        <v>52.591000000000001</v>
      </c>
      <c r="C15" s="31">
        <f ca="1">-1*(B15-$B$14)*$B$8*$B$5*10^(-4)</f>
        <v>-62460.00000000024</v>
      </c>
      <c r="D15" s="32">
        <f>(A15-$A$14)/360*$B$6*$B$5</f>
        <v>3472.2222222222222</v>
      </c>
      <c r="E15" s="45">
        <f ca="1">VLOOKUP(A15,L:M,2)</f>
        <v>187.97</v>
      </c>
      <c r="F15" s="31">
        <f ca="1">(E15-$E$14)*$C$5*100</f>
        <v>59940</v>
      </c>
      <c r="G15" s="79">
        <f ca="1">C15+D15+F15</f>
        <v>952.22222222197888</v>
      </c>
      <c r="H15" s="148"/>
      <c r="J15" s="133">
        <f ca="1"/>
        <v>45833</v>
      </c>
      <c r="K15" s="46">
        <f ca="1"/>
        <v>53.402000000000001</v>
      </c>
      <c r="L15" s="52">
        <f ca="1"/>
        <v>45939</v>
      </c>
      <c r="M15" s="59">
        <f ca="1"/>
        <v>221.2</v>
      </c>
    </row>
    <row r="16" spans="1:15" x14ac:dyDescent="0.3">
      <c r="A16" s="36">
        <v>45964</v>
      </c>
      <c r="B16" s="45">
        <f>B10</f>
        <v>53.32555</v>
      </c>
      <c r="C16" s="31">
        <f>-1*(B16-$B$14)*$B$8*$B$5*10^(-4)</f>
        <v>-106533.00000000015</v>
      </c>
      <c r="D16" s="32">
        <f>(A16-$A$14)/360*$B$6*$B$5</f>
        <v>13888.888888888889</v>
      </c>
      <c r="E16" s="45">
        <f>C10</f>
        <v>169.03</v>
      </c>
      <c r="F16" s="31">
        <f>(E16-$E$14)*$C$5*100</f>
        <v>22060.000000000004</v>
      </c>
      <c r="G16" s="79">
        <f>C16+D16+F16</f>
        <v>-70584.111111111255</v>
      </c>
      <c r="H16" s="148"/>
      <c r="J16" s="133">
        <f ca="1"/>
        <v>45834</v>
      </c>
      <c r="K16" s="46">
        <f ca="1"/>
        <v>52.491999999999997</v>
      </c>
      <c r="L16" s="52">
        <f ca="1"/>
        <v>45940</v>
      </c>
      <c r="M16" s="59">
        <f ca="1"/>
        <v>211.4</v>
      </c>
    </row>
    <row r="17" spans="1:13" x14ac:dyDescent="0.3">
      <c r="A17" s="36">
        <v>45965</v>
      </c>
      <c r="B17" s="45"/>
      <c r="C17" s="31"/>
      <c r="D17" s="32"/>
      <c r="E17" s="45"/>
      <c r="F17" s="31"/>
      <c r="G17" s="79"/>
      <c r="H17" s="148"/>
      <c r="J17" s="133">
        <f ca="1"/>
        <v>45835</v>
      </c>
      <c r="K17" s="46">
        <f ca="1"/>
        <v>51.991</v>
      </c>
      <c r="L17" s="52">
        <f ca="1"/>
        <v>45943</v>
      </c>
      <c r="M17" s="59">
        <f ca="1"/>
        <v>290.8</v>
      </c>
    </row>
    <row r="18" spans="1:13" x14ac:dyDescent="0.3">
      <c r="A18" s="36">
        <v>45966</v>
      </c>
      <c r="B18" s="45"/>
      <c r="C18" s="31"/>
      <c r="D18" s="32"/>
      <c r="E18" s="45"/>
      <c r="F18" s="31"/>
      <c r="G18" s="79"/>
      <c r="H18" s="148"/>
      <c r="J18" s="133">
        <f ca="1"/>
        <v>45838</v>
      </c>
      <c r="K18" s="46">
        <f ca="1"/>
        <v>51.058</v>
      </c>
      <c r="L18" s="52">
        <f ca="1"/>
        <v>45944</v>
      </c>
      <c r="M18" s="59">
        <f ca="1"/>
        <v>307.48</v>
      </c>
    </row>
    <row r="19" spans="1:13" x14ac:dyDescent="0.3">
      <c r="A19" s="36">
        <v>45967</v>
      </c>
      <c r="B19" s="45"/>
      <c r="C19" s="31"/>
      <c r="D19" s="32"/>
      <c r="E19" s="45"/>
      <c r="F19" s="31"/>
      <c r="G19" s="79"/>
      <c r="H19" s="148"/>
      <c r="J19" s="133">
        <f ca="1"/>
        <v>45839</v>
      </c>
      <c r="K19" s="46">
        <f ca="1"/>
        <v>50.558999999999997</v>
      </c>
      <c r="L19" s="52">
        <f ca="1"/>
        <v>45945</v>
      </c>
      <c r="M19" s="59">
        <f ca="1"/>
        <v>293.8</v>
      </c>
    </row>
    <row r="20" spans="1:13" x14ac:dyDescent="0.3">
      <c r="A20" s="36">
        <v>45968</v>
      </c>
      <c r="B20" s="45"/>
      <c r="C20" s="31"/>
      <c r="D20" s="32"/>
      <c r="E20" s="45"/>
      <c r="F20" s="31"/>
      <c r="G20" s="79"/>
      <c r="H20" s="148"/>
      <c r="J20" s="133">
        <f ca="1"/>
        <v>45840</v>
      </c>
      <c r="K20" s="46">
        <f ca="1"/>
        <v>50.177999999999997</v>
      </c>
      <c r="L20" s="52">
        <f ca="1"/>
        <v>45950</v>
      </c>
      <c r="M20" s="59">
        <f ca="1"/>
        <v>230.88</v>
      </c>
    </row>
    <row r="21" spans="1:13" x14ac:dyDescent="0.3">
      <c r="A21" s="36">
        <v>45969</v>
      </c>
      <c r="B21" s="45"/>
      <c r="C21" s="31"/>
      <c r="D21" s="32"/>
      <c r="E21" s="45"/>
      <c r="F21" s="31"/>
      <c r="G21" s="79"/>
      <c r="H21" s="148"/>
      <c r="J21" s="133">
        <f ca="1"/>
        <v>45841</v>
      </c>
      <c r="K21" s="46">
        <f ca="1"/>
        <v>49.305</v>
      </c>
      <c r="L21" s="52">
        <f ca="1"/>
        <v>45953</v>
      </c>
      <c r="M21" s="59">
        <f ca="1"/>
        <v>217.2</v>
      </c>
    </row>
    <row r="22" spans="1:13" x14ac:dyDescent="0.3">
      <c r="A22" s="36">
        <v>45970</v>
      </c>
      <c r="B22" s="45"/>
      <c r="C22" s="31"/>
      <c r="D22" s="32"/>
      <c r="E22" s="45"/>
      <c r="F22" s="31"/>
      <c r="G22" s="79"/>
      <c r="H22" s="148"/>
      <c r="J22" s="133">
        <f ca="1"/>
        <v>45845</v>
      </c>
      <c r="K22" s="46">
        <f ca="1"/>
        <v>50.89</v>
      </c>
      <c r="L22" s="52">
        <f ca="1"/>
        <v>45954</v>
      </c>
      <c r="M22" s="59">
        <f ca="1"/>
        <v>180</v>
      </c>
    </row>
    <row r="23" spans="1:13" ht="14.4" hidden="1" customHeight="1" x14ac:dyDescent="0.3">
      <c r="A23" s="128"/>
      <c r="B23" s="45"/>
      <c r="C23" s="31"/>
      <c r="D23" s="32"/>
      <c r="E23" s="45"/>
      <c r="F23" s="31"/>
      <c r="G23" s="79"/>
      <c r="H23" s="148"/>
      <c r="J23" s="133">
        <f ca="1"/>
        <v>45846</v>
      </c>
      <c r="K23" s="46">
        <f ca="1"/>
        <v>51.234000000000002</v>
      </c>
      <c r="L23" s="52">
        <f ca="1"/>
        <v>45957</v>
      </c>
      <c r="M23" s="59">
        <f ca="1"/>
        <v>149.19999999999999</v>
      </c>
    </row>
    <row r="24" spans="1:13" ht="14.4" hidden="1" customHeight="1" x14ac:dyDescent="0.3">
      <c r="A24" s="128"/>
      <c r="B24" s="45"/>
      <c r="C24" s="31"/>
      <c r="D24" s="32"/>
      <c r="E24" s="45"/>
      <c r="F24" s="31"/>
      <c r="G24" s="79"/>
      <c r="H24" s="148"/>
      <c r="J24" s="133">
        <f ca="1"/>
        <v>45847</v>
      </c>
      <c r="K24" s="46">
        <f ca="1"/>
        <v>50.05</v>
      </c>
      <c r="L24" s="52">
        <f ca="1"/>
        <v>45958</v>
      </c>
      <c r="M24" s="59">
        <f ca="1"/>
        <v>149.69999999999999</v>
      </c>
    </row>
    <row r="25" spans="1:13" ht="14.4" hidden="1" customHeight="1" x14ac:dyDescent="0.3">
      <c r="A25" s="128"/>
      <c r="B25" s="45"/>
      <c r="C25" s="31"/>
      <c r="D25" s="32"/>
      <c r="E25" s="45"/>
      <c r="F25" s="31"/>
      <c r="G25" s="79"/>
      <c r="H25" s="148"/>
      <c r="J25" s="133">
        <f ca="1"/>
        <v>45848</v>
      </c>
      <c r="K25" s="46">
        <f ca="1"/>
        <v>49.847000000000001</v>
      </c>
      <c r="L25" s="52">
        <f ca="1"/>
        <v>45959</v>
      </c>
      <c r="M25" s="59">
        <f ca="1"/>
        <v>157</v>
      </c>
    </row>
    <row r="26" spans="1:13" ht="14.4" hidden="1" customHeight="1" x14ac:dyDescent="0.3">
      <c r="A26" s="128"/>
      <c r="B26" s="45"/>
      <c r="C26" s="31"/>
      <c r="D26" s="32"/>
      <c r="E26" s="45"/>
      <c r="F26" s="31"/>
      <c r="G26" s="79"/>
      <c r="H26" s="148"/>
      <c r="J26" s="133">
        <f ca="1"/>
        <v>45849</v>
      </c>
      <c r="K26" s="46">
        <f ca="1"/>
        <v>50.536000000000001</v>
      </c>
      <c r="L26" s="52">
        <f ca="1"/>
        <v>45960</v>
      </c>
      <c r="M26" s="59">
        <f ca="1"/>
        <v>167.4</v>
      </c>
    </row>
    <row r="27" spans="1:13" ht="14.4" hidden="1" customHeight="1" x14ac:dyDescent="0.3">
      <c r="A27" s="128"/>
      <c r="B27" s="45"/>
      <c r="C27" s="31"/>
      <c r="D27" s="32"/>
      <c r="E27" s="45"/>
      <c r="F27" s="31"/>
      <c r="G27" s="79"/>
      <c r="H27" s="148"/>
      <c r="J27" s="133">
        <f ca="1"/>
        <v>45852</v>
      </c>
      <c r="K27" s="46">
        <f ca="1"/>
        <v>50.942999999999998</v>
      </c>
      <c r="L27" s="52">
        <f ca="1"/>
        <v>45961</v>
      </c>
      <c r="M27" s="59">
        <f ca="1"/>
        <v>187.97</v>
      </c>
    </row>
    <row r="28" spans="1:13" ht="14.4" hidden="1" customHeight="1" x14ac:dyDescent="0.3">
      <c r="A28" s="128"/>
      <c r="B28" s="45"/>
      <c r="C28" s="31"/>
      <c r="D28" s="32"/>
      <c r="E28" s="45"/>
      <c r="F28" s="31"/>
      <c r="G28" s="79"/>
      <c r="H28" s="148"/>
      <c r="J28" s="133">
        <f ca="1"/>
        <v>45853</v>
      </c>
      <c r="K28" s="46">
        <f ca="1"/>
        <v>52.14</v>
      </c>
      <c r="L28" s="52">
        <f ca="1"/>
        <v>45964</v>
      </c>
      <c r="M28" s="59">
        <f ca="1"/>
        <v>169.03</v>
      </c>
    </row>
    <row r="29" spans="1:13" ht="14.4" hidden="1" customHeight="1" x14ac:dyDescent="0.3">
      <c r="A29" s="128"/>
      <c r="B29" s="45"/>
      <c r="C29" s="31"/>
      <c r="D29" s="32"/>
      <c r="E29" s="45"/>
      <c r="F29" s="31"/>
      <c r="G29" s="79"/>
      <c r="H29" s="148"/>
      <c r="J29" s="133">
        <f ca="1"/>
        <v>45854</v>
      </c>
      <c r="K29" s="46">
        <f ca="1"/>
        <v>51.95</v>
      </c>
    </row>
    <row r="30" spans="1:13" ht="14.4" hidden="1" customHeight="1" x14ac:dyDescent="0.3">
      <c r="A30" s="128"/>
      <c r="B30" s="45"/>
      <c r="C30" s="31"/>
      <c r="D30" s="32"/>
      <c r="E30" s="45"/>
      <c r="F30" s="31"/>
      <c r="G30" s="79"/>
      <c r="H30" s="148"/>
      <c r="J30" s="133">
        <f ca="1"/>
        <v>45855</v>
      </c>
      <c r="K30" s="46">
        <f ca="1"/>
        <v>50.658000000000001</v>
      </c>
    </row>
    <row r="31" spans="1:13" ht="14.4" hidden="1" customHeight="1" x14ac:dyDescent="0.3">
      <c r="A31" s="128"/>
      <c r="B31" s="45"/>
      <c r="C31" s="31"/>
      <c r="D31" s="32"/>
      <c r="E31" s="45"/>
      <c r="F31" s="31"/>
      <c r="G31" s="79"/>
      <c r="H31" s="148"/>
      <c r="J31" s="133">
        <f ca="1"/>
        <v>45856</v>
      </c>
      <c r="K31" s="46">
        <f ca="1"/>
        <v>50.805</v>
      </c>
    </row>
    <row r="32" spans="1:13" ht="14.4" hidden="1" customHeight="1" x14ac:dyDescent="0.3">
      <c r="A32" s="128"/>
      <c r="B32" s="45"/>
      <c r="C32" s="31"/>
      <c r="D32" s="32"/>
      <c r="E32" s="45"/>
      <c r="F32" s="31"/>
      <c r="G32" s="79"/>
      <c r="H32" s="148"/>
      <c r="J32" s="133">
        <f ca="1"/>
        <v>45859</v>
      </c>
      <c r="K32" s="46">
        <f ca="1"/>
        <v>50.99</v>
      </c>
    </row>
    <row r="33" spans="1:11" ht="14.4" hidden="1" customHeight="1" x14ac:dyDescent="0.3">
      <c r="A33" s="128"/>
      <c r="B33" s="45"/>
      <c r="C33" s="31"/>
      <c r="D33" s="32"/>
      <c r="E33" s="45"/>
      <c r="F33" s="31"/>
      <c r="G33" s="79"/>
      <c r="H33" s="148"/>
      <c r="J33" s="133">
        <f ca="1"/>
        <v>45860</v>
      </c>
      <c r="K33" s="46">
        <f ca="1"/>
        <v>51.104999999999997</v>
      </c>
    </row>
    <row r="34" spans="1:11" ht="14.4" hidden="1" customHeight="1" x14ac:dyDescent="0.3">
      <c r="A34" s="128"/>
      <c r="B34" s="45"/>
      <c r="C34" s="31"/>
      <c r="D34" s="32"/>
      <c r="E34" s="45"/>
      <c r="F34" s="31"/>
      <c r="G34" s="79"/>
      <c r="H34" s="148"/>
      <c r="J34" s="133">
        <f ca="1"/>
        <v>45861</v>
      </c>
      <c r="K34" s="46">
        <f ca="1"/>
        <v>50.115000000000002</v>
      </c>
    </row>
    <row r="35" spans="1:11" ht="14.4" hidden="1" customHeight="1" x14ac:dyDescent="0.3">
      <c r="A35" s="128"/>
      <c r="B35" s="45"/>
      <c r="C35" s="31"/>
      <c r="D35" s="32"/>
      <c r="E35" s="45"/>
      <c r="F35" s="31"/>
      <c r="G35" s="79"/>
      <c r="H35" s="148"/>
      <c r="J35" s="133">
        <f ca="1"/>
        <v>45862</v>
      </c>
      <c r="K35" s="46">
        <f ca="1"/>
        <v>50.139000000000003</v>
      </c>
    </row>
    <row r="36" spans="1:11" ht="14.4" hidden="1" customHeight="1" x14ac:dyDescent="0.3">
      <c r="A36" s="128"/>
      <c r="B36" s="45"/>
      <c r="C36" s="31"/>
      <c r="D36" s="32"/>
      <c r="E36" s="45"/>
      <c r="F36" s="31"/>
      <c r="G36" s="79"/>
      <c r="H36" s="148"/>
      <c r="J36" s="133">
        <f ca="1"/>
        <v>45863</v>
      </c>
      <c r="K36" s="46">
        <f ca="1"/>
        <v>50.043999999999997</v>
      </c>
    </row>
    <row r="37" spans="1:11" x14ac:dyDescent="0.3">
      <c r="A37" s="128"/>
      <c r="B37" s="45"/>
      <c r="C37" s="31"/>
      <c r="D37" s="32"/>
      <c r="E37" s="45"/>
      <c r="F37" s="31"/>
      <c r="G37" s="79"/>
      <c r="H37" s="148"/>
      <c r="J37" s="133">
        <f ca="1"/>
        <v>45866</v>
      </c>
      <c r="K37" s="46">
        <f ca="1"/>
        <v>50.25</v>
      </c>
    </row>
    <row r="38" spans="1:11" x14ac:dyDescent="0.3">
      <c r="A38" s="128"/>
      <c r="B38" s="45"/>
      <c r="C38" s="31"/>
      <c r="D38" s="32"/>
      <c r="E38" s="45"/>
      <c r="F38" s="31"/>
      <c r="G38" s="79"/>
      <c r="H38" s="148"/>
      <c r="J38" s="133">
        <f ca="1"/>
        <v>45867</v>
      </c>
      <c r="K38" s="46">
        <f ca="1"/>
        <v>50.933999999999997</v>
      </c>
    </row>
    <row r="39" spans="1:11" x14ac:dyDescent="0.3">
      <c r="A39" s="128"/>
      <c r="B39" s="45"/>
      <c r="C39" s="31"/>
      <c r="D39" s="32"/>
      <c r="E39" s="45"/>
      <c r="F39" s="31"/>
      <c r="G39" s="79"/>
      <c r="H39" s="149"/>
      <c r="J39" s="133">
        <f ca="1"/>
        <v>45868</v>
      </c>
      <c r="K39" s="46">
        <f ca="1"/>
        <v>50.837000000000003</v>
      </c>
    </row>
    <row r="40" spans="1:11" x14ac:dyDescent="0.3">
      <c r="A40" s="36"/>
      <c r="B40" s="45"/>
      <c r="C40" s="31"/>
      <c r="D40" s="32"/>
      <c r="E40" s="45"/>
      <c r="F40" s="31"/>
      <c r="G40" s="79"/>
      <c r="H40" s="149"/>
      <c r="J40" s="133">
        <f ca="1"/>
        <v>45869</v>
      </c>
      <c r="K40" s="46">
        <f ca="1"/>
        <v>51.338999999999999</v>
      </c>
    </row>
    <row r="41" spans="1:11" x14ac:dyDescent="0.3">
      <c r="A41" s="36"/>
      <c r="B41" s="45"/>
      <c r="C41" s="31"/>
      <c r="D41" s="32"/>
      <c r="E41" s="45"/>
      <c r="F41" s="31"/>
      <c r="G41" s="79"/>
      <c r="H41" s="149"/>
      <c r="J41" s="133">
        <f ca="1"/>
        <v>45870</v>
      </c>
      <c r="K41" s="46">
        <f ca="1"/>
        <v>53.94</v>
      </c>
    </row>
    <row r="42" spans="1:11" x14ac:dyDescent="0.3">
      <c r="A42" s="36"/>
      <c r="B42" s="45"/>
      <c r="C42" s="31"/>
      <c r="D42" s="32"/>
      <c r="E42" s="45"/>
      <c r="F42" s="31"/>
      <c r="G42" s="79"/>
      <c r="H42" s="149"/>
      <c r="J42" s="133">
        <f ca="1"/>
        <v>45873</v>
      </c>
      <c r="K42" s="46">
        <f ca="1"/>
        <v>51.886000000000003</v>
      </c>
    </row>
    <row r="43" spans="1:11" x14ac:dyDescent="0.3">
      <c r="A43" s="36"/>
      <c r="B43" s="45"/>
      <c r="C43" s="31"/>
      <c r="D43" s="32"/>
      <c r="E43" s="45"/>
      <c r="F43" s="31"/>
      <c r="G43" s="79"/>
      <c r="H43" s="149"/>
      <c r="J43" s="133">
        <f ca="1"/>
        <v>45874</v>
      </c>
      <c r="K43" s="46">
        <f ca="1"/>
        <v>52.518999999999998</v>
      </c>
    </row>
    <row r="44" spans="1:11" x14ac:dyDescent="0.3">
      <c r="A44" s="36"/>
      <c r="B44" s="45"/>
      <c r="C44" s="31"/>
      <c r="D44" s="5"/>
      <c r="E44" s="45"/>
      <c r="F44" s="1"/>
      <c r="G44" s="78"/>
      <c r="H44" s="149"/>
      <c r="J44" s="133">
        <f ca="1"/>
        <v>45875</v>
      </c>
      <c r="K44" s="46">
        <f ca="1"/>
        <v>52.03</v>
      </c>
    </row>
    <row r="45" spans="1:11" x14ac:dyDescent="0.3">
      <c r="A45" s="36"/>
      <c r="B45" s="57"/>
      <c r="C45" s="58"/>
      <c r="D45" s="34"/>
      <c r="E45" s="57"/>
      <c r="G45" s="80"/>
      <c r="H45" s="150"/>
      <c r="J45" s="133">
        <f ca="1"/>
        <v>45876</v>
      </c>
      <c r="K45" s="59">
        <f ca="1"/>
        <v>51.976999999999997</v>
      </c>
    </row>
    <row r="46" spans="1:11" ht="15" thickBot="1" x14ac:dyDescent="0.35">
      <c r="A46" s="36"/>
      <c r="B46" s="114"/>
      <c r="C46" s="67"/>
      <c r="D46" s="13"/>
      <c r="E46" s="114"/>
      <c r="F46" s="12"/>
      <c r="G46" s="81"/>
      <c r="H46" s="150"/>
      <c r="J46" s="133">
        <f ca="1"/>
        <v>45877</v>
      </c>
      <c r="K46" s="59">
        <f ca="1"/>
        <v>51.043999999999997</v>
      </c>
    </row>
    <row r="47" spans="1:11" x14ac:dyDescent="0.3">
      <c r="J47" s="133">
        <f ca="1"/>
        <v>45880</v>
      </c>
      <c r="K47" s="59">
        <f ca="1"/>
        <v>51.491999999999997</v>
      </c>
    </row>
    <row r="48" spans="1:11" x14ac:dyDescent="0.3">
      <c r="J48" s="133">
        <f ca="1"/>
        <v>45881</v>
      </c>
      <c r="K48" s="59">
        <f ca="1"/>
        <v>50.103999999999999</v>
      </c>
    </row>
    <row r="49" spans="10:11" x14ac:dyDescent="0.3">
      <c r="J49" s="133">
        <f ca="1"/>
        <v>45882</v>
      </c>
      <c r="K49" s="59">
        <f ca="1"/>
        <v>49.718000000000004</v>
      </c>
    </row>
    <row r="50" spans="10:11" x14ac:dyDescent="0.3">
      <c r="J50" s="133">
        <f ca="1"/>
        <v>45883</v>
      </c>
      <c r="K50" s="59">
        <f ca="1"/>
        <v>49.960999999999999</v>
      </c>
    </row>
    <row r="51" spans="10:11" x14ac:dyDescent="0.3">
      <c r="J51" s="133">
        <f ca="1"/>
        <v>45884</v>
      </c>
      <c r="K51" s="59">
        <f ca="1"/>
        <v>50.036000000000001</v>
      </c>
    </row>
    <row r="52" spans="10:11" x14ac:dyDescent="0.3">
      <c r="J52" s="133">
        <f ca="1"/>
        <v>45887</v>
      </c>
      <c r="K52" s="59">
        <f ca="1"/>
        <v>50.034999999999997</v>
      </c>
    </row>
    <row r="53" spans="10:11" x14ac:dyDescent="0.3">
      <c r="J53" s="133">
        <f ca="1"/>
        <v>45888</v>
      </c>
      <c r="K53" s="59">
        <f ca="1"/>
        <v>50.387999999999998</v>
      </c>
    </row>
    <row r="54" spans="10:11" x14ac:dyDescent="0.3">
      <c r="J54" s="133">
        <f ca="1"/>
        <v>45889</v>
      </c>
      <c r="K54" s="59">
        <f ca="1"/>
        <v>50.752000000000002</v>
      </c>
    </row>
    <row r="55" spans="10:11" x14ac:dyDescent="0.3">
      <c r="J55" s="133">
        <f ca="1"/>
        <v>45890</v>
      </c>
      <c r="K55" s="59">
        <f ca="1"/>
        <v>51.588000000000001</v>
      </c>
    </row>
    <row r="56" spans="10:11" x14ac:dyDescent="0.3">
      <c r="J56" s="133">
        <f ca="1"/>
        <v>45891</v>
      </c>
      <c r="K56" s="59">
        <f ca="1"/>
        <v>49.064999999999998</v>
      </c>
    </row>
    <row r="57" spans="10:11" x14ac:dyDescent="0.3">
      <c r="J57" s="133">
        <f ca="1"/>
        <v>45894</v>
      </c>
      <c r="K57" s="59">
        <f ca="1"/>
        <v>49.643999999999998</v>
      </c>
    </row>
    <row r="58" spans="10:11" x14ac:dyDescent="0.3">
      <c r="J58" s="133">
        <f ca="1"/>
        <v>45895</v>
      </c>
      <c r="K58" s="59">
        <f ca="1"/>
        <v>49.65</v>
      </c>
    </row>
    <row r="59" spans="10:11" x14ac:dyDescent="0.3">
      <c r="J59" s="133">
        <f ca="1"/>
        <v>45896</v>
      </c>
      <c r="K59" s="59">
        <f ca="1"/>
        <v>50.3</v>
      </c>
    </row>
    <row r="60" spans="10:11" x14ac:dyDescent="0.3">
      <c r="J60" s="133">
        <f ca="1"/>
        <v>45897</v>
      </c>
      <c r="K60" s="59">
        <f ca="1"/>
        <v>50.12</v>
      </c>
    </row>
    <row r="61" spans="10:11" x14ac:dyDescent="0.3">
      <c r="J61" s="133">
        <f ca="1"/>
        <v>45898</v>
      </c>
      <c r="K61" s="59">
        <f ca="1"/>
        <v>50.957999999999998</v>
      </c>
    </row>
    <row r="62" spans="10:11" x14ac:dyDescent="0.3">
      <c r="J62" s="133">
        <f ca="1"/>
        <v>45902</v>
      </c>
      <c r="K62" s="59">
        <f ca="1"/>
        <v>51.023000000000003</v>
      </c>
    </row>
    <row r="63" spans="10:11" x14ac:dyDescent="0.3">
      <c r="J63" s="133">
        <f ca="1"/>
        <v>45903</v>
      </c>
      <c r="K63" s="59">
        <f ca="1"/>
        <v>50.9</v>
      </c>
    </row>
    <row r="64" spans="10:11" x14ac:dyDescent="0.3">
      <c r="J64" s="133">
        <f ca="1"/>
        <v>45904</v>
      </c>
      <c r="K64" s="59">
        <f ca="1"/>
        <v>49.542000000000002</v>
      </c>
    </row>
    <row r="65" spans="10:11" x14ac:dyDescent="0.3">
      <c r="J65" s="133">
        <f ca="1"/>
        <v>45905</v>
      </c>
      <c r="K65" s="59">
        <f ca="1"/>
        <v>49.9</v>
      </c>
    </row>
    <row r="66" spans="10:11" x14ac:dyDescent="0.3">
      <c r="J66" s="133">
        <f ca="1"/>
        <v>45908</v>
      </c>
      <c r="K66" s="59">
        <f ca="1"/>
        <v>49.997</v>
      </c>
    </row>
    <row r="67" spans="10:11" x14ac:dyDescent="0.3">
      <c r="J67" s="133">
        <f ca="1"/>
        <v>45909</v>
      </c>
      <c r="K67" s="59">
        <f ca="1"/>
        <v>49.539000000000001</v>
      </c>
    </row>
    <row r="68" spans="10:11" x14ac:dyDescent="0.3">
      <c r="J68" s="133">
        <f ca="1"/>
        <v>45910</v>
      </c>
      <c r="K68" s="59">
        <f ca="1"/>
        <v>48.988</v>
      </c>
    </row>
    <row r="69" spans="10:11" x14ac:dyDescent="0.3">
      <c r="J69" s="133">
        <f ca="1"/>
        <v>45911</v>
      </c>
      <c r="K69" s="59">
        <f ca="1"/>
        <v>47.709000000000003</v>
      </c>
    </row>
    <row r="70" spans="10:11" x14ac:dyDescent="0.3">
      <c r="J70" s="133">
        <f ca="1"/>
        <v>45912</v>
      </c>
      <c r="K70" s="59">
        <f ca="1"/>
        <v>47.848999999999997</v>
      </c>
    </row>
    <row r="71" spans="10:11" x14ac:dyDescent="0.3">
      <c r="J71" s="133">
        <f ca="1"/>
        <v>45915</v>
      </c>
      <c r="K71" s="59">
        <f ca="1"/>
        <v>46.994</v>
      </c>
    </row>
    <row r="72" spans="10:11" x14ac:dyDescent="0.3">
      <c r="J72" s="133">
        <f ca="1"/>
        <v>45916</v>
      </c>
      <c r="K72" s="59">
        <f ca="1"/>
        <v>47.453000000000003</v>
      </c>
    </row>
    <row r="73" spans="10:11" x14ac:dyDescent="0.3">
      <c r="J73" s="133">
        <f ca="1"/>
        <v>45917</v>
      </c>
      <c r="K73" s="59">
        <f ca="1"/>
        <v>47.76</v>
      </c>
    </row>
    <row r="74" spans="10:11" x14ac:dyDescent="0.3">
      <c r="J74" s="133">
        <f ca="1"/>
        <v>45918</v>
      </c>
      <c r="K74" s="59">
        <f ca="1"/>
        <v>46.95</v>
      </c>
    </row>
    <row r="75" spans="10:11" x14ac:dyDescent="0.3">
      <c r="J75" s="133">
        <f ca="1"/>
        <v>45919</v>
      </c>
      <c r="K75" s="59">
        <f ca="1"/>
        <v>47.262</v>
      </c>
    </row>
    <row r="76" spans="10:11" x14ac:dyDescent="0.3">
      <c r="J76" s="133">
        <f ca="1"/>
        <v>45922</v>
      </c>
      <c r="K76" s="59">
        <f ca="1"/>
        <v>51.720999999999997</v>
      </c>
    </row>
    <row r="77" spans="10:11" x14ac:dyDescent="0.3">
      <c r="J77" s="133">
        <f ca="1"/>
        <v>45923</v>
      </c>
      <c r="K77" s="59">
        <f ca="1"/>
        <v>52.152000000000001</v>
      </c>
    </row>
    <row r="78" spans="10:11" x14ac:dyDescent="0.3">
      <c r="J78" s="133">
        <f ca="1"/>
        <v>45924</v>
      </c>
      <c r="K78" s="59">
        <f ca="1"/>
        <v>52.631</v>
      </c>
    </row>
    <row r="79" spans="10:11" x14ac:dyDescent="0.3">
      <c r="J79" s="133">
        <f ca="1"/>
        <v>45925</v>
      </c>
      <c r="K79" s="59">
        <f ca="1"/>
        <v>53.494999999999997</v>
      </c>
    </row>
    <row r="80" spans="10:11" x14ac:dyDescent="0.3">
      <c r="J80" s="133">
        <f ca="1"/>
        <v>45926</v>
      </c>
      <c r="K80" s="59">
        <f ca="1"/>
        <v>52.826000000000001</v>
      </c>
    </row>
    <row r="81" spans="10:11" x14ac:dyDescent="0.3">
      <c r="J81" s="133">
        <f ca="1"/>
        <v>45929</v>
      </c>
      <c r="K81" s="59">
        <f ca="1"/>
        <v>52.215000000000003</v>
      </c>
    </row>
    <row r="82" spans="10:11" x14ac:dyDescent="0.3">
      <c r="J82" s="133">
        <f ca="1"/>
        <v>45930</v>
      </c>
      <c r="K82" s="59">
        <f ca="1"/>
        <v>52.07</v>
      </c>
    </row>
    <row r="83" spans="10:11" x14ac:dyDescent="0.3">
      <c r="J83" s="133">
        <f ca="1"/>
        <v>45931</v>
      </c>
      <c r="K83" s="59">
        <f ca="1"/>
        <v>52.097999999999999</v>
      </c>
    </row>
    <row r="84" spans="10:11" x14ac:dyDescent="0.3">
      <c r="J84" s="133">
        <f ca="1"/>
        <v>45932</v>
      </c>
      <c r="K84" s="59">
        <f ca="1"/>
        <v>51.646000000000001</v>
      </c>
    </row>
    <row r="85" spans="10:11" x14ac:dyDescent="0.3">
      <c r="J85" s="133">
        <f ca="1"/>
        <v>45933</v>
      </c>
      <c r="K85" s="59">
        <f ca="1"/>
        <v>51.488999999999997</v>
      </c>
    </row>
    <row r="86" spans="10:11" x14ac:dyDescent="0.3">
      <c r="J86" s="133">
        <f ca="1"/>
        <v>45936</v>
      </c>
      <c r="K86" s="59">
        <f ca="1"/>
        <v>50.904000000000003</v>
      </c>
    </row>
    <row r="87" spans="10:11" x14ac:dyDescent="0.3">
      <c r="J87" s="133">
        <f ca="1"/>
        <v>45937</v>
      </c>
      <c r="K87" s="59">
        <f ca="1"/>
        <v>51.424999999999997</v>
      </c>
    </row>
    <row r="88" spans="10:11" x14ac:dyDescent="0.3">
      <c r="J88" s="133">
        <f ca="1"/>
        <v>45938</v>
      </c>
      <c r="K88" s="59">
        <f ca="1"/>
        <v>51.866</v>
      </c>
    </row>
    <row r="89" spans="10:11" x14ac:dyDescent="0.3">
      <c r="J89" s="133">
        <f ca="1"/>
        <v>45939</v>
      </c>
      <c r="K89" s="59">
        <f ca="1"/>
        <v>52.597000000000001</v>
      </c>
    </row>
    <row r="90" spans="10:11" x14ac:dyDescent="0.3">
      <c r="J90" s="133">
        <f ca="1"/>
        <v>45940</v>
      </c>
      <c r="K90" s="59">
        <f ca="1"/>
        <v>56.701999999999998</v>
      </c>
    </row>
    <row r="91" spans="10:11" x14ac:dyDescent="0.3">
      <c r="J91" s="133">
        <f ca="1"/>
        <v>45944</v>
      </c>
      <c r="K91" s="59">
        <f ca="1"/>
        <v>53.369</v>
      </c>
    </row>
    <row r="92" spans="10:11" x14ac:dyDescent="0.3">
      <c r="J92" s="133">
        <f ca="1"/>
        <v>45945</v>
      </c>
      <c r="K92" s="59">
        <f ca="1"/>
        <v>52.787999999999997</v>
      </c>
    </row>
    <row r="93" spans="10:11" x14ac:dyDescent="0.3">
      <c r="J93" s="133">
        <f ca="1"/>
        <v>45946</v>
      </c>
      <c r="K93" s="59">
        <f ca="1"/>
        <v>54.866</v>
      </c>
    </row>
    <row r="94" spans="10:11" x14ac:dyDescent="0.3">
      <c r="J94" s="133">
        <f ca="1"/>
        <v>45947</v>
      </c>
      <c r="K94" s="59">
        <f ca="1"/>
        <v>53.643999999999998</v>
      </c>
    </row>
    <row r="95" spans="10:11" x14ac:dyDescent="0.3">
      <c r="J95" s="133">
        <f ca="1"/>
        <v>45950</v>
      </c>
      <c r="K95" s="59">
        <f ca="1"/>
        <v>52.158000000000001</v>
      </c>
    </row>
    <row r="96" spans="10:11" x14ac:dyDescent="0.3">
      <c r="J96" s="133">
        <f ca="1"/>
        <v>45951</v>
      </c>
      <c r="K96" s="59">
        <f ca="1"/>
        <v>52.853000000000002</v>
      </c>
    </row>
    <row r="97" spans="10:11" x14ac:dyDescent="0.3">
      <c r="J97" s="133">
        <f ca="1"/>
        <v>45952</v>
      </c>
      <c r="K97" s="59">
        <f ca="1"/>
        <v>53.048000000000002</v>
      </c>
    </row>
    <row r="98" spans="10:11" x14ac:dyDescent="0.3">
      <c r="J98" s="133">
        <f ca="1"/>
        <v>45953</v>
      </c>
      <c r="K98" s="59">
        <f ca="1"/>
        <v>52.078000000000003</v>
      </c>
    </row>
    <row r="99" spans="10:11" x14ac:dyDescent="0.3">
      <c r="J99" s="133">
        <f ca="1"/>
        <v>45954</v>
      </c>
      <c r="K99" s="59">
        <f ca="1"/>
        <v>51.530999999999999</v>
      </c>
    </row>
    <row r="100" spans="10:11" x14ac:dyDescent="0.3">
      <c r="J100" s="133">
        <f ca="1"/>
        <v>45957</v>
      </c>
      <c r="K100" s="59">
        <f ca="1"/>
        <v>50.222000000000001</v>
      </c>
    </row>
    <row r="101" spans="10:11" x14ac:dyDescent="0.3">
      <c r="J101" s="133">
        <f ca="1"/>
        <v>45958</v>
      </c>
      <c r="K101" s="59">
        <f ca="1"/>
        <v>50.74</v>
      </c>
    </row>
    <row r="102" spans="10:11" x14ac:dyDescent="0.3">
      <c r="J102" s="133">
        <f ca="1"/>
        <v>45959</v>
      </c>
      <c r="K102" s="59">
        <f ca="1"/>
        <v>51.082999999999998</v>
      </c>
    </row>
    <row r="103" spans="10:11" x14ac:dyDescent="0.3">
      <c r="J103" s="133">
        <f ca="1"/>
        <v>45960</v>
      </c>
      <c r="K103" s="59">
        <f ca="1"/>
        <v>51.795000000000002</v>
      </c>
    </row>
    <row r="104" spans="10:11" x14ac:dyDescent="0.3">
      <c r="J104" s="133">
        <f ca="1"/>
        <v>45961</v>
      </c>
      <c r="K104" s="59">
        <f ca="1"/>
        <v>52.591000000000001</v>
      </c>
    </row>
    <row r="105" spans="10:11" x14ac:dyDescent="0.3">
      <c r="J105" s="133">
        <f ca="1"/>
        <v>45964</v>
      </c>
      <c r="K105" s="59">
        <f ca="1"/>
        <v>53.07</v>
      </c>
    </row>
  </sheetData>
  <mergeCells count="2">
    <mergeCell ref="B12:D12"/>
    <mergeCell ref="E12:F12"/>
  </mergeCells>
  <conditionalFormatting sqref="G13:H38 G39:G43">
    <cfRule type="cellIs" dxfId="7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4938-FC0B-456F-AD82-13D9037A398C}">
  <dimension ref="A1:ED141"/>
  <sheetViews>
    <sheetView topLeftCell="DH1" zoomScale="70" zoomScaleNormal="70" workbookViewId="0">
      <selection activeCell="EF28" sqref="EF28"/>
    </sheetView>
  </sheetViews>
  <sheetFormatPr defaultColWidth="8.88671875" defaultRowHeight="14.4" x14ac:dyDescent="0.3"/>
  <cols>
    <col min="1" max="1" width="15.44140625" style="54" bestFit="1" customWidth="1"/>
    <col min="2" max="5" width="16.88671875" style="54" customWidth="1"/>
    <col min="6" max="6" width="10.5546875" style="54" customWidth="1"/>
    <col min="7" max="10" width="13.33203125" style="54" customWidth="1"/>
    <col min="11" max="12" width="11.5546875" style="54" customWidth="1"/>
    <col min="13" max="13" width="13.33203125" style="54" customWidth="1"/>
    <col min="14" max="14" width="13" style="54" bestFit="1" customWidth="1"/>
    <col min="15" max="17" width="13" style="54" customWidth="1"/>
    <col min="18" max="18" width="11.33203125" bestFit="1" customWidth="1"/>
    <col min="19" max="19" width="11.33203125" customWidth="1"/>
    <col min="20" max="20" width="8.88671875" customWidth="1"/>
    <col min="21" max="21" width="11.5546875" style="72" hidden="1" customWidth="1"/>
    <col min="22" max="22" width="6.6640625" style="54" hidden="1" customWidth="1"/>
    <col min="23" max="23" width="11.5546875" style="72" hidden="1" customWidth="1"/>
    <col min="24" max="24" width="8.88671875" style="54" hidden="1" customWidth="1"/>
    <col min="25" max="25" width="17.109375" style="122" hidden="1" customWidth="1"/>
    <col min="26" max="26" width="7.6640625" style="54" hidden="1" customWidth="1"/>
    <col min="27" max="27" width="11.5546875" style="72" hidden="1" customWidth="1"/>
    <col min="28" max="28" width="8.88671875" style="54" hidden="1" customWidth="1"/>
    <col min="29" max="30" width="8.88671875" style="54" customWidth="1"/>
    <col min="31" max="31" width="8.88671875" style="54"/>
    <col min="32" max="32" width="15.44140625" style="130" bestFit="1" customWidth="1"/>
    <col min="33" max="33" width="13.33203125" style="54" bestFit="1" customWidth="1"/>
    <col min="34" max="36" width="13.33203125" style="54" customWidth="1"/>
    <col min="37" max="37" width="12.44140625" style="54" customWidth="1"/>
    <col min="38" max="38" width="13.33203125" style="54" customWidth="1"/>
    <col min="39" max="39" width="10.6640625" style="54" customWidth="1"/>
    <col min="40" max="43" width="13.33203125" style="54" customWidth="1"/>
    <col min="44" max="44" width="12.33203125" style="54" customWidth="1"/>
    <col min="45" max="45" width="13.33203125" style="54" customWidth="1"/>
    <col min="46" max="47" width="10.6640625" style="54" customWidth="1"/>
    <col min="48" max="48" width="13.88671875" style="54" customWidth="1"/>
    <col min="49" max="49" width="11.5546875" style="54" customWidth="1"/>
    <col min="50" max="50" width="13.33203125" style="54" customWidth="1"/>
    <col min="51" max="51" width="13.33203125" style="54" bestFit="1" customWidth="1"/>
    <col min="52" max="55" width="13.33203125" style="54" customWidth="1"/>
    <col min="57" max="57" width="17.109375" style="72" hidden="1" customWidth="1"/>
    <col min="58" max="58" width="7.6640625" style="54" hidden="1" customWidth="1"/>
    <col min="59" max="59" width="11.5546875" style="72" hidden="1" customWidth="1"/>
    <col min="60" max="60" width="13.33203125" style="54" hidden="1" customWidth="1"/>
    <col min="61" max="61" width="11.5546875" style="72" hidden="1" customWidth="1"/>
    <col min="62" max="62" width="8.88671875" style="54" hidden="1" customWidth="1"/>
    <col min="63" max="63" width="11.5546875" style="72" hidden="1" customWidth="1"/>
    <col min="64" max="64" width="13.33203125" style="54" hidden="1" customWidth="1"/>
    <col min="65" max="65" width="11.5546875" style="72" hidden="1" customWidth="1"/>
    <col min="66" max="66" width="12.33203125" style="54" hidden="1" customWidth="1"/>
    <col min="67" max="67" width="11.5546875" style="72" hidden="1" customWidth="1"/>
    <col min="68" max="68" width="12.33203125" style="54" hidden="1" customWidth="1"/>
    <col min="69" max="69" width="8.88671875" style="54"/>
    <col min="70" max="70" width="15.44140625" style="130" bestFit="1" customWidth="1"/>
    <col min="71" max="71" width="13.33203125" style="54" bestFit="1" customWidth="1"/>
    <col min="72" max="72" width="14.5546875" style="54" bestFit="1" customWidth="1"/>
    <col min="73" max="74" width="13.33203125" style="54" customWidth="1"/>
    <col min="75" max="75" width="12.44140625" style="54" customWidth="1"/>
    <col min="76" max="76" width="13.33203125" style="54" customWidth="1"/>
    <col min="77" max="77" width="11.109375" style="54" bestFit="1" customWidth="1"/>
    <col min="78" max="78" width="8.88671875" style="54"/>
    <col min="79" max="79" width="17.109375" style="54" hidden="1" customWidth="1"/>
    <col min="80" max="80" width="0" style="54" hidden="1" customWidth="1"/>
    <col min="81" max="81" width="17.109375" style="54" hidden="1" customWidth="1"/>
    <col min="82" max="82" width="0" style="54" hidden="1" customWidth="1"/>
    <col min="83" max="83" width="8.88671875" style="54"/>
    <col min="84" max="84" width="14.5546875" style="54" bestFit="1" customWidth="1"/>
    <col min="85" max="85" width="15.5546875" style="54" bestFit="1" customWidth="1"/>
    <col min="86" max="86" width="14.5546875" style="54" bestFit="1" customWidth="1"/>
    <col min="87" max="87" width="10.44140625" style="54" bestFit="1" customWidth="1"/>
    <col min="88" max="88" width="7.6640625" style="54" bestFit="1" customWidth="1"/>
    <col min="89" max="89" width="11.109375" style="54" bestFit="1" customWidth="1"/>
    <col min="90" max="90" width="9.33203125" style="54" bestFit="1" customWidth="1"/>
    <col min="91" max="91" width="11.5546875" style="54" bestFit="1" customWidth="1"/>
    <col min="92" max="92" width="0" style="54" hidden="1" customWidth="1"/>
    <col min="93" max="93" width="17.109375" style="54" hidden="1" customWidth="1"/>
    <col min="94" max="94" width="10" style="54" hidden="1" customWidth="1"/>
    <col min="95" max="95" width="17.109375" style="54" hidden="1" customWidth="1"/>
    <col min="96" max="96" width="7.6640625" style="54" hidden="1" customWidth="1"/>
    <col min="97" max="97" width="11.88671875" style="137" bestFit="1" customWidth="1"/>
    <col min="98" max="98" width="11.6640625" style="56" hidden="1" customWidth="1"/>
    <col min="99" max="99" width="11.109375" style="56" hidden="1" customWidth="1"/>
    <col min="100" max="100" width="15.6640625" style="56" hidden="1" customWidth="1"/>
    <col min="101" max="101" width="14.6640625" style="56" hidden="1" customWidth="1"/>
    <col min="102" max="102" width="16.33203125" style="56" hidden="1" customWidth="1"/>
    <col min="103" max="103" width="15.5546875" style="56" hidden="1" customWidth="1"/>
    <col min="104" max="104" width="9.33203125" style="54" hidden="1" customWidth="1"/>
    <col min="105" max="105" width="16.5546875" style="54" hidden="1" customWidth="1"/>
    <col min="106" max="106" width="15.6640625" style="54" hidden="1" customWidth="1"/>
    <col min="107" max="109" width="8.88671875" style="54"/>
    <col min="110" max="110" width="10" style="130" bestFit="1" customWidth="1"/>
    <col min="111" max="111" width="11.6640625" style="54" customWidth="1"/>
    <col min="112" max="112" width="11.109375" style="54" customWidth="1"/>
    <col min="113" max="113" width="11.109375" style="54" hidden="1" customWidth="1"/>
    <col min="114" max="114" width="13.109375" style="54" hidden="1" customWidth="1"/>
    <col min="115" max="115" width="15.33203125" style="54" hidden="1" customWidth="1"/>
    <col min="116" max="117" width="14.6640625" style="54" hidden="1" customWidth="1"/>
    <col min="118" max="118" width="16.6640625" style="54" hidden="1" customWidth="1"/>
    <col min="119" max="119" width="16.33203125" style="54" hidden="1" customWidth="1"/>
    <col min="120" max="120" width="15.33203125" style="54" hidden="1" customWidth="1"/>
    <col min="121" max="121" width="12.33203125" style="54" hidden="1" customWidth="1"/>
    <col min="122" max="122" width="17.88671875" style="54" hidden="1" customWidth="1"/>
    <col min="123" max="123" width="16.33203125" style="54" hidden="1" customWidth="1"/>
    <col min="124" max="124" width="15.33203125" style="54" hidden="1" customWidth="1"/>
    <col min="125" max="125" width="12.33203125" style="54" bestFit="1" customWidth="1"/>
    <col min="126" max="126" width="17.88671875" style="54" bestFit="1" customWidth="1"/>
    <col min="127" max="127" width="12.33203125" style="54" customWidth="1"/>
    <col min="128" max="129" width="8.88671875" style="54"/>
    <col min="130" max="130" width="11" style="130" bestFit="1" customWidth="1"/>
    <col min="131" max="131" width="36.33203125" style="147" bestFit="1" customWidth="1"/>
    <col min="132" max="132" width="31.33203125" style="147" bestFit="1" customWidth="1"/>
    <col min="133" max="133" width="40.6640625" style="147" bestFit="1" customWidth="1"/>
    <col min="134" max="134" width="27.88671875" style="147" bestFit="1" customWidth="1"/>
    <col min="135" max="16384" width="8.88671875" style="54"/>
  </cols>
  <sheetData>
    <row r="1" spans="1:134" ht="15" thickBot="1" x14ac:dyDescent="0.35">
      <c r="A1" s="1"/>
      <c r="B1" s="1"/>
      <c r="C1" s="1"/>
      <c r="D1" s="1"/>
      <c r="E1" s="1"/>
      <c r="G1" s="72"/>
      <c r="H1" s="1"/>
      <c r="I1" s="53"/>
      <c r="J1" s="1"/>
      <c r="K1" s="53"/>
      <c r="L1" s="1"/>
      <c r="M1" s="53"/>
      <c r="U1" s="53"/>
      <c r="V1" s="1"/>
      <c r="W1" s="53"/>
      <c r="X1" s="1"/>
      <c r="Y1" s="119"/>
      <c r="Z1" s="1"/>
      <c r="AA1" s="53"/>
      <c r="AF1" s="1"/>
      <c r="AG1" s="1"/>
      <c r="AH1" s="1" t="s">
        <v>102</v>
      </c>
      <c r="AI1" s="1"/>
      <c r="AJ1" s="1"/>
      <c r="AK1" s="1"/>
      <c r="AL1" s="1"/>
      <c r="AN1" s="116" t="s">
        <v>100</v>
      </c>
      <c r="AO1" s="117">
        <v>0</v>
      </c>
      <c r="BE1" s="53"/>
      <c r="BF1" s="1"/>
      <c r="BG1" s="53"/>
      <c r="BH1" s="1"/>
      <c r="BI1" s="53"/>
      <c r="BJ1" s="1"/>
      <c r="BK1" s="53"/>
      <c r="BL1" s="1"/>
      <c r="BM1" s="53"/>
      <c r="BN1" s="1"/>
      <c r="BO1" s="53"/>
      <c r="BR1" s="1"/>
      <c r="BS1" s="1"/>
      <c r="BT1" s="1"/>
      <c r="BU1" s="1"/>
      <c r="BV1" s="1"/>
      <c r="BW1" s="1"/>
      <c r="BX1" s="1"/>
      <c r="CA1" s="132" t="s">
        <v>0</v>
      </c>
      <c r="CC1" s="145" t="s">
        <v>1</v>
      </c>
      <c r="CF1" s="1"/>
      <c r="CG1" s="1"/>
      <c r="CH1" s="1"/>
      <c r="CI1" s="1"/>
      <c r="CJ1" s="1"/>
      <c r="CK1" s="1"/>
      <c r="CL1" s="1"/>
      <c r="CO1" s="132" t="s">
        <v>0</v>
      </c>
      <c r="CQ1" s="145" t="s">
        <v>1</v>
      </c>
      <c r="CS1" s="54"/>
      <c r="CT1" s="54"/>
      <c r="CU1" s="54"/>
      <c r="CV1" s="54"/>
      <c r="CW1" s="54"/>
      <c r="CX1" s="54"/>
      <c r="CY1" s="54"/>
      <c r="DF1" s="137"/>
      <c r="DG1" s="56"/>
      <c r="DH1" s="56"/>
      <c r="DI1" s="56"/>
      <c r="DJ1" s="56"/>
      <c r="DK1" s="56"/>
      <c r="DL1" s="56"/>
      <c r="DM1" s="56"/>
      <c r="DN1" s="56"/>
      <c r="DO1" s="56"/>
      <c r="DP1" s="56"/>
    </row>
    <row r="2" spans="1:134" ht="15" thickBot="1" x14ac:dyDescent="0.35">
      <c r="A2" s="30"/>
      <c r="B2" s="40" t="s">
        <v>0</v>
      </c>
      <c r="C2" s="44" t="s">
        <v>1</v>
      </c>
      <c r="D2" s="68" t="s">
        <v>1</v>
      </c>
      <c r="E2" s="69" t="s">
        <v>0</v>
      </c>
      <c r="G2" s="72"/>
      <c r="H2" s="124" t="s">
        <v>101</v>
      </c>
      <c r="I2" s="125">
        <v>0</v>
      </c>
      <c r="J2" s="1"/>
      <c r="K2" s="53"/>
      <c r="L2" s="1"/>
      <c r="M2" s="53"/>
      <c r="U2" s="99" t="s">
        <v>0</v>
      </c>
      <c r="V2" s="1"/>
      <c r="W2" s="100" t="s">
        <v>1</v>
      </c>
      <c r="X2" s="2"/>
      <c r="Y2" s="120" t="s">
        <v>1</v>
      </c>
      <c r="Z2" s="1"/>
      <c r="AA2" s="98" t="s">
        <v>0</v>
      </c>
      <c r="AF2" s="30"/>
      <c r="AG2" s="40" t="s">
        <v>0</v>
      </c>
      <c r="AH2" s="44" t="s">
        <v>1</v>
      </c>
      <c r="AI2" s="68" t="s">
        <v>1</v>
      </c>
      <c r="AJ2" s="74" t="s">
        <v>0</v>
      </c>
      <c r="AK2" s="68" t="s">
        <v>0</v>
      </c>
      <c r="AL2" s="69" t="s">
        <v>0</v>
      </c>
      <c r="BE2" s="99" t="s">
        <v>0</v>
      </c>
      <c r="BF2" s="1"/>
      <c r="BG2" s="100" t="s">
        <v>1</v>
      </c>
      <c r="BH2" s="2"/>
      <c r="BI2" s="101" t="s">
        <v>1</v>
      </c>
      <c r="BJ2" s="1"/>
      <c r="BK2" s="102" t="s">
        <v>0</v>
      </c>
      <c r="BM2" s="103" t="s">
        <v>0</v>
      </c>
      <c r="BO2" s="98" t="s">
        <v>0</v>
      </c>
      <c r="BR2" s="30"/>
      <c r="BS2" s="132" t="s">
        <v>0</v>
      </c>
      <c r="BT2" s="145" t="s">
        <v>1</v>
      </c>
      <c r="CA2" s="126" cm="1">
        <f t="array" ref="CA2:CB134">_xll.BDH(BS4, "LAST_PRICE", "01/01/2025 15:00:00", "01/01/2035 16:00:00", "BarSize=60", "BarType=T", "RecurDaily=True", "TZ=New_York")</f>
        <v>45768.625</v>
      </c>
      <c r="CB2" s="54">
        <v>102.39749999999999</v>
      </c>
      <c r="CC2" s="126" cm="1">
        <f t="array" ref="CC2:CD134">_xll.BDH(BT4, "LAST_PRICE", "01/01/2025 15:00:00", "01/01/2035 16:00:00", "BarSize=60", "BarType=T", "RecurDaily=True", "TZ=New_York")</f>
        <v>45768.625</v>
      </c>
      <c r="CD2" s="54">
        <v>73.872</v>
      </c>
      <c r="CF2" s="30"/>
      <c r="CG2" s="132" t="s">
        <v>0</v>
      </c>
      <c r="CH2" s="145" t="s">
        <v>1</v>
      </c>
      <c r="CO2" s="126" cm="1">
        <f t="array" ref="CO2:CP138">_xll.BDH(CG4, "LAST_PRICE", "01/01/2025 15:00:00", "01/01/2035 16:00:00", "BarSize=60", "BarType=T", "RecurDaily=True", "TZ=London")</f>
        <v>45769.625</v>
      </c>
      <c r="CP2" s="54">
        <v>368.15899999999999</v>
      </c>
      <c r="CQ2" s="126" cm="1">
        <f t="array" ref="CQ2:CR138">_xll.BDH(CH4, "LAST_PRICE", "01/01/2025 15:00:00", "01/01/2035 16:00:00", "BarSize=60", "BarType=T", "RecurDaily=True", "TZ=London")</f>
        <v>45769.625</v>
      </c>
      <c r="CR2" s="54">
        <v>72.263000000000005</v>
      </c>
      <c r="CS2" s="54"/>
      <c r="CT2" s="54"/>
      <c r="CU2" s="54"/>
      <c r="CV2" s="54"/>
      <c r="CW2" s="54"/>
      <c r="CX2" s="54"/>
      <c r="CY2" s="54"/>
      <c r="DF2" s="137"/>
      <c r="DG2" s="56"/>
      <c r="DH2" s="56"/>
      <c r="DI2" s="56"/>
      <c r="DJ2" s="56"/>
      <c r="DK2" s="56"/>
      <c r="DL2" s="56"/>
      <c r="DM2" s="56"/>
      <c r="DN2" s="56"/>
      <c r="DO2" s="56"/>
      <c r="DP2" s="56"/>
    </row>
    <row r="3" spans="1:134" ht="15" thickBot="1" x14ac:dyDescent="0.35">
      <c r="A3" s="15" t="s">
        <v>32</v>
      </c>
      <c r="B3" s="61" t="s">
        <v>56</v>
      </c>
      <c r="C3" s="70" t="s">
        <v>57</v>
      </c>
      <c r="D3" s="70" t="s">
        <v>58</v>
      </c>
      <c r="E3" s="62" t="s">
        <v>59</v>
      </c>
      <c r="G3" s="139" t="s">
        <v>108</v>
      </c>
      <c r="H3" s="1"/>
      <c r="I3" s="53"/>
      <c r="J3" s="1"/>
      <c r="K3" s="53"/>
      <c r="L3" s="1"/>
      <c r="M3" s="53"/>
      <c r="U3" s="52" cm="1">
        <f t="array" ref="U3:V137">_xll.BDH(B4, "LAST_PRICE", "01/01/2025 15:00:00", "01/01/2035 16:00:00", "BarSize=60", "BarType=T", "RecurDaily=True", "TZ=London")</f>
        <v>45769.625</v>
      </c>
      <c r="V3" s="1">
        <v>91.4</v>
      </c>
      <c r="W3" s="52" cm="1">
        <f t="array" ref="W3:X141">_xll.BDH(C4, "LAST_PRICE", "01/01/2025 15:00:00", "01/01/2035 16:00:00", "BarSize=60", "BarType=T", "RecurDaily=True", "TZ=London")</f>
        <v>45769.625</v>
      </c>
      <c r="X3" s="46">
        <v>101.94</v>
      </c>
      <c r="Y3" s="121" cm="1">
        <f t="array" ref="Y3:Z129">_xll.BDH(D4, "LAST_PRICE", "01/01/2025 15:00:00", "01/01/2035 16:00:00", "BarSize=60", "BarType=T", "RecurDaily=True", "TZ=London")</f>
        <v>45769.625</v>
      </c>
      <c r="Z3" s="1">
        <v>120.54</v>
      </c>
      <c r="AA3" s="52" cm="1">
        <f t="array" ref="AA3:AB87">_xll.BDH(E4, "LAST_PRICE", "01/01/2025 15:00:00", "01/01/2035 16:00:00", "BarSize=60", "BarType=T", "RecurDaily=True", "TZ=London")</f>
        <v>45846.625</v>
      </c>
      <c r="AB3" s="54">
        <v>99.76</v>
      </c>
      <c r="AF3" s="15" t="s">
        <v>32</v>
      </c>
      <c r="AG3" s="61" t="s">
        <v>64</v>
      </c>
      <c r="AH3" s="70" t="s">
        <v>66</v>
      </c>
      <c r="AI3" s="70" t="s">
        <v>67</v>
      </c>
      <c r="AJ3" s="70" t="s">
        <v>66</v>
      </c>
      <c r="AK3" s="70" t="s">
        <v>68</v>
      </c>
      <c r="AL3" s="62" t="s">
        <v>69</v>
      </c>
      <c r="AN3" s="91" t="s">
        <v>80</v>
      </c>
      <c r="AO3" s="83" t="s">
        <v>64</v>
      </c>
      <c r="AP3" s="84" t="s">
        <v>67</v>
      </c>
      <c r="BE3" s="52" cm="1">
        <f t="array" ref="BE3:BF138">_xll.BDH(AG4, "LAST_PRICE", "01/01/2025 15:00:00", "01/01/2035 16:00:00", "BarSize=60", "BarType=T", "RecurDaily=True", "TZ=New_York")</f>
        <v>45768.625</v>
      </c>
      <c r="BF3" s="1">
        <v>77.31</v>
      </c>
      <c r="BG3" s="52" cm="1">
        <f t="array" ref="BG3:BH72">_xll.BDH(AH4, "LAST_PRICE", "01/01/2025 15:00:00", "01/01/2035 16:00:00", "BarSize=60", "BarType=T", "RecurDaily=True", "TZ=New_York")</f>
        <v>45866.625</v>
      </c>
      <c r="BH3" s="46">
        <v>99.5703125</v>
      </c>
      <c r="BI3" s="52" cm="1">
        <f t="array" ref="BI3:BJ138">_xll.BDH(AI4, "LAST_PRICE", "01/01/2025 15:00:00", "01/01/2035 16:00:00", "BarSize=60", "BarType=T", "RecurDaily=True", "TZ=New_York")</f>
        <v>45768.625</v>
      </c>
      <c r="BJ3" s="1">
        <v>105.6</v>
      </c>
      <c r="BK3" s="52" cm="1">
        <f t="array" ref="BK3:BL72">_xll.BDH(AJ4, "LAST_PRICE", "01/01/2025 15:00:00", "01/01/2035 16:00:00", "BarSize=60", "BarType=T", "RecurDaily=True", "TZ=New_York")</f>
        <v>45866.625</v>
      </c>
      <c r="BL3" s="54">
        <v>99.5703125</v>
      </c>
      <c r="BM3" s="52" cm="1">
        <f t="array" ref="BM3:BN139">_xll.BDH(AK4, "LAST_PRICE", "01/01/2025 15:00:00", "01/01/2035 16:00:00", "BarSize=60", "BarType=T", "RecurDaily=True", "TZ=New_York")</f>
        <v>45768.625</v>
      </c>
      <c r="BN3" s="54">
        <v>101.65625</v>
      </c>
      <c r="BO3" s="52" cm="1">
        <f t="array" ref="BO3:BP139">_xll.BDH(AL4, "LAST_PRICE", "01/01/2025 15:00:00", "01/01/2035 16:00:00", "BarSize=60", "BarType=T", "RecurDaily=True", "TZ=New_York")</f>
        <v>45768.625</v>
      </c>
      <c r="BP3" s="54">
        <v>95.4375</v>
      </c>
      <c r="BR3" s="15" t="s">
        <v>32</v>
      </c>
      <c r="BS3" s="61" t="s">
        <v>122</v>
      </c>
      <c r="BT3" s="62" t="s">
        <v>103</v>
      </c>
      <c r="BU3" s="41"/>
      <c r="BV3" s="41"/>
      <c r="CA3" s="126">
        <v>45769.625</v>
      </c>
      <c r="CB3" s="54">
        <v>102.7501</v>
      </c>
      <c r="CC3" s="126">
        <v>45769.625</v>
      </c>
      <c r="CD3" s="54">
        <v>72.203999999999994</v>
      </c>
      <c r="CF3" s="15" t="s">
        <v>32</v>
      </c>
      <c r="CG3" s="61" t="s">
        <v>125</v>
      </c>
      <c r="CH3" s="62" t="s">
        <v>126</v>
      </c>
      <c r="CI3" s="41"/>
      <c r="CJ3" s="41"/>
      <c r="CO3" s="126">
        <v>45770.625</v>
      </c>
      <c r="CP3" s="54">
        <v>345.98099999999999</v>
      </c>
      <c r="CQ3" s="126">
        <v>45770.625</v>
      </c>
      <c r="CR3" s="54">
        <v>67.436999999999998</v>
      </c>
      <c r="CS3" s="54"/>
      <c r="CT3" s="54"/>
      <c r="CU3" s="54"/>
      <c r="CV3" s="54"/>
      <c r="CW3" s="54"/>
      <c r="CX3" s="54"/>
      <c r="CY3" s="54"/>
      <c r="DF3" s="137"/>
      <c r="DG3" s="56"/>
      <c r="DH3" s="56"/>
      <c r="DI3" s="56"/>
      <c r="DJ3" s="56"/>
      <c r="DK3" s="56"/>
      <c r="DL3" s="56"/>
      <c r="DM3" s="56"/>
      <c r="DN3" s="56"/>
      <c r="DO3" s="56"/>
      <c r="DP3" s="56"/>
    </row>
    <row r="4" spans="1:134" ht="32.25" customHeight="1" thickBot="1" x14ac:dyDescent="0.35">
      <c r="A4" s="15" t="s">
        <v>33</v>
      </c>
      <c r="B4" s="63" t="s">
        <v>60</v>
      </c>
      <c r="C4" s="41" t="s">
        <v>62</v>
      </c>
      <c r="D4" s="41" t="s">
        <v>61</v>
      </c>
      <c r="E4" s="42" t="s">
        <v>63</v>
      </c>
      <c r="G4" s="141" t="s">
        <v>56</v>
      </c>
      <c r="H4" s="142" t="s">
        <v>58</v>
      </c>
      <c r="I4" s="53"/>
      <c r="J4" s="1"/>
      <c r="K4" s="53"/>
      <c r="L4" s="1"/>
      <c r="M4" s="53"/>
      <c r="U4" s="72">
        <v>45770.625</v>
      </c>
      <c r="V4" s="54">
        <v>92.29</v>
      </c>
      <c r="W4" s="72">
        <v>45770.625</v>
      </c>
      <c r="X4" s="54">
        <v>101.694</v>
      </c>
      <c r="Y4" s="122">
        <v>45770.625</v>
      </c>
      <c r="Z4" s="54">
        <v>120.5</v>
      </c>
      <c r="AA4" s="72">
        <v>45847.625</v>
      </c>
      <c r="AB4" s="54">
        <v>99.84</v>
      </c>
      <c r="AF4" s="15" t="s">
        <v>33</v>
      </c>
      <c r="AG4" s="63" t="s">
        <v>65</v>
      </c>
      <c r="AH4" s="41" t="s">
        <v>137</v>
      </c>
      <c r="AI4" s="41" t="s">
        <v>70</v>
      </c>
      <c r="AJ4" s="41" t="s">
        <v>137</v>
      </c>
      <c r="AK4" s="41" t="s">
        <v>138</v>
      </c>
      <c r="AL4" s="42" t="s">
        <v>139</v>
      </c>
      <c r="AN4" s="85"/>
      <c r="AO4" s="86">
        <f>AG5/AG14</f>
        <v>310752.01988812926</v>
      </c>
      <c r="AP4" s="87">
        <f>AI5/AM14</f>
        <v>236409.72431999372</v>
      </c>
      <c r="BE4" s="72">
        <v>45769.625</v>
      </c>
      <c r="BF4" s="54">
        <v>77.61</v>
      </c>
      <c r="BG4" s="72">
        <v>45867.625</v>
      </c>
      <c r="BH4" s="54">
        <v>99.890625</v>
      </c>
      <c r="BI4" s="72">
        <v>45769.625</v>
      </c>
      <c r="BJ4" s="54">
        <v>105.86</v>
      </c>
      <c r="BK4" s="72">
        <v>45867.625</v>
      </c>
      <c r="BL4" s="54">
        <v>99.890625</v>
      </c>
      <c r="BM4" s="72">
        <v>45769.625</v>
      </c>
      <c r="BN4" s="54">
        <v>101.796875</v>
      </c>
      <c r="BO4" s="72">
        <v>45769.625</v>
      </c>
      <c r="BP4" s="54">
        <v>95.921875</v>
      </c>
      <c r="BR4" s="15" t="s">
        <v>33</v>
      </c>
      <c r="BS4" s="63" t="s">
        <v>123</v>
      </c>
      <c r="BT4" s="42" t="s">
        <v>124</v>
      </c>
      <c r="BU4" s="41"/>
      <c r="BV4" s="146">
        <v>0.625</v>
      </c>
      <c r="BW4" s="41"/>
      <c r="CA4" s="126">
        <v>45770.625</v>
      </c>
      <c r="CB4" s="54">
        <v>103.4188</v>
      </c>
      <c r="CC4" s="126">
        <v>45770.625</v>
      </c>
      <c r="CD4" s="54">
        <v>69.2</v>
      </c>
      <c r="CF4" s="15" t="s">
        <v>33</v>
      </c>
      <c r="CG4" s="63" t="s">
        <v>127</v>
      </c>
      <c r="CH4" s="42" t="s">
        <v>128</v>
      </c>
      <c r="CI4" s="41"/>
      <c r="CJ4" s="146">
        <v>0.625</v>
      </c>
      <c r="CK4" s="41"/>
      <c r="CO4" s="126">
        <v>45771.625</v>
      </c>
      <c r="CP4" s="54">
        <v>345.03100000000001</v>
      </c>
      <c r="CQ4" s="126">
        <v>45771.625</v>
      </c>
      <c r="CR4" s="54">
        <v>67.173000000000002</v>
      </c>
      <c r="CS4" s="54"/>
      <c r="CT4" s="54"/>
      <c r="CU4" s="54"/>
      <c r="CV4" s="54"/>
      <c r="CW4" s="54"/>
      <c r="CX4" s="54"/>
      <c r="CY4" s="54"/>
      <c r="DF4" s="137"/>
      <c r="DG4" s="56"/>
      <c r="DH4" s="56"/>
      <c r="DI4" s="56"/>
      <c r="DJ4" s="56"/>
      <c r="DK4" s="56"/>
      <c r="DL4" s="56"/>
      <c r="DM4" s="56"/>
      <c r="DN4" s="56"/>
      <c r="DO4" s="56"/>
      <c r="DP4" s="56"/>
    </row>
    <row r="5" spans="1:134" ht="15" thickBot="1" x14ac:dyDescent="0.35">
      <c r="A5" s="15" t="s">
        <v>8</v>
      </c>
      <c r="B5" s="64">
        <f>21*10^6/$G$7*G7</f>
        <v>21000000</v>
      </c>
      <c r="C5" s="64">
        <f t="shared" ref="C5:E5" si="0">21*10^6/$G$7*H7</f>
        <v>16800000</v>
      </c>
      <c r="D5" s="64">
        <f t="shared" si="0"/>
        <v>36120000</v>
      </c>
      <c r="E5" s="64">
        <f t="shared" si="0"/>
        <v>34440000</v>
      </c>
      <c r="G5" s="140">
        <f>ROUND(B5/B14,0)</f>
        <v>223642</v>
      </c>
      <c r="H5" s="22">
        <f>ROUND(D5/H14,0)</f>
        <v>296308</v>
      </c>
      <c r="I5" s="1"/>
      <c r="J5" s="1"/>
      <c r="K5" s="1"/>
      <c r="L5" s="1"/>
      <c r="M5" s="1"/>
      <c r="U5" s="72">
        <v>45771.625</v>
      </c>
      <c r="V5" s="54">
        <v>92.32</v>
      </c>
      <c r="W5" s="72">
        <v>45771.625</v>
      </c>
      <c r="X5" s="54">
        <v>101.90300000000001</v>
      </c>
      <c r="Y5" s="122">
        <v>45771.625</v>
      </c>
      <c r="Z5" s="54">
        <v>120.87</v>
      </c>
      <c r="AA5" s="72">
        <v>45848.625</v>
      </c>
      <c r="AB5" s="54">
        <v>99.671999999999997</v>
      </c>
      <c r="AF5" s="15" t="s">
        <v>8</v>
      </c>
      <c r="AG5" s="7">
        <f t="shared" ref="AG5:AL5" si="1">25/$AN$6*AN6*10^6</f>
        <v>25000000</v>
      </c>
      <c r="AH5" s="7">
        <f>25/$AN$6*AO6*10^6</f>
        <v>13928571.428571429</v>
      </c>
      <c r="AI5" s="7">
        <f t="shared" si="1"/>
        <v>25714285.714285716</v>
      </c>
      <c r="AJ5" s="7">
        <f t="shared" si="1"/>
        <v>12142857.142857144</v>
      </c>
      <c r="AK5" s="7">
        <f t="shared" si="1"/>
        <v>5357142.8571428573</v>
      </c>
      <c r="AL5" s="7">
        <f t="shared" si="1"/>
        <v>7500000</v>
      </c>
      <c r="AN5" s="53"/>
      <c r="AO5" s="1"/>
      <c r="AP5" s="53"/>
      <c r="BE5" s="72">
        <v>45770.625</v>
      </c>
      <c r="BF5" s="54">
        <v>78</v>
      </c>
      <c r="BG5" s="72">
        <v>45868.625</v>
      </c>
      <c r="BH5" s="54">
        <v>99.625</v>
      </c>
      <c r="BI5" s="72">
        <v>45770.625</v>
      </c>
      <c r="BJ5" s="54">
        <v>106.33</v>
      </c>
      <c r="BK5" s="72">
        <v>45868.625</v>
      </c>
      <c r="BL5" s="54">
        <v>99.625</v>
      </c>
      <c r="BM5" s="72">
        <v>45770.625</v>
      </c>
      <c r="BN5" s="54">
        <v>101.9375</v>
      </c>
      <c r="BO5" s="72">
        <v>45770.625</v>
      </c>
      <c r="BP5" s="54">
        <v>96.84375</v>
      </c>
      <c r="BR5" s="15" t="s">
        <v>8</v>
      </c>
      <c r="BS5" s="64">
        <f>25*10^6</f>
        <v>25000000</v>
      </c>
      <c r="BT5" s="8">
        <f>25*10^6*5</f>
        <v>125000000</v>
      </c>
      <c r="BU5" s="7"/>
      <c r="BV5" s="7"/>
      <c r="BW5" s="7"/>
      <c r="CA5" s="126">
        <v>45771.625</v>
      </c>
      <c r="CB5" s="54">
        <v>103.9344</v>
      </c>
      <c r="CC5" s="126">
        <v>45771.625</v>
      </c>
      <c r="CD5" s="54">
        <v>66.697999999999993</v>
      </c>
      <c r="CF5" s="15" t="s">
        <v>8</v>
      </c>
      <c r="CG5" s="64">
        <f>21*10^6</f>
        <v>21000000</v>
      </c>
      <c r="CH5" s="8">
        <f>21*10^6*4.5</f>
        <v>94500000</v>
      </c>
      <c r="CI5" s="7"/>
      <c r="CJ5" s="7"/>
      <c r="CK5" s="7"/>
      <c r="CO5" s="126">
        <v>45772.625</v>
      </c>
      <c r="CP5" s="54">
        <v>341.92700000000002</v>
      </c>
      <c r="CQ5" s="126">
        <v>45772.625</v>
      </c>
      <c r="CR5" s="54">
        <v>66.277000000000001</v>
      </c>
      <c r="CS5" s="54"/>
      <c r="CT5" s="54"/>
      <c r="CU5" s="54"/>
      <c r="CV5" s="54"/>
      <c r="CW5" s="54"/>
      <c r="CX5" s="54"/>
      <c r="CY5" s="54"/>
      <c r="DF5" s="137"/>
      <c r="DG5" s="56"/>
      <c r="DH5" s="56"/>
      <c r="DI5" s="56"/>
      <c r="DJ5" s="56"/>
      <c r="DK5" s="56"/>
      <c r="DL5" s="56"/>
      <c r="DM5" s="56"/>
      <c r="DN5" s="56"/>
      <c r="DO5" s="56"/>
      <c r="DP5" s="56"/>
    </row>
    <row r="6" spans="1:134" x14ac:dyDescent="0.3">
      <c r="A6" s="15" t="s">
        <v>10</v>
      </c>
      <c r="B6" s="66">
        <v>0</v>
      </c>
      <c r="C6" s="71">
        <v>2.4E-2</v>
      </c>
      <c r="D6" s="71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U6" s="72">
        <v>45772.625</v>
      </c>
      <c r="V6" s="54">
        <v>92.35</v>
      </c>
      <c r="W6" s="72">
        <v>45772.625</v>
      </c>
      <c r="X6" s="54">
        <v>101.78100000000001</v>
      </c>
      <c r="Y6" s="122">
        <v>45772.625</v>
      </c>
      <c r="Z6" s="54">
        <v>120.71</v>
      </c>
      <c r="AA6" s="72">
        <v>45849.625</v>
      </c>
      <c r="AB6" s="54">
        <v>99.567999999999998</v>
      </c>
      <c r="AF6" s="15" t="s">
        <v>10</v>
      </c>
      <c r="AG6" s="66">
        <v>0</v>
      </c>
      <c r="AH6" s="71">
        <f>(3+7/8)*0.01</f>
        <v>3.875E-2</v>
      </c>
      <c r="AI6" s="71">
        <v>0</v>
      </c>
      <c r="AJ6" s="71">
        <f>(3+7/8)*0.01</f>
        <v>3.875E-2</v>
      </c>
      <c r="AK6" s="71">
        <f>(4+5/8)*0.01</f>
        <v>4.6249999999999999E-2</v>
      </c>
      <c r="AL6" s="10">
        <f>(4+5/8)*0.01</f>
        <v>4.6249999999999999E-2</v>
      </c>
      <c r="AN6" s="64">
        <f>35*10^6</f>
        <v>35000000</v>
      </c>
      <c r="AO6" s="7">
        <f>19.5*10^6</f>
        <v>19500000</v>
      </c>
      <c r="AP6" s="7">
        <f>36*10^6</f>
        <v>36000000</v>
      </c>
      <c r="AQ6" s="7">
        <f>17*10^6</f>
        <v>17000000</v>
      </c>
      <c r="AR6" s="7">
        <f>7.5*10^6</f>
        <v>7500000</v>
      </c>
      <c r="AS6" s="8">
        <f>10.5*10^6</f>
        <v>10500000</v>
      </c>
      <c r="BE6" s="72">
        <v>45771.625</v>
      </c>
      <c r="BF6" s="54">
        <v>78.62</v>
      </c>
      <c r="BG6" s="72">
        <v>45869.625</v>
      </c>
      <c r="BH6" s="54">
        <v>99.640625</v>
      </c>
      <c r="BI6" s="72">
        <v>45771.625</v>
      </c>
      <c r="BJ6" s="54">
        <v>107.38</v>
      </c>
      <c r="BK6" s="72">
        <v>45869.625</v>
      </c>
      <c r="BL6" s="54">
        <v>99.640625</v>
      </c>
      <c r="BM6" s="72">
        <v>45771.625</v>
      </c>
      <c r="BN6" s="54">
        <v>102.5</v>
      </c>
      <c r="BO6" s="72">
        <v>45771.625</v>
      </c>
      <c r="BP6" s="54">
        <v>97.78125</v>
      </c>
      <c r="BR6" s="15" t="s">
        <v>10</v>
      </c>
      <c r="BS6" s="66">
        <v>0.05</v>
      </c>
      <c r="BT6" s="10">
        <v>0.01</v>
      </c>
      <c r="BU6" s="71"/>
      <c r="BV6" s="71"/>
      <c r="BW6" s="71"/>
      <c r="CA6" s="126">
        <v>45772.625</v>
      </c>
      <c r="CB6" s="54">
        <v>103.9329</v>
      </c>
      <c r="CC6" s="126">
        <v>45772.625</v>
      </c>
      <c r="CD6" s="54">
        <v>66.552999999999997</v>
      </c>
      <c r="CF6" s="15" t="s">
        <v>10</v>
      </c>
      <c r="CG6" s="66">
        <v>0.05</v>
      </c>
      <c r="CH6" s="10">
        <v>0.01</v>
      </c>
      <c r="CI6" s="71"/>
      <c r="CJ6" s="71"/>
      <c r="CK6" s="71"/>
      <c r="CO6" s="126">
        <v>45775.625</v>
      </c>
      <c r="CP6" s="54">
        <v>338.5</v>
      </c>
      <c r="CQ6" s="126">
        <v>45775.625</v>
      </c>
      <c r="CR6" s="54">
        <v>65.525000000000006</v>
      </c>
      <c r="CS6" s="54"/>
      <c r="CT6" s="54"/>
      <c r="CU6" s="54"/>
      <c r="CV6" s="54"/>
      <c r="CW6" s="54"/>
      <c r="CX6" s="54"/>
      <c r="CY6" s="54"/>
      <c r="DF6" s="137"/>
      <c r="DG6" s="56"/>
      <c r="DH6" s="56"/>
      <c r="DI6" s="56"/>
      <c r="DJ6" s="56"/>
      <c r="DK6" s="56"/>
      <c r="DL6" s="56"/>
      <c r="DM6" s="56"/>
      <c r="DN6" s="56"/>
      <c r="DO6" s="56"/>
      <c r="DP6" s="56"/>
    </row>
    <row r="7" spans="1:134" x14ac:dyDescent="0.3">
      <c r="A7" s="15" t="s">
        <v>12</v>
      </c>
      <c r="B7" s="66">
        <v>4.2299999999999997E-2</v>
      </c>
      <c r="C7" s="71">
        <v>4.2299999999999997E-2</v>
      </c>
      <c r="D7" s="71">
        <v>4.2299999999999997E-2</v>
      </c>
      <c r="E7" s="10">
        <v>4.2299999999999997E-2</v>
      </c>
      <c r="G7" s="64">
        <f>25*10^6</f>
        <v>25000000</v>
      </c>
      <c r="H7" s="7">
        <f>20*10^6</f>
        <v>20000000</v>
      </c>
      <c r="I7" s="7">
        <f>43*10^6</f>
        <v>43000000</v>
      </c>
      <c r="J7" s="8">
        <f>41*10^6</f>
        <v>41000000</v>
      </c>
      <c r="K7" s="53"/>
      <c r="L7" s="1"/>
      <c r="M7" s="53"/>
      <c r="N7" s="1"/>
      <c r="O7" s="1"/>
      <c r="P7" s="1"/>
      <c r="Q7" s="1"/>
      <c r="U7" s="72">
        <v>45776.625</v>
      </c>
      <c r="V7" s="54">
        <v>92.23</v>
      </c>
      <c r="W7" s="72">
        <v>45775.625</v>
      </c>
      <c r="X7" s="54">
        <v>101.74299999999999</v>
      </c>
      <c r="Y7" s="122">
        <v>45775.625</v>
      </c>
      <c r="Z7" s="54">
        <v>120.57</v>
      </c>
      <c r="AA7" s="72">
        <v>45852.625</v>
      </c>
      <c r="AB7" s="54">
        <v>99.611999999999995</v>
      </c>
      <c r="AF7" s="15" t="s">
        <v>12</v>
      </c>
      <c r="AG7" s="66">
        <v>4.2299999999999997E-2</v>
      </c>
      <c r="AH7" s="71">
        <v>4.2299999999999997E-2</v>
      </c>
      <c r="AI7" s="71">
        <v>4.2299999999999997E-2</v>
      </c>
      <c r="AJ7" s="71">
        <v>4.2299999999999997E-2</v>
      </c>
      <c r="AK7" s="71">
        <v>4.2299999999999997E-2</v>
      </c>
      <c r="AL7" s="10">
        <v>4.2299999999999997E-2</v>
      </c>
      <c r="AQ7" s="1"/>
      <c r="AU7" s="1"/>
      <c r="AY7" s="1"/>
      <c r="AZ7" s="1"/>
      <c r="BA7" s="1"/>
      <c r="BB7" s="1"/>
      <c r="BC7" s="1"/>
      <c r="BE7" s="72">
        <v>45772.625</v>
      </c>
      <c r="BF7" s="54">
        <v>78.77</v>
      </c>
      <c r="BG7" s="72">
        <v>45870.625</v>
      </c>
      <c r="BH7" s="54">
        <v>100.5390625</v>
      </c>
      <c r="BI7" s="72">
        <v>45772.625</v>
      </c>
      <c r="BJ7" s="54">
        <v>107.99</v>
      </c>
      <c r="BK7" s="72">
        <v>45870.625</v>
      </c>
      <c r="BL7" s="54">
        <v>100.5390625</v>
      </c>
      <c r="BM7" s="72">
        <v>45772.625</v>
      </c>
      <c r="BN7" s="54">
        <v>102.90625</v>
      </c>
      <c r="BO7" s="72">
        <v>45772.625</v>
      </c>
      <c r="BP7" s="54">
        <v>98.421875</v>
      </c>
      <c r="BR7" s="15" t="s">
        <v>12</v>
      </c>
      <c r="BS7" s="66">
        <v>0</v>
      </c>
      <c r="BT7" s="10">
        <v>0</v>
      </c>
      <c r="BU7" s="71"/>
      <c r="BV7" s="71"/>
      <c r="BW7" s="71"/>
      <c r="CA7" s="126">
        <v>45775.625</v>
      </c>
      <c r="CB7" s="54">
        <v>103.898</v>
      </c>
      <c r="CC7" s="126">
        <v>45775.625</v>
      </c>
      <c r="CD7" s="54">
        <v>67.087000000000003</v>
      </c>
      <c r="CF7" s="15" t="s">
        <v>12</v>
      </c>
      <c r="CG7" s="66">
        <v>0</v>
      </c>
      <c r="CH7" s="10">
        <v>0</v>
      </c>
      <c r="CI7" s="71"/>
      <c r="CJ7" s="71"/>
      <c r="CK7" s="71"/>
      <c r="CO7" s="126">
        <v>45776.625</v>
      </c>
      <c r="CP7" s="54">
        <v>341.74400000000003</v>
      </c>
      <c r="CQ7" s="126">
        <v>45776.625</v>
      </c>
      <c r="CR7" s="54">
        <v>66.52</v>
      </c>
      <c r="CS7" s="54"/>
      <c r="CT7" s="54"/>
      <c r="CU7" s="54"/>
      <c r="CV7" s="54"/>
      <c r="CW7" s="54"/>
      <c r="CX7" s="54"/>
      <c r="CY7" s="54"/>
      <c r="DF7" s="137"/>
      <c r="DG7" s="56"/>
      <c r="DH7" s="56"/>
      <c r="DI7" s="56"/>
      <c r="DJ7" s="56"/>
      <c r="DK7" s="56"/>
      <c r="DL7" s="56"/>
      <c r="DM7" s="56"/>
      <c r="DN7" s="56"/>
      <c r="DO7" s="56"/>
      <c r="DP7" s="56"/>
    </row>
    <row r="8" spans="1:134" x14ac:dyDescent="0.3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U8" s="72">
        <v>45777.625</v>
      </c>
      <c r="V8" s="54">
        <v>91.86</v>
      </c>
      <c r="W8" s="72">
        <v>45776.625</v>
      </c>
      <c r="X8" s="54">
        <v>101.75</v>
      </c>
      <c r="Y8" s="122">
        <v>45777.625</v>
      </c>
      <c r="Z8" s="54">
        <v>120.56</v>
      </c>
      <c r="AA8" s="72">
        <v>45853.625</v>
      </c>
      <c r="AB8" s="54">
        <v>99.713999999999999</v>
      </c>
      <c r="AF8" s="15" t="s">
        <v>14</v>
      </c>
      <c r="AG8" s="4" t="s">
        <v>23</v>
      </c>
      <c r="AH8" s="1" t="s">
        <v>23</v>
      </c>
      <c r="AI8" s="1" t="s">
        <v>23</v>
      </c>
      <c r="AJ8" s="1" t="s">
        <v>23</v>
      </c>
      <c r="AK8" s="1" t="s">
        <v>23</v>
      </c>
      <c r="AL8" s="5" t="s">
        <v>23</v>
      </c>
      <c r="AQ8" s="1"/>
      <c r="AU8" s="1"/>
      <c r="AY8" s="1"/>
      <c r="AZ8" s="1"/>
      <c r="BA8" s="1"/>
      <c r="BB8" s="1"/>
      <c r="BC8" s="1"/>
      <c r="BE8" s="72">
        <v>45775.625</v>
      </c>
      <c r="BF8" s="54">
        <v>78.81</v>
      </c>
      <c r="BG8" s="72">
        <v>45873.625</v>
      </c>
      <c r="BH8" s="54">
        <v>100.5859375</v>
      </c>
      <c r="BI8" s="72">
        <v>45775.625</v>
      </c>
      <c r="BJ8" s="54">
        <v>108.24</v>
      </c>
      <c r="BK8" s="72">
        <v>45873.625</v>
      </c>
      <c r="BL8" s="54">
        <v>100.5859375</v>
      </c>
      <c r="BM8" s="72">
        <v>45775.625</v>
      </c>
      <c r="BN8" s="54">
        <v>103.3125</v>
      </c>
      <c r="BO8" s="72">
        <v>45775.625</v>
      </c>
      <c r="BP8" s="54">
        <v>99.03125</v>
      </c>
      <c r="BR8" s="15" t="s">
        <v>14</v>
      </c>
      <c r="BS8" s="4" t="s">
        <v>23</v>
      </c>
      <c r="BT8" s="5">
        <v>4.5</v>
      </c>
      <c r="BU8" s="1"/>
      <c r="BV8" s="1"/>
      <c r="BW8" s="1"/>
      <c r="CA8" s="126">
        <v>45776.625</v>
      </c>
      <c r="CB8" s="54">
        <v>103.99760000000001</v>
      </c>
      <c r="CC8" s="126">
        <v>45776.625</v>
      </c>
      <c r="CD8" s="54">
        <v>66.930999999999997</v>
      </c>
      <c r="CF8" s="15" t="s">
        <v>14</v>
      </c>
      <c r="CG8" s="4">
        <v>4.4000000000000004</v>
      </c>
      <c r="CH8" s="5">
        <v>4.5999999999999996</v>
      </c>
      <c r="CI8" s="1"/>
      <c r="CJ8" s="1"/>
      <c r="CK8" s="1"/>
      <c r="CO8" s="126">
        <v>45777.625</v>
      </c>
      <c r="CP8" s="54">
        <v>350.83699999999999</v>
      </c>
      <c r="CQ8" s="126">
        <v>45777.625</v>
      </c>
      <c r="CR8" s="54">
        <v>68.284000000000006</v>
      </c>
      <c r="CS8" s="54"/>
      <c r="CT8" s="54"/>
      <c r="CU8" s="54"/>
      <c r="CV8" s="54"/>
      <c r="CW8" s="54"/>
      <c r="CX8" s="54"/>
      <c r="CY8" s="54"/>
      <c r="DF8" s="137"/>
      <c r="DG8" s="56"/>
      <c r="DH8" s="56"/>
      <c r="DI8" s="56"/>
      <c r="DJ8" s="56"/>
      <c r="DK8" s="56"/>
      <c r="DL8" s="56"/>
      <c r="DM8" s="56"/>
      <c r="DN8" s="56"/>
      <c r="DO8" s="56"/>
      <c r="DP8" s="56"/>
    </row>
    <row r="9" spans="1:134" x14ac:dyDescent="0.3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U9" s="72">
        <v>45778.625</v>
      </c>
      <c r="V9" s="54">
        <v>92.17</v>
      </c>
      <c r="W9" s="72">
        <v>45777.625</v>
      </c>
      <c r="X9" s="54">
        <v>101.923</v>
      </c>
      <c r="Y9" s="122">
        <v>45778.625</v>
      </c>
      <c r="Z9" s="54">
        <v>120.75</v>
      </c>
      <c r="AA9" s="72">
        <v>45854.625</v>
      </c>
      <c r="AB9" s="54">
        <v>99.841999999999999</v>
      </c>
      <c r="AF9" s="15" t="s">
        <v>15</v>
      </c>
      <c r="AG9" s="4" t="s">
        <v>23</v>
      </c>
      <c r="AH9" s="1" t="s">
        <v>23</v>
      </c>
      <c r="AI9" s="1"/>
      <c r="AJ9" s="1"/>
      <c r="AK9" s="1"/>
      <c r="AL9" s="5" t="s">
        <v>23</v>
      </c>
      <c r="AQ9" s="1"/>
      <c r="AU9" s="1"/>
      <c r="AV9" s="53"/>
      <c r="AW9" s="1"/>
      <c r="AX9" s="53"/>
      <c r="AY9" s="1"/>
      <c r="AZ9" s="1"/>
      <c r="BA9" s="1"/>
      <c r="BB9" s="1"/>
      <c r="BC9" s="1"/>
      <c r="BE9" s="72">
        <v>45776.625</v>
      </c>
      <c r="BF9" s="54">
        <v>79.02</v>
      </c>
      <c r="BG9" s="72">
        <v>45874.625</v>
      </c>
      <c r="BH9" s="54">
        <v>100.4921875</v>
      </c>
      <c r="BI9" s="72">
        <v>45776.625</v>
      </c>
      <c r="BJ9" s="54">
        <v>108.49</v>
      </c>
      <c r="BK9" s="72">
        <v>45874.625</v>
      </c>
      <c r="BL9" s="54">
        <v>100.4921875</v>
      </c>
      <c r="BM9" s="72">
        <v>45776.625</v>
      </c>
      <c r="BN9" s="54">
        <v>103.6875</v>
      </c>
      <c r="BO9" s="72">
        <v>45776.625</v>
      </c>
      <c r="BP9" s="54">
        <v>99.828125</v>
      </c>
      <c r="BR9" s="15" t="s">
        <v>15</v>
      </c>
      <c r="BS9" s="4" t="s">
        <v>23</v>
      </c>
      <c r="BT9" s="5"/>
      <c r="BU9" s="1"/>
      <c r="BV9" s="1"/>
      <c r="BW9" s="1"/>
      <c r="CA9" s="126">
        <v>45777.625</v>
      </c>
      <c r="CB9" s="54">
        <v>103.62090000000001</v>
      </c>
      <c r="CC9" s="126">
        <v>45777.625</v>
      </c>
      <c r="CD9" s="54">
        <v>68.186000000000007</v>
      </c>
      <c r="CF9" s="15" t="s">
        <v>15</v>
      </c>
      <c r="CG9" s="4" t="s">
        <v>23</v>
      </c>
      <c r="CH9" s="5"/>
      <c r="CI9" s="1"/>
      <c r="CJ9" s="1"/>
      <c r="CK9" s="1"/>
      <c r="CO9" s="126">
        <v>45778.625</v>
      </c>
      <c r="CP9" s="54">
        <v>343.14400000000001</v>
      </c>
      <c r="CQ9" s="126">
        <v>45778.625</v>
      </c>
      <c r="CR9" s="54">
        <v>66.575999999999993</v>
      </c>
      <c r="CS9" s="54"/>
      <c r="CT9" s="54"/>
      <c r="CU9" s="54"/>
      <c r="CV9" s="54"/>
      <c r="CW9" s="54"/>
      <c r="CX9" s="54"/>
      <c r="CY9" s="54"/>
      <c r="DF9" s="137"/>
      <c r="DG9" s="56"/>
      <c r="DH9" s="56"/>
      <c r="DI9" s="56"/>
      <c r="DJ9" s="56"/>
      <c r="DK9" s="56"/>
      <c r="DL9" s="56"/>
      <c r="DM9" s="56"/>
      <c r="DN9" s="56"/>
      <c r="DO9" s="56"/>
      <c r="DP9" s="56"/>
    </row>
    <row r="10" spans="1:134" ht="15" thickBot="1" x14ac:dyDescent="0.35">
      <c r="A10" s="16" t="s">
        <v>28</v>
      </c>
      <c r="B10" s="11" cm="1">
        <f t="array" ref="B10">_xll.BDP(B4,"px_last")</f>
        <v>92.55</v>
      </c>
      <c r="C10" s="21" cm="1">
        <f t="array" ref="C10">_xll.BDP(C4,"px_last")</f>
        <v>101.01600000000001</v>
      </c>
      <c r="D10" s="118" cm="1">
        <f t="array" ref="D10">_xll.BDP(D4,"px_last")</f>
        <v>121.34</v>
      </c>
      <c r="E10" s="22" cm="1">
        <f t="array" ref="E10">_xll.BDP(E4,"px_last")</f>
        <v>99.747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U10" s="72">
        <v>45779.625</v>
      </c>
      <c r="V10" s="54">
        <v>92.25</v>
      </c>
      <c r="W10" s="72">
        <v>45779.625</v>
      </c>
      <c r="X10" s="54">
        <v>101.658</v>
      </c>
      <c r="Y10" s="122">
        <v>45779.625</v>
      </c>
      <c r="Z10" s="54">
        <v>120.42</v>
      </c>
      <c r="AA10" s="72">
        <v>45855.625</v>
      </c>
      <c r="AB10" s="54">
        <v>99.9</v>
      </c>
      <c r="AF10" s="16" t="s">
        <v>28</v>
      </c>
      <c r="AG10" s="11" cm="1">
        <f t="array" ref="AG10">_xll.BDP(AG4,"px_last")</f>
        <v>80.290000000000006</v>
      </c>
      <c r="AH10" s="21" cm="1">
        <f t="array" ref="AH10">_xll.BDP(AH4,"px_last")</f>
        <v>100.7421875</v>
      </c>
      <c r="AI10" s="21" cm="1">
        <f t="array" ref="AI10">_xll.BDP(AI4,"px_last")</f>
        <v>110.48</v>
      </c>
      <c r="AJ10" s="21" cm="1">
        <f t="array" ref="AJ10">_xll.BDP(AJ4,"px_last")</f>
        <v>100.7421875</v>
      </c>
      <c r="AK10" s="21" cm="1">
        <f t="array" ref="AK10">_xll.BDP(AK4,"px_last")</f>
        <v>104.234375</v>
      </c>
      <c r="AL10" s="22" cm="1">
        <f t="array" ref="AL10">_xll.BDP(AL4,"px_last")</f>
        <v>98.828125</v>
      </c>
      <c r="AM10" s="1"/>
      <c r="AN10" s="53"/>
      <c r="AO10" s="1"/>
      <c r="AP10" s="53"/>
      <c r="AQ10" s="1"/>
      <c r="AR10" s="53"/>
      <c r="AS10" s="1"/>
      <c r="AT10" s="53"/>
      <c r="AU10" s="1"/>
      <c r="AV10" s="53"/>
      <c r="AW10" s="1"/>
      <c r="AX10" s="53"/>
      <c r="AY10" s="1"/>
      <c r="AZ10" s="1"/>
      <c r="BA10" s="1"/>
      <c r="BB10" s="1"/>
      <c r="BC10" s="1"/>
      <c r="BE10" s="72">
        <v>45777.625</v>
      </c>
      <c r="BF10" s="54">
        <v>78.599999999999994</v>
      </c>
      <c r="BG10" s="72">
        <v>45875.625</v>
      </c>
      <c r="BH10" s="54">
        <v>100.5</v>
      </c>
      <c r="BI10" s="72">
        <v>45777.625</v>
      </c>
      <c r="BJ10" s="54">
        <v>108</v>
      </c>
      <c r="BK10" s="72">
        <v>45875.625</v>
      </c>
      <c r="BL10" s="54">
        <v>100.5</v>
      </c>
      <c r="BM10" s="72">
        <v>45777.625</v>
      </c>
      <c r="BN10" s="54">
        <v>103.78125</v>
      </c>
      <c r="BO10" s="72">
        <v>45777.625</v>
      </c>
      <c r="BP10" s="54">
        <v>99.046875</v>
      </c>
      <c r="BR10" s="16" t="s">
        <v>28</v>
      </c>
      <c r="BS10" s="11" cm="1">
        <f t="array" ref="BS10">_xll.BDP(BS4,"PX_LAST")</f>
        <v>107.4769</v>
      </c>
      <c r="BT10" s="22" cm="1">
        <f t="array" ref="BT10">_xll.BDP(BT4,"PX_LAST")</f>
        <v>48.98245</v>
      </c>
      <c r="BU10" s="41"/>
      <c r="BV10" s="41"/>
      <c r="BY10" s="1"/>
      <c r="CA10" s="126">
        <v>45778.625</v>
      </c>
      <c r="CB10" s="54">
        <v>103.7897</v>
      </c>
      <c r="CC10" s="126">
        <v>45778.625</v>
      </c>
      <c r="CD10" s="54">
        <v>67.370999999999995</v>
      </c>
      <c r="CF10" s="16" t="s">
        <v>28</v>
      </c>
      <c r="CG10" s="11" cm="1">
        <f t="array" ref="CG10">_xll.BDP(CG4,"PX_LAST")</f>
        <v>244.9984</v>
      </c>
      <c r="CH10" s="22" cm="1">
        <f t="array" ref="CH10">_xll.BDP(CH4,"PX_LAST")</f>
        <v>48.876330000000003</v>
      </c>
      <c r="CI10" s="41"/>
      <c r="CJ10" s="41"/>
      <c r="CM10" s="1"/>
      <c r="CO10" s="126">
        <v>45779.625</v>
      </c>
      <c r="CP10" s="54">
        <v>333.99900000000002</v>
      </c>
      <c r="CQ10" s="126">
        <v>45779.625</v>
      </c>
      <c r="CR10" s="54">
        <v>64.894000000000005</v>
      </c>
      <c r="CS10" s="54"/>
      <c r="CT10" s="54"/>
      <c r="CU10" s="54"/>
      <c r="CV10" s="54"/>
      <c r="CW10" s="54"/>
      <c r="CX10" s="54"/>
      <c r="CY10" s="54"/>
      <c r="DF10" s="144" t="s">
        <v>116</v>
      </c>
      <c r="DK10" s="56">
        <f>_xlfn.STDEV.P(DG13:DG49)</f>
        <v>32772.963548319633</v>
      </c>
      <c r="DL10" s="56">
        <f>_xlfn.STDEV.P(DH13:DH49)</f>
        <v>55606.85976599023</v>
      </c>
      <c r="DM10" s="56">
        <f>_xlfn.STDEV.P(DI13:DI49)</f>
        <v>27570.024921941549</v>
      </c>
      <c r="DN10" s="56">
        <f>_xlfn.STDEV.P(DJ13:DJ49)</f>
        <v>38425.474407313173</v>
      </c>
      <c r="DP10" s="56"/>
      <c r="DQ10" s="56"/>
      <c r="DR10" s="56"/>
    </row>
    <row r="11" spans="1:134" ht="15" thickBot="1" x14ac:dyDescent="0.3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U11" s="72">
        <v>45783.625</v>
      </c>
      <c r="V11" s="54">
        <v>92.25</v>
      </c>
      <c r="W11" s="72">
        <v>45782.625</v>
      </c>
      <c r="X11" s="54">
        <v>101.652</v>
      </c>
      <c r="Y11" s="122">
        <v>45783.625</v>
      </c>
      <c r="Z11" s="54">
        <v>120.4</v>
      </c>
      <c r="AA11" s="72">
        <v>45856.625</v>
      </c>
      <c r="AB11" s="54">
        <v>99.805999999999997</v>
      </c>
      <c r="AF11" s="54"/>
      <c r="AH11" s="1"/>
      <c r="AI11" s="1"/>
      <c r="AJ11" s="1"/>
      <c r="AK11" s="1"/>
      <c r="AL11" s="1"/>
      <c r="AM11" s="1"/>
      <c r="AN11" s="53"/>
      <c r="AO11" s="1"/>
      <c r="AP11" s="53"/>
      <c r="AQ11" s="1"/>
      <c r="AR11" s="53"/>
      <c r="AS11" s="1"/>
      <c r="AT11" s="53"/>
      <c r="AU11" s="1"/>
      <c r="AV11" s="53"/>
      <c r="AW11" s="1"/>
      <c r="AX11" s="53"/>
      <c r="AY11" s="1"/>
      <c r="AZ11" s="1"/>
      <c r="BA11" s="1"/>
      <c r="BB11" s="1"/>
      <c r="BC11" s="1"/>
      <c r="BE11" s="72">
        <v>45778.625</v>
      </c>
      <c r="BF11" s="54">
        <v>78.3</v>
      </c>
      <c r="BG11" s="72">
        <v>45876.625</v>
      </c>
      <c r="BH11" s="54">
        <v>100.4140625</v>
      </c>
      <c r="BI11" s="72">
        <v>45778.625</v>
      </c>
      <c r="BJ11" s="54">
        <v>107.17</v>
      </c>
      <c r="BK11" s="72">
        <v>45876.625</v>
      </c>
      <c r="BL11" s="54">
        <v>100.4140625</v>
      </c>
      <c r="BM11" s="72">
        <v>45778.625</v>
      </c>
      <c r="BN11" s="54">
        <v>103.265625</v>
      </c>
      <c r="BO11" s="72">
        <v>45778.625</v>
      </c>
      <c r="BP11" s="54">
        <v>98.515625</v>
      </c>
      <c r="BR11" s="54"/>
      <c r="BT11" s="1"/>
      <c r="BU11" s="41"/>
      <c r="BV11" s="41"/>
      <c r="BX11" s="1"/>
      <c r="BY11" s="1"/>
      <c r="CA11" s="126">
        <v>45779.625</v>
      </c>
      <c r="CB11" s="54">
        <v>104.4299</v>
      </c>
      <c r="CC11" s="126">
        <v>45779.625</v>
      </c>
      <c r="CD11" s="54">
        <v>64.525999999999996</v>
      </c>
      <c r="CH11" s="1"/>
      <c r="CI11" s="41"/>
      <c r="CJ11" s="41"/>
      <c r="CL11" s="1"/>
      <c r="CM11" s="1"/>
      <c r="CO11" s="126">
        <v>45783.625</v>
      </c>
      <c r="CP11" s="54">
        <v>331.04300000000001</v>
      </c>
      <c r="CQ11" s="126">
        <v>45783.625</v>
      </c>
      <c r="CR11" s="54">
        <v>64.090999999999994</v>
      </c>
      <c r="CS11" s="54"/>
      <c r="CT11" s="54"/>
      <c r="CU11" s="54"/>
      <c r="CV11" s="54"/>
      <c r="CW11" s="54"/>
      <c r="CX11" s="54"/>
      <c r="CY11" s="54"/>
      <c r="DF11" s="137" t="s">
        <v>117</v>
      </c>
      <c r="DG11" s="56"/>
      <c r="DH11" s="56"/>
      <c r="DI11" s="56"/>
      <c r="DJ11" s="56"/>
      <c r="DK11" s="56">
        <f>$DK$10/DK10</f>
        <v>1</v>
      </c>
      <c r="DL11" s="56">
        <v>1</v>
      </c>
      <c r="DM11" s="56">
        <v>1</v>
      </c>
      <c r="DN11" s="56">
        <v>1</v>
      </c>
      <c r="DO11" s="144"/>
      <c r="DP11" s="144"/>
      <c r="DQ11" s="144"/>
      <c r="DR11" s="144"/>
    </row>
    <row r="12" spans="1:134" ht="15" thickBot="1" x14ac:dyDescent="0.35">
      <c r="A12" s="39" t="s">
        <v>22</v>
      </c>
      <c r="B12" s="169" t="s">
        <v>0</v>
      </c>
      <c r="C12" s="170"/>
      <c r="D12" s="170"/>
      <c r="E12" s="175" t="s">
        <v>1</v>
      </c>
      <c r="F12" s="176"/>
      <c r="G12" s="177"/>
      <c r="H12" s="172" t="s">
        <v>1</v>
      </c>
      <c r="I12" s="173"/>
      <c r="J12" s="174"/>
      <c r="K12" s="178" t="s">
        <v>0</v>
      </c>
      <c r="L12" s="179"/>
      <c r="M12" s="180"/>
      <c r="N12" s="39" t="s">
        <v>111</v>
      </c>
      <c r="O12" s="39" t="s">
        <v>109</v>
      </c>
      <c r="P12" s="39" t="s">
        <v>110</v>
      </c>
      <c r="Q12" s="39" t="s">
        <v>107</v>
      </c>
      <c r="R12" s="39" t="s">
        <v>16</v>
      </c>
      <c r="S12" s="1"/>
      <c r="U12" s="72">
        <v>45784.625</v>
      </c>
      <c r="V12" s="54">
        <v>92.3</v>
      </c>
      <c r="W12" s="72">
        <v>45783.625</v>
      </c>
      <c r="X12" s="54">
        <v>101.666</v>
      </c>
      <c r="Y12" s="122">
        <v>45785.625</v>
      </c>
      <c r="Z12" s="54">
        <v>120.69</v>
      </c>
      <c r="AA12" s="72">
        <v>45859.625</v>
      </c>
      <c r="AB12" s="54">
        <v>100.142</v>
      </c>
      <c r="AF12" s="39" t="s">
        <v>22</v>
      </c>
      <c r="AG12" s="169" t="s">
        <v>0</v>
      </c>
      <c r="AH12" s="170"/>
      <c r="AI12" s="170"/>
      <c r="AJ12" s="175" t="s">
        <v>1</v>
      </c>
      <c r="AK12" s="176"/>
      <c r="AL12" s="177"/>
      <c r="AM12" s="172" t="s">
        <v>1</v>
      </c>
      <c r="AN12" s="183"/>
      <c r="AO12" s="174"/>
      <c r="AP12" s="184" t="s">
        <v>0</v>
      </c>
      <c r="AQ12" s="185"/>
      <c r="AR12" s="186"/>
      <c r="AS12" s="172" t="s">
        <v>0</v>
      </c>
      <c r="AT12" s="183"/>
      <c r="AU12" s="174"/>
      <c r="AV12" s="181" t="s">
        <v>0</v>
      </c>
      <c r="AW12" s="179"/>
      <c r="AX12" s="182"/>
      <c r="AY12" s="39" t="s">
        <v>16</v>
      </c>
      <c r="AZ12" s="39" t="s">
        <v>64</v>
      </c>
      <c r="BA12" s="39" t="s">
        <v>67</v>
      </c>
      <c r="BB12" s="39" t="s">
        <v>107</v>
      </c>
      <c r="BC12" s="39" t="s">
        <v>16</v>
      </c>
      <c r="BE12" s="72">
        <v>45779.625</v>
      </c>
      <c r="BF12" s="54">
        <v>78.540000000000006</v>
      </c>
      <c r="BG12" s="72">
        <v>45877.625</v>
      </c>
      <c r="BH12" s="54">
        <v>100.203125</v>
      </c>
      <c r="BI12" s="72">
        <v>45779.625</v>
      </c>
      <c r="BJ12" s="54">
        <v>106.91</v>
      </c>
      <c r="BK12" s="72">
        <v>45877.625</v>
      </c>
      <c r="BL12" s="54">
        <v>100.203125</v>
      </c>
      <c r="BM12" s="72">
        <v>45779.625</v>
      </c>
      <c r="BN12" s="54">
        <v>102.515625</v>
      </c>
      <c r="BO12" s="72">
        <v>45779.625</v>
      </c>
      <c r="BP12" s="54">
        <v>97.453125</v>
      </c>
      <c r="BR12" s="39" t="s">
        <v>22</v>
      </c>
      <c r="BS12" s="169" t="s">
        <v>0</v>
      </c>
      <c r="BT12" s="170"/>
      <c r="BU12" s="170"/>
      <c r="BV12" s="175" t="s">
        <v>1</v>
      </c>
      <c r="BW12" s="176"/>
      <c r="BX12" s="177"/>
      <c r="BY12" s="39" t="s">
        <v>16</v>
      </c>
      <c r="CA12" s="126">
        <v>45782.625</v>
      </c>
      <c r="CB12" s="54">
        <v>104.6127</v>
      </c>
      <c r="CC12" s="126">
        <v>45782.625</v>
      </c>
      <c r="CD12" s="54">
        <v>63.378</v>
      </c>
      <c r="CF12" s="39" t="s">
        <v>22</v>
      </c>
      <c r="CG12" s="169" t="s">
        <v>0</v>
      </c>
      <c r="CH12" s="170"/>
      <c r="CI12" s="170"/>
      <c r="CJ12" s="175" t="s">
        <v>1</v>
      </c>
      <c r="CK12" s="176"/>
      <c r="CL12" s="177"/>
      <c r="CM12" s="39" t="s">
        <v>16</v>
      </c>
      <c r="CO12" s="126">
        <v>45784.625</v>
      </c>
      <c r="CP12" s="54">
        <v>331.15199999999999</v>
      </c>
      <c r="CQ12" s="126">
        <v>45784.625</v>
      </c>
      <c r="CR12" s="54">
        <v>64.108999999999995</v>
      </c>
      <c r="CS12" s="54"/>
      <c r="CT12" s="54"/>
      <c r="CU12" s="54"/>
      <c r="CV12" s="54"/>
      <c r="CW12" s="54"/>
      <c r="CX12" s="54"/>
      <c r="CY12" s="54"/>
      <c r="DF12" s="143" t="s">
        <v>22</v>
      </c>
      <c r="DG12" s="144" t="s">
        <v>112</v>
      </c>
      <c r="DH12" s="144" t="s">
        <v>113</v>
      </c>
      <c r="DI12" s="144" t="s">
        <v>129</v>
      </c>
      <c r="DJ12" s="144" t="s">
        <v>130</v>
      </c>
      <c r="DK12" s="144" t="s">
        <v>114</v>
      </c>
      <c r="DL12" s="144" t="s">
        <v>115</v>
      </c>
      <c r="DM12" s="144" t="s">
        <v>131</v>
      </c>
      <c r="DN12" s="144" t="s">
        <v>132</v>
      </c>
      <c r="DO12" s="56" t="s">
        <v>118</v>
      </c>
      <c r="DP12" s="56" t="s">
        <v>119</v>
      </c>
      <c r="DQ12" s="54" t="s">
        <v>133</v>
      </c>
      <c r="DR12" s="54" t="s">
        <v>134</v>
      </c>
      <c r="DS12" s="54" t="s">
        <v>120</v>
      </c>
      <c r="DT12" s="54" t="s">
        <v>121</v>
      </c>
      <c r="DU12" s="54" t="s">
        <v>135</v>
      </c>
      <c r="DV12" s="54" t="s">
        <v>136</v>
      </c>
      <c r="DZ12" s="130" t="s">
        <v>22</v>
      </c>
      <c r="EA12" s="147" t="s">
        <v>142</v>
      </c>
      <c r="EB12" s="147" t="s">
        <v>140</v>
      </c>
      <c r="EC12" s="147" t="s">
        <v>143</v>
      </c>
      <c r="ED12" s="147" t="s">
        <v>141</v>
      </c>
    </row>
    <row r="13" spans="1:134" ht="15" thickBot="1" x14ac:dyDescent="0.35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6"/>
      <c r="O13" s="96"/>
      <c r="P13" s="96"/>
      <c r="Q13" s="96"/>
      <c r="R13" s="96"/>
      <c r="S13" s="138"/>
      <c r="U13" s="72">
        <v>45785.625</v>
      </c>
      <c r="V13" s="54">
        <v>92.52</v>
      </c>
      <c r="W13" s="72">
        <v>45784.625</v>
      </c>
      <c r="X13" s="54">
        <v>101.788</v>
      </c>
      <c r="Y13" s="122">
        <v>45786.625</v>
      </c>
      <c r="Z13" s="54">
        <v>120.68</v>
      </c>
      <c r="AA13" s="72">
        <v>45860.625</v>
      </c>
      <c r="AB13" s="54">
        <v>100.247</v>
      </c>
      <c r="AF13" s="16"/>
      <c r="AG13" s="11" t="s">
        <v>17</v>
      </c>
      <c r="AH13" s="21" t="s">
        <v>21</v>
      </c>
      <c r="AI13" s="21" t="s">
        <v>20</v>
      </c>
      <c r="AJ13" s="11" t="s">
        <v>17</v>
      </c>
      <c r="AK13" s="21" t="s">
        <v>21</v>
      </c>
      <c r="AL13" s="22" t="s">
        <v>20</v>
      </c>
      <c r="AM13" s="11" t="s">
        <v>17</v>
      </c>
      <c r="AN13" s="75" t="s">
        <v>21</v>
      </c>
      <c r="AO13" s="22" t="s">
        <v>20</v>
      </c>
      <c r="AP13" s="76" t="s">
        <v>17</v>
      </c>
      <c r="AQ13" s="21" t="s">
        <v>21</v>
      </c>
      <c r="AR13" s="77" t="s">
        <v>20</v>
      </c>
      <c r="AS13" s="11" t="s">
        <v>17</v>
      </c>
      <c r="AT13" s="75" t="s">
        <v>21</v>
      </c>
      <c r="AU13" s="22" t="s">
        <v>20</v>
      </c>
      <c r="AV13" s="76" t="s">
        <v>17</v>
      </c>
      <c r="AW13" s="21" t="s">
        <v>21</v>
      </c>
      <c r="AX13" s="77" t="s">
        <v>20</v>
      </c>
      <c r="AY13" s="96"/>
      <c r="AZ13" s="96"/>
      <c r="BA13" s="96"/>
      <c r="BB13" s="96"/>
      <c r="BC13" s="96"/>
      <c r="BE13" s="72">
        <v>45782.625</v>
      </c>
      <c r="BF13" s="54">
        <v>78.510000000000005</v>
      </c>
      <c r="BG13" s="72">
        <v>45880.625</v>
      </c>
      <c r="BH13" s="54">
        <v>100.2109375</v>
      </c>
      <c r="BI13" s="72">
        <v>45782.625</v>
      </c>
      <c r="BJ13" s="54">
        <v>106.76</v>
      </c>
      <c r="BK13" s="72">
        <v>45880.625</v>
      </c>
      <c r="BL13" s="54">
        <v>100.2109375</v>
      </c>
      <c r="BM13" s="72">
        <v>45782.625</v>
      </c>
      <c r="BN13" s="54">
        <v>102.265625</v>
      </c>
      <c r="BO13" s="72">
        <v>45782.625</v>
      </c>
      <c r="BP13" s="54">
        <v>96.859375</v>
      </c>
      <c r="BR13" s="16"/>
      <c r="BS13" s="11" t="s">
        <v>17</v>
      </c>
      <c r="BT13" s="21" t="s">
        <v>21</v>
      </c>
      <c r="BU13" s="21" t="s">
        <v>20</v>
      </c>
      <c r="BV13" s="11" t="s">
        <v>17</v>
      </c>
      <c r="BW13" s="21" t="s">
        <v>21</v>
      </c>
      <c r="BX13" s="22" t="s">
        <v>20</v>
      </c>
      <c r="BY13" s="96"/>
      <c r="CA13" s="126">
        <v>45783.625</v>
      </c>
      <c r="CB13" s="54">
        <v>104.3732</v>
      </c>
      <c r="CC13" s="126">
        <v>45783.625</v>
      </c>
      <c r="CD13" s="54">
        <v>64.171999999999997</v>
      </c>
      <c r="CF13" s="16"/>
      <c r="CG13" s="11" t="s">
        <v>17</v>
      </c>
      <c r="CH13" s="21" t="s">
        <v>21</v>
      </c>
      <c r="CI13" s="21" t="s">
        <v>20</v>
      </c>
      <c r="CJ13" s="11" t="s">
        <v>17</v>
      </c>
      <c r="CK13" s="21" t="s">
        <v>21</v>
      </c>
      <c r="CL13" s="22" t="s">
        <v>20</v>
      </c>
      <c r="CM13" s="96"/>
      <c r="CO13" s="126">
        <v>45785.625</v>
      </c>
      <c r="CP13" s="54">
        <v>326.08800000000002</v>
      </c>
      <c r="CQ13" s="126">
        <v>45785.625</v>
      </c>
      <c r="CR13" s="54">
        <v>62.965000000000003</v>
      </c>
      <c r="CS13" s="54"/>
      <c r="CT13" s="54"/>
      <c r="CU13" s="54"/>
      <c r="CV13" s="54"/>
      <c r="CW13" s="54"/>
      <c r="CX13" s="54"/>
      <c r="CY13" s="54"/>
      <c r="DF13" s="137">
        <v>45866.625</v>
      </c>
      <c r="DG13" s="56">
        <f t="shared" ref="DG13" si="2">VLOOKUP(DF13,A14:R86,18)</f>
        <v>28705.747775131837</v>
      </c>
      <c r="DH13" s="56">
        <f>VLOOKUP(DF13,AF14:BC50,24)</f>
        <v>0</v>
      </c>
      <c r="DI13" s="56">
        <f>VLOOKUP(DF13,BR14:BY50,8)</f>
        <v>0</v>
      </c>
      <c r="DJ13" s="56">
        <f>VLOOKUP(DF13,CF14:CM50,8)</f>
        <v>0</v>
      </c>
      <c r="DK13" s="56"/>
      <c r="DL13" s="56"/>
      <c r="DM13" s="56"/>
      <c r="DN13" s="56"/>
      <c r="DO13" s="56">
        <f>DK$11*DK13</f>
        <v>0</v>
      </c>
      <c r="DP13" s="56">
        <f t="shared" ref="DP13:DR28" si="3">DL$11*DL13</f>
        <v>0</v>
      </c>
      <c r="DQ13" s="56">
        <f t="shared" si="3"/>
        <v>0</v>
      </c>
      <c r="DR13" s="56">
        <f t="shared" si="3"/>
        <v>0</v>
      </c>
      <c r="DS13" s="56"/>
      <c r="DT13" s="56"/>
      <c r="DU13" s="56"/>
      <c r="DV13" s="56"/>
      <c r="DZ13" s="130">
        <v>45866.625</v>
      </c>
      <c r="EA13" s="147">
        <v>0</v>
      </c>
      <c r="EB13" s="147">
        <v>0</v>
      </c>
      <c r="EC13" s="147">
        <v>0</v>
      </c>
      <c r="ED13" s="147">
        <v>0</v>
      </c>
    </row>
    <row r="14" spans="1:134" x14ac:dyDescent="0.3">
      <c r="A14" s="134">
        <v>45846.625</v>
      </c>
      <c r="B14" s="73">
        <f>VLOOKUP($A14+$I$2,U$3:V$500,2)</f>
        <v>93.9</v>
      </c>
      <c r="C14" s="46"/>
      <c r="D14" s="47"/>
      <c r="E14" s="73">
        <f>VLOOKUP($A14+$I$2,W$3:X$500,2)</f>
        <v>101.241</v>
      </c>
      <c r="F14" s="1"/>
      <c r="G14" s="5"/>
      <c r="H14" s="73">
        <f>VLOOKUP($A14+$I$2,Y$3:Z$500,2)</f>
        <v>121.9</v>
      </c>
      <c r="I14" s="1"/>
      <c r="J14" s="5"/>
      <c r="K14" s="73">
        <f>VLOOKUP($A14+$I$2,AA$3:AB$500,2)</f>
        <v>99.76</v>
      </c>
      <c r="L14" s="1"/>
      <c r="M14" s="5"/>
      <c r="N14" s="79">
        <v>0</v>
      </c>
      <c r="O14" s="79"/>
      <c r="P14" s="79"/>
      <c r="Q14" s="79">
        <f>$G$5*SUM($O$14:O14)-$H$5*SUM($P$14:P14)</f>
        <v>0</v>
      </c>
      <c r="R14" s="79">
        <f>N14+Q14</f>
        <v>0</v>
      </c>
      <c r="S14" s="138"/>
      <c r="U14" s="72">
        <v>45786.625</v>
      </c>
      <c r="V14" s="54">
        <v>92.56</v>
      </c>
      <c r="W14" s="72">
        <v>45785.625</v>
      </c>
      <c r="X14" s="54">
        <v>101.69499999999999</v>
      </c>
      <c r="Y14" s="122">
        <v>45789.625</v>
      </c>
      <c r="Z14" s="54">
        <v>120.3</v>
      </c>
      <c r="AA14" s="72">
        <v>45861.625</v>
      </c>
      <c r="AB14" s="54">
        <v>100.22499999999999</v>
      </c>
      <c r="AF14" s="128">
        <v>45866.625</v>
      </c>
      <c r="AG14" s="45">
        <f>VLOOKUP($AF14+$J$1,BE:BF,2)</f>
        <v>80.45</v>
      </c>
      <c r="AH14" s="46"/>
      <c r="AI14" s="46"/>
      <c r="AJ14" s="45">
        <f>VLOOKUP($AF14+$J$1,BG:BH,2)</f>
        <v>99.5703125</v>
      </c>
      <c r="AK14" s="46"/>
      <c r="AL14" s="47"/>
      <c r="AM14" s="45">
        <f>VLOOKUP($AF14+$J$1,BI:BJ,2)</f>
        <v>108.77</v>
      </c>
      <c r="AN14" s="46"/>
      <c r="AO14" s="47"/>
      <c r="AP14" s="45">
        <f>VLOOKUP($AF14+$J$1,BK:BL,2)</f>
        <v>99.5703125</v>
      </c>
      <c r="AQ14" s="46"/>
      <c r="AR14" s="47"/>
      <c r="AS14" s="45">
        <f>VLOOKUP($AF14+$J$1,BM:BN,2)</f>
        <v>101.78125</v>
      </c>
      <c r="AT14" s="46"/>
      <c r="AU14" s="47"/>
      <c r="AV14" s="45">
        <f>VLOOKUP($AF14+$J$1,BO:BP,2)</f>
        <v>94.78125</v>
      </c>
      <c r="AW14" s="46"/>
      <c r="AX14" s="47"/>
      <c r="AY14" s="79">
        <v>0</v>
      </c>
      <c r="AZ14" s="79"/>
      <c r="BA14" s="79"/>
      <c r="BB14" s="79">
        <f>$AO$4*SUM($AZ$14:AZ14)-$AP$4*SUM($BA$14:BA14)</f>
        <v>0</v>
      </c>
      <c r="BC14" s="79">
        <f>AY14-BB14</f>
        <v>0</v>
      </c>
      <c r="BE14" s="72">
        <v>45783.625</v>
      </c>
      <c r="BF14" s="54">
        <v>78.45</v>
      </c>
      <c r="BG14" s="72">
        <v>45881.625</v>
      </c>
      <c r="BH14" s="54">
        <v>100.2421875</v>
      </c>
      <c r="BI14" s="72">
        <v>45783.625</v>
      </c>
      <c r="BJ14" s="54">
        <v>106.97</v>
      </c>
      <c r="BK14" s="72">
        <v>45881.625</v>
      </c>
      <c r="BL14" s="54">
        <v>100.2421875</v>
      </c>
      <c r="BM14" s="72">
        <v>45783.625</v>
      </c>
      <c r="BN14" s="54">
        <v>102.546875</v>
      </c>
      <c r="BO14" s="72">
        <v>45783.625</v>
      </c>
      <c r="BP14" s="54">
        <v>97.15625</v>
      </c>
      <c r="BR14" s="128">
        <f>AF14</f>
        <v>45866.625</v>
      </c>
      <c r="BS14" s="45">
        <f>VLOOKUP(BR14+BV$4,CA:CB,2)</f>
        <v>107.57810000000001</v>
      </c>
      <c r="BT14" s="46"/>
      <c r="BU14" s="46"/>
      <c r="BV14" s="45">
        <f>VLOOKUP(BR14+BV$4,CC:CD,2)</f>
        <v>50.213999999999999</v>
      </c>
      <c r="BW14" s="46"/>
      <c r="BX14" s="47"/>
      <c r="BY14" s="79">
        <v>0</v>
      </c>
      <c r="CA14" s="126">
        <v>45784.625</v>
      </c>
      <c r="CB14" s="54">
        <v>104.47369999999999</v>
      </c>
      <c r="CC14" s="126">
        <v>45784.625</v>
      </c>
      <c r="CD14" s="54">
        <v>63.649000000000001</v>
      </c>
      <c r="CF14" s="128">
        <v>45866.625</v>
      </c>
      <c r="CG14" s="45">
        <f>VLOOKUP(CF14+CJ$4,CO:CP,2)</f>
        <v>267.17500000000001</v>
      </c>
      <c r="CH14" s="46"/>
      <c r="CI14" s="46"/>
      <c r="CJ14" s="45">
        <f>VLOOKUP(CF14+CJ$4,CQ:CR,2)</f>
        <v>52.787999999999997</v>
      </c>
      <c r="CK14" s="46"/>
      <c r="CL14" s="47"/>
      <c r="CM14" s="79">
        <v>0</v>
      </c>
      <c r="CO14" s="126">
        <v>45786.625</v>
      </c>
      <c r="CP14" s="54">
        <v>322.20999999999998</v>
      </c>
      <c r="CQ14" s="126">
        <v>45786.625</v>
      </c>
      <c r="CR14" s="54">
        <v>61.750999999999998</v>
      </c>
      <c r="CS14" s="54"/>
      <c r="CT14" s="54"/>
      <c r="CU14" s="54"/>
      <c r="CV14" s="54"/>
      <c r="CW14" s="54"/>
      <c r="CX14" s="54"/>
      <c r="CY14" s="54"/>
      <c r="DF14" s="137">
        <v>45867.625</v>
      </c>
      <c r="DG14" s="56">
        <f t="shared" ref="DG14:DG49" si="4">VLOOKUP(DF14,A15:R87,18)</f>
        <v>8394.3279205363942</v>
      </c>
      <c r="DH14" s="56">
        <f t="shared" ref="DH14:DH49" si="5">VLOOKUP(DF14,AF15:BC51,24)</f>
        <v>-7609.6204208164027</v>
      </c>
      <c r="DI14" s="56">
        <f t="shared" ref="DI14:DI49" si="6">VLOOKUP(DF14,BR15:BY51,8)</f>
        <v>-14681.250000002692</v>
      </c>
      <c r="DJ14" s="56">
        <f t="shared" ref="DJ14:DJ49" si="7">VLOOKUP(DF14,CF15:CM51,8)</f>
        <v>17513.766666666867</v>
      </c>
      <c r="DK14" s="56">
        <f>DG14-DG13</f>
        <v>-20311.419854595442</v>
      </c>
      <c r="DL14" s="56">
        <f>DH14-DH13</f>
        <v>-7609.6204208164027</v>
      </c>
      <c r="DM14" s="56">
        <f>DI14-DI13</f>
        <v>-14681.250000002692</v>
      </c>
      <c r="DN14" s="56">
        <f>DJ14-DJ13</f>
        <v>17513.766666666867</v>
      </c>
      <c r="DO14" s="56">
        <f t="shared" ref="DO14:DR49" si="8">DK$11*DK14</f>
        <v>-20311.419854595442</v>
      </c>
      <c r="DP14" s="56">
        <f t="shared" si="3"/>
        <v>-7609.6204208164027</v>
      </c>
      <c r="DQ14" s="56">
        <f t="shared" si="3"/>
        <v>-14681.250000002692</v>
      </c>
      <c r="DR14" s="56">
        <f t="shared" si="3"/>
        <v>17513.766666666867</v>
      </c>
      <c r="DS14" s="56"/>
      <c r="DT14" s="56"/>
      <c r="DU14" s="56"/>
      <c r="DV14" s="56"/>
      <c r="DZ14" s="130">
        <v>45867.625</v>
      </c>
      <c r="EA14" s="147">
        <v>0</v>
      </c>
      <c r="EB14" s="147">
        <v>0</v>
      </c>
      <c r="EC14" s="147">
        <v>0</v>
      </c>
      <c r="ED14" s="147">
        <v>0</v>
      </c>
    </row>
    <row r="15" spans="1:134" x14ac:dyDescent="0.3">
      <c r="A15" s="134">
        <v>45847.625</v>
      </c>
      <c r="B15" s="73">
        <f>VLOOKUP($A15+$I$2,U$3:V$500,2)</f>
        <v>94.17</v>
      </c>
      <c r="C15" s="31">
        <f t="shared" ref="C15" si="9">(B15/$B$14-1)*$B$5</f>
        <v>60383.386581466468</v>
      </c>
      <c r="D15" s="32">
        <f t="shared" ref="D15" si="10">-1*(A15-$A$14)/360*$B$7*$B$5</f>
        <v>-2467.5</v>
      </c>
      <c r="E15" s="73">
        <f>VLOOKUP($A15+$I$2,W$3:X$500,2)</f>
        <v>101.289</v>
      </c>
      <c r="F15" s="31">
        <f t="shared" ref="F15" si="11">(E15-$E$14)/100*$C$5</f>
        <v>8064.0000000003056</v>
      </c>
      <c r="G15" s="32">
        <f t="shared" ref="G15" si="12">(A15-$A$14)/360*$C$6*$C$5-(A15-$A$14)/360*$C$7*$C$5*$E$14/100</f>
        <v>-878.49733999999989</v>
      </c>
      <c r="H15" s="73">
        <f>VLOOKUP($A15+$I$2,Y$3:Z$500,2)</f>
        <v>122</v>
      </c>
      <c r="I15" s="31">
        <f t="shared" ref="I15" si="13">(H15/$H$14-1)*$D$5</f>
        <v>29630.84495488209</v>
      </c>
      <c r="J15" s="32">
        <f t="shared" ref="J15" si="14">-1*(A15-$A$14)/360*$D$7*$D$5</f>
        <v>-4244.0999999999995</v>
      </c>
      <c r="K15" s="73">
        <f>VLOOKUP($A15+$I$2,AA$3:AB$500,2)</f>
        <v>99.84</v>
      </c>
      <c r="L15" s="31">
        <f t="shared" ref="L15" si="15">(K15-$K$14)/100*$E$5</f>
        <v>27551.999999999411</v>
      </c>
      <c r="M15" s="32">
        <f t="shared" ref="M15" si="16">(A15-$A$14)/360*$E$6*$E$5-(A15-$A$14)/360*$E$7*$E$5*$K$14/100</f>
        <v>-1932.3212533333335</v>
      </c>
      <c r="N15" s="79">
        <f t="shared" ref="N15:N78" si="17">C15+D15-F15-G15-I15-J15+L15+M15</f>
        <v>50963.317713250151</v>
      </c>
      <c r="O15" s="79"/>
      <c r="P15" s="79"/>
      <c r="Q15" s="79">
        <f>$G$5*SUM($O$14:O15)-$H$5*SUM($P$14:P15)</f>
        <v>0</v>
      </c>
      <c r="R15" s="79">
        <f t="shared" ref="R15:R78" si="18">N15+Q15</f>
        <v>50963.317713250151</v>
      </c>
      <c r="S15" s="138"/>
      <c r="U15" s="72">
        <v>45789.625</v>
      </c>
      <c r="V15" s="54">
        <v>92.85</v>
      </c>
      <c r="W15" s="72">
        <v>45786.625</v>
      </c>
      <c r="X15" s="54">
        <v>101.578</v>
      </c>
      <c r="Y15" s="122">
        <v>45790.625</v>
      </c>
      <c r="Z15" s="54">
        <v>120.31</v>
      </c>
      <c r="AA15" s="72">
        <v>45862.625</v>
      </c>
      <c r="AB15" s="54">
        <v>99.679000000000002</v>
      </c>
      <c r="AF15" s="128">
        <v>45867.625</v>
      </c>
      <c r="AG15" s="45">
        <f>VLOOKUP($AF15+$J$1,BE:BF,2)</f>
        <v>80.5</v>
      </c>
      <c r="AH15" s="46">
        <f>(AG15/$AG$14-1)*$AG$5</f>
        <v>15537.600994403045</v>
      </c>
      <c r="AI15" s="46">
        <f>-1*(AF15-$AF$14)/360*$AG$5*$AG$7</f>
        <v>-2937.5</v>
      </c>
      <c r="AJ15" s="45">
        <f>VLOOKUP($AF15+$J$1,BG:BH,2)</f>
        <v>99.890625</v>
      </c>
      <c r="AK15" s="46">
        <f>(AJ15-$AJ$14)/100*$AH$5</f>
        <v>44614.955357142855</v>
      </c>
      <c r="AL15" s="47">
        <f>(AF15-$AF$14)/360*$AH$5*$AH$6-(AF15-$AF$14)/360*$AH$5*$AH$7*$AJ$14/100</f>
        <v>-130.31889415922615</v>
      </c>
      <c r="AM15" s="45">
        <f>VLOOKUP($AF15+$J$1,BI:BJ,2)</f>
        <v>109.49</v>
      </c>
      <c r="AN15" s="46">
        <f>(AM15/$AM$14-1)*$AI$5</f>
        <v>170215.00151039555</v>
      </c>
      <c r="AO15" s="47">
        <f>-1*(AF15-$AF$14)/360*$AI$5*$AI$7</f>
        <v>-3021.4285714285716</v>
      </c>
      <c r="AP15" s="45">
        <f>VLOOKUP($AF15+$J$1,BK:BL,2)</f>
        <v>99.890625</v>
      </c>
      <c r="AQ15" s="46">
        <f>(AP15-$AP$14)/100*$AJ$5</f>
        <v>38895.089285714283</v>
      </c>
      <c r="AR15" s="47">
        <f>(AF15-$AF$14)/360*$AJ$5*$AJ$6-(AF15-$AF$14)/360*$AJ$5*$AJ$7*$AP$14/100</f>
        <v>-113.61134362599182</v>
      </c>
      <c r="AS15" s="45">
        <f>VLOOKUP($AF15+$J$1,BM:BN,2)</f>
        <v>102.484375</v>
      </c>
      <c r="AT15" s="46">
        <f>(AS15-$AS$14)/100*$AK$5</f>
        <v>37667.410714285717</v>
      </c>
      <c r="AU15" s="47">
        <f>(AF15-$AF$14)/360*$AK$5*$AK$6-(AF15-$AF$14)/360*$AK$5*$AK$7*$AS$14/100</f>
        <v>47.567429315476261</v>
      </c>
      <c r="AV15" s="45">
        <f>VLOOKUP($AF15+$J$1,BO:BP,2)</f>
        <v>96.3125</v>
      </c>
      <c r="AW15" s="46">
        <f>(AV15-$AV$14)/100*$AL$5</f>
        <v>114843.75</v>
      </c>
      <c r="AX15" s="47">
        <f>(AF15-$AF$14)/360*$AL$5*$AL$6-(AF15-$AF$14)/360*$AL$5*$AL$7*$AV$14/100</f>
        <v>128.28190104166674</v>
      </c>
      <c r="AY15" s="79">
        <f>AH15+AI15-AK15-AL15-AN15-AO15+AQ15+AR15+AT15+AU15+AW15+AX15</f>
        <v>-7609.6204208164027</v>
      </c>
      <c r="AZ15" s="79"/>
      <c r="BA15" s="79"/>
      <c r="BB15" s="79">
        <f>$AO$4*SUM($AZ$14:AZ15)-$AP$4*SUM($BA$14:BA15)</f>
        <v>0</v>
      </c>
      <c r="BC15" s="79">
        <f t="shared" ref="BC15:BC50" si="19">AY15-BB15</f>
        <v>-7609.6204208164027</v>
      </c>
      <c r="BE15" s="72">
        <v>45784.625</v>
      </c>
      <c r="BF15" s="54">
        <v>78.52</v>
      </c>
      <c r="BG15" s="72">
        <v>45882.625</v>
      </c>
      <c r="BH15" s="54">
        <v>100.4921875</v>
      </c>
      <c r="BI15" s="72">
        <v>45784.625</v>
      </c>
      <c r="BJ15" s="54">
        <v>107.19</v>
      </c>
      <c r="BK15" s="72">
        <v>45882.625</v>
      </c>
      <c r="BL15" s="54">
        <v>100.4921875</v>
      </c>
      <c r="BM15" s="72">
        <v>45784.625</v>
      </c>
      <c r="BN15" s="54">
        <v>102.828125</v>
      </c>
      <c r="BO15" s="72">
        <v>45784.625</v>
      </c>
      <c r="BP15" s="54">
        <v>97.53125</v>
      </c>
      <c r="BR15" s="128">
        <f t="shared" ref="BR15:BR78" si="20">AF15</f>
        <v>45867.625</v>
      </c>
      <c r="BS15" s="45">
        <f t="shared" ref="BS15:BS50" si="21">VLOOKUP(BR15+BV$4,CA:CB,2)</f>
        <v>107.3954</v>
      </c>
      <c r="BT15" s="46">
        <f>(BS15-$BS$14)/100*$BS$5</f>
        <v>-45675.000000002801</v>
      </c>
      <c r="BU15" s="46">
        <f>(BR15-BR$14)/360*$BS$5*$BS$6</f>
        <v>3472.2222222222226</v>
      </c>
      <c r="BV15" s="45">
        <f>VLOOKUP(BR15+BV$4,CC:CD,2)</f>
        <v>50.765000000000001</v>
      </c>
      <c r="BW15" s="46">
        <f>-1*(BV15-$BV$14)*10^-4*$BT$8*$BT$5</f>
        <v>-30993.750000000106</v>
      </c>
      <c r="BX15" s="47">
        <f>(BR15-BR$14)/360*$BT$5*$BT$6</f>
        <v>3472.2222222222226</v>
      </c>
      <c r="BY15" s="45">
        <f>BT15+BU15-BW15-BX15</f>
        <v>-14681.250000002692</v>
      </c>
      <c r="CA15" s="126">
        <v>45785.625</v>
      </c>
      <c r="CB15" s="54">
        <v>104.7473</v>
      </c>
      <c r="CC15" s="126">
        <v>45785.625</v>
      </c>
      <c r="CD15" s="54">
        <v>61.73</v>
      </c>
      <c r="CF15" s="128">
        <v>45867.625</v>
      </c>
      <c r="CG15" s="45">
        <f t="shared" ref="CG15:CG50" si="22">VLOOKUP(CF15+CJ$4,CO:CP,2)</f>
        <v>264.13499999999999</v>
      </c>
      <c r="CH15" s="46">
        <f>-1*(CG15-$CG$14)*$CG$8*10^-4*$CG$5</f>
        <v>28089.600000000195</v>
      </c>
      <c r="CI15" s="46">
        <f>(CF15-CF$14)/360*$CG$5*$CG$6</f>
        <v>2916.666666666667</v>
      </c>
      <c r="CJ15" s="45">
        <f>VLOOKUP(CF15+CJ$4,CQ:CR,2)</f>
        <v>52.537999999999997</v>
      </c>
      <c r="CK15" s="46">
        <f>-1*(CJ15-$CJ$14)*10^-4*$CH$8*$CH$5</f>
        <v>10867.499999999998</v>
      </c>
      <c r="CL15" s="47">
        <f>(CF15-CF$14)/360*$CH$5*$CH$6</f>
        <v>2625</v>
      </c>
      <c r="CM15" s="45">
        <f>CH15+CI15-CK15-CL15</f>
        <v>17513.766666666867</v>
      </c>
      <c r="CO15" s="126">
        <v>45789.625</v>
      </c>
      <c r="CP15" s="54">
        <v>307.27499999999998</v>
      </c>
      <c r="CQ15" s="126">
        <v>45789.625</v>
      </c>
      <c r="CR15" s="54">
        <v>58.206000000000003</v>
      </c>
      <c r="CS15" s="54"/>
      <c r="CT15" s="54"/>
      <c r="CU15" s="54"/>
      <c r="CV15" s="54"/>
      <c r="CW15" s="54"/>
      <c r="CX15" s="54"/>
      <c r="CY15" s="54"/>
      <c r="DF15" s="137">
        <v>45868.625</v>
      </c>
      <c r="DG15" s="56">
        <f t="shared" si="4"/>
        <v>31307.47690805397</v>
      </c>
      <c r="DH15" s="56">
        <f t="shared" si="5"/>
        <v>-19929.419949705985</v>
      </c>
      <c r="DI15" s="56">
        <f t="shared" si="6"/>
        <v>-33037.500000002365</v>
      </c>
      <c r="DJ15" s="56">
        <f t="shared" si="7"/>
        <v>13003.573333333428</v>
      </c>
      <c r="DK15" s="56">
        <f t="shared" ref="DK15:DN49" si="23">DG15-DG14</f>
        <v>22913.148987517576</v>
      </c>
      <c r="DL15" s="56">
        <f t="shared" si="23"/>
        <v>-12319.799528889584</v>
      </c>
      <c r="DM15" s="56">
        <f t="shared" si="23"/>
        <v>-18356.249999999673</v>
      </c>
      <c r="DN15" s="56">
        <f t="shared" si="23"/>
        <v>-4510.1933333334382</v>
      </c>
      <c r="DO15" s="56">
        <f t="shared" si="8"/>
        <v>22913.148987517576</v>
      </c>
      <c r="DP15" s="56">
        <f t="shared" si="3"/>
        <v>-12319.799528889584</v>
      </c>
      <c r="DQ15" s="56">
        <f t="shared" si="3"/>
        <v>-18356.249999999673</v>
      </c>
      <c r="DR15" s="56">
        <f t="shared" si="3"/>
        <v>-4510.1933333334382</v>
      </c>
      <c r="DS15" s="56">
        <f>SUM(DO$15:DO15)</f>
        <v>22913.148987517576</v>
      </c>
      <c r="DT15" s="56">
        <f>SUM(DP$15:DP15)</f>
        <v>-12319.799528889584</v>
      </c>
      <c r="DU15" s="56">
        <f>SUM(DQ$15:DQ15)</f>
        <v>-18356.249999999673</v>
      </c>
      <c r="DV15" s="56">
        <f>SUM(DR$15:DR15)</f>
        <v>-4510.1933333334382</v>
      </c>
      <c r="DZ15" s="130">
        <v>45868.625</v>
      </c>
      <c r="EA15" s="147">
        <f>VLOOKUP(DZ15,DF:DS,14)</f>
        <v>22913.148987517576</v>
      </c>
      <c r="EB15" s="147">
        <f t="shared" ref="EB15:EB46" si="24">VLOOKUP(DZ15,DF:DT,15)</f>
        <v>-12319.799528889584</v>
      </c>
      <c r="EC15" s="147">
        <f t="shared" ref="EC15:EC46" si="25">VLOOKUP(DZ15,DF:DV,17)</f>
        <v>-4510.1933333334382</v>
      </c>
      <c r="ED15" s="147">
        <f t="shared" ref="ED15:ED46" si="26">VLOOKUP(DZ15,DF:DU,16)</f>
        <v>-18356.249999999673</v>
      </c>
    </row>
    <row r="16" spans="1:134" x14ac:dyDescent="0.3">
      <c r="A16" s="134">
        <v>45848.625</v>
      </c>
      <c r="B16" s="73">
        <f t="shared" ref="B16:B79" si="27">VLOOKUP($A16+$I$2,U$3:V$500,2)</f>
        <v>94.22</v>
      </c>
      <c r="C16" s="31">
        <f t="shared" ref="C16:C79" si="28">(B16/$B$14-1)*$B$5</f>
        <v>71565.495207667424</v>
      </c>
      <c r="D16" s="32">
        <f t="shared" ref="D16:D79" si="29">-1*(A16-$A$14)/360*$B$7*$B$5</f>
        <v>-4935</v>
      </c>
      <c r="E16" s="73">
        <f t="shared" ref="E16:E79" si="30">VLOOKUP($A16+$I$2,W$3:X$500,2)</f>
        <v>101.181</v>
      </c>
      <c r="F16" s="31">
        <f t="shared" ref="F16:F79" si="31">(E16-$E$14)/100*$C$5</f>
        <v>-10080.000000000382</v>
      </c>
      <c r="G16" s="32">
        <f t="shared" ref="G16:G79" si="32">(A16-$A$14)/360*$C$6*$C$5-(A16-$A$14)/360*$C$7*$C$5*$E$14/100</f>
        <v>-1756.9946799999998</v>
      </c>
      <c r="H16" s="73">
        <f t="shared" ref="H16:H79" si="33">VLOOKUP($A16+$I$2,Y$3:Z$500,2)</f>
        <v>121.86</v>
      </c>
      <c r="I16" s="31">
        <f t="shared" ref="I16:I79" si="34">(H16/$H$14-1)*$D$5</f>
        <v>-11852.337981953639</v>
      </c>
      <c r="J16" s="32">
        <f t="shared" ref="J16:J79" si="35">-1*(A16-$A$14)/360*$D$7*$D$5</f>
        <v>-8488.1999999999989</v>
      </c>
      <c r="K16" s="73">
        <f t="shared" ref="K16:K79" si="36">VLOOKUP($A16+$I$2,AA$3:AB$500,2)</f>
        <v>99.671999999999997</v>
      </c>
      <c r="L16" s="31">
        <f t="shared" ref="L16:L79" si="37">(K16-$K$14)/100*$E$5</f>
        <v>-30307.20000000278</v>
      </c>
      <c r="M16" s="32">
        <f t="shared" ref="M16:M79" si="38">(A16-$A$14)/360*$E$6*$E$5-(A16-$A$14)/360*$E$7*$E$5*$K$14/100</f>
        <v>-3864.642506666667</v>
      </c>
      <c r="N16" s="79">
        <f t="shared" si="17"/>
        <v>64636.18536295199</v>
      </c>
      <c r="O16" s="79"/>
      <c r="P16" s="79"/>
      <c r="Q16" s="79">
        <f>$G$5*SUM($O$14:O16)-$H$5*SUM($P$14:P16)</f>
        <v>0</v>
      </c>
      <c r="R16" s="79">
        <f t="shared" si="18"/>
        <v>64636.18536295199</v>
      </c>
      <c r="S16" s="138"/>
      <c r="U16" s="72">
        <v>45790.625</v>
      </c>
      <c r="V16" s="54">
        <v>93.02</v>
      </c>
      <c r="W16" s="72">
        <v>45789.625</v>
      </c>
      <c r="X16" s="54">
        <v>101.15600000000001</v>
      </c>
      <c r="Y16" s="122">
        <v>45791.625</v>
      </c>
      <c r="Z16" s="54">
        <v>120.27</v>
      </c>
      <c r="AA16" s="72">
        <v>45863.625</v>
      </c>
      <c r="AB16" s="54">
        <v>99.524000000000001</v>
      </c>
      <c r="AF16" s="128">
        <v>45868.625</v>
      </c>
      <c r="AG16" s="45">
        <f t="shared" ref="AG16:AG50" si="39">VLOOKUP($AF16+$J$1,BE:BF,2)</f>
        <v>80.33</v>
      </c>
      <c r="AH16" s="46">
        <f t="shared" ref="AH16:AH79" si="40">(AG16/$AG$14-1)*$AG$5</f>
        <v>-37290.242386575635</v>
      </c>
      <c r="AI16" s="46">
        <f t="shared" ref="AI16:AI79" si="41">-1*(AF16-$AF$14)/360*$AG$5*$AG$7</f>
        <v>-5875</v>
      </c>
      <c r="AJ16" s="45">
        <f t="shared" ref="AJ16:AJ50" si="42">VLOOKUP($AF16+$J$1,BG:BH,2)</f>
        <v>99.625</v>
      </c>
      <c r="AK16" s="46">
        <f t="shared" ref="AK16:AK79" si="43">(AJ16-$AJ$14)/100*$AH$5</f>
        <v>7617.1875000000009</v>
      </c>
      <c r="AL16" s="47">
        <f t="shared" ref="AL16:AL79" si="44">(AF16-$AF$14)/360*$AH$5*$AH$6-(AF16-$AF$14)/360*$AH$5*$AH$7*$AJ$14/100</f>
        <v>-260.63778831845229</v>
      </c>
      <c r="AM16" s="45">
        <f t="shared" ref="AM16:AM50" si="45">VLOOKUP($AF16+$J$1,BI:BJ,2)</f>
        <v>109.08</v>
      </c>
      <c r="AN16" s="46">
        <f t="shared" ref="AN16:AN79" si="46">(AM16/$AM$14-1)*$AI$5</f>
        <v>73287.014539196811</v>
      </c>
      <c r="AO16" s="47">
        <f t="shared" ref="AO16:AO79" si="47">-1*(AF16-$AF$14)/360*$AI$5*$AI$7</f>
        <v>-6042.8571428571431</v>
      </c>
      <c r="AP16" s="45">
        <f t="shared" ref="AP16:AP50" si="48">VLOOKUP($AF16+$J$1,BK:BL,2)</f>
        <v>99.625</v>
      </c>
      <c r="AQ16" s="46">
        <f t="shared" ref="AQ16:AQ79" si="49">(AP16-$AP$14)/100*$AJ$5</f>
        <v>6640.6250000000009</v>
      </c>
      <c r="AR16" s="47">
        <f t="shared" ref="AR16:AR79" si="50">(AF16-$AF$14)/360*$AJ$5*$AJ$6-(AF16-$AF$14)/360*$AJ$5*$AJ$7*$AP$14/100</f>
        <v>-227.22268725198364</v>
      </c>
      <c r="AS16" s="45">
        <f t="shared" ref="AS16:AS50" si="51">VLOOKUP($AF16+$J$1,BM:BN,2)</f>
        <v>102.125</v>
      </c>
      <c r="AT16" s="46">
        <f t="shared" ref="AT16:AT79" si="52">(AS16-$AS$14)/100*$AK$5</f>
        <v>18415.178571428572</v>
      </c>
      <c r="AU16" s="47">
        <f t="shared" ref="AU16:AU79" si="53">(AF16-$AF$14)/360*$AK$5*$AK$6-(AF16-$AF$14)/360*$AK$5*$AK$7*$AS$14/100</f>
        <v>95.134858630952522</v>
      </c>
      <c r="AV16" s="45">
        <f t="shared" ref="AV16:AV50" si="54">VLOOKUP($AF16+$J$1,BO:BP,2)</f>
        <v>95.75</v>
      </c>
      <c r="AW16" s="46">
        <f t="shared" ref="AW16:AW79" si="55">(AV16-$AV$14)/100*$AL$5</f>
        <v>72656.25</v>
      </c>
      <c r="AX16" s="47">
        <f t="shared" ref="AX16:AX79" si="56">(AF16-$AF$14)/360*$AL$5*$AL$6-(AF16-$AF$14)/360*$AL$5*$AL$7*$AV$14/100</f>
        <v>256.56380208333348</v>
      </c>
      <c r="AY16" s="79">
        <f t="shared" ref="AY16:AY38" si="57">AH16+AI16-AK16-AL16-AN16-AO16+AQ16+AR16+AT16+AU16+AW16+AX16</f>
        <v>-19929.419949705985</v>
      </c>
      <c r="AZ16" s="79"/>
      <c r="BA16" s="79"/>
      <c r="BB16" s="79">
        <f>$AO$4*SUM($AZ$14:AZ16)-$AP$4*SUM($BA$14:BA16)</f>
        <v>0</v>
      </c>
      <c r="BC16" s="79">
        <f t="shared" si="19"/>
        <v>-19929.419949705985</v>
      </c>
      <c r="BE16" s="72">
        <v>45785.625</v>
      </c>
      <c r="BF16" s="54">
        <v>78.5</v>
      </c>
      <c r="BG16" s="72">
        <v>45883.625</v>
      </c>
      <c r="BH16" s="54">
        <v>100.2734375</v>
      </c>
      <c r="BI16" s="72">
        <v>45785.625</v>
      </c>
      <c r="BJ16" s="54">
        <v>106.65</v>
      </c>
      <c r="BK16" s="72">
        <v>45883.625</v>
      </c>
      <c r="BL16" s="54">
        <v>100.2734375</v>
      </c>
      <c r="BM16" s="72">
        <v>45785.625</v>
      </c>
      <c r="BN16" s="54">
        <v>101.96875</v>
      </c>
      <c r="BO16" s="72">
        <v>45785.625</v>
      </c>
      <c r="BP16" s="54">
        <v>96.46875</v>
      </c>
      <c r="BR16" s="128">
        <f t="shared" si="20"/>
        <v>45868.625</v>
      </c>
      <c r="BS16" s="45">
        <f t="shared" si="21"/>
        <v>107.27</v>
      </c>
      <c r="BT16" s="46">
        <f t="shared" ref="BT16:BT79" si="58">(BS16-$BS$14)/100*$BS$5</f>
        <v>-77025.000000002576</v>
      </c>
      <c r="BU16" s="46">
        <f t="shared" ref="BU16:BU79" si="59">(BR16-BR$14)/360*$BS$5*$BS$6</f>
        <v>6944.4444444444453</v>
      </c>
      <c r="BV16" s="45">
        <f t="shared" ref="BV16:BV50" si="60">VLOOKUP(BR16+BV$4,CC:CD,2)</f>
        <v>50.996000000000002</v>
      </c>
      <c r="BW16" s="46">
        <f t="shared" ref="BW16:BW79" si="61">-1*(BV16-$BV$14)*10^-4*$BT$8*$BT$5</f>
        <v>-43987.500000000204</v>
      </c>
      <c r="BX16" s="47">
        <f t="shared" ref="BX16:BX79" si="62">(BR16-BR$14)/360*$BT$5*$BT$6</f>
        <v>6944.4444444444453</v>
      </c>
      <c r="BY16" s="45">
        <f t="shared" ref="BY16:BY50" si="63">BT16+BU16-BW16-BX16</f>
        <v>-33037.500000002365</v>
      </c>
      <c r="CA16" s="126">
        <v>45786.625</v>
      </c>
      <c r="CB16" s="54">
        <v>104.7522</v>
      </c>
      <c r="CC16" s="126">
        <v>45786.625</v>
      </c>
      <c r="CD16" s="54">
        <v>61.521999999999998</v>
      </c>
      <c r="CF16" s="128">
        <v>45868.625</v>
      </c>
      <c r="CG16" s="45">
        <f t="shared" si="22"/>
        <v>265.81200000000001</v>
      </c>
      <c r="CH16" s="46">
        <f t="shared" ref="CH16:CH79" si="64">-1*(CG16-$CG$14)*$CG$8*10^-4*$CG$5</f>
        <v>12594.119999999997</v>
      </c>
      <c r="CI16" s="46">
        <f t="shared" ref="CI16:CI79" si="65">(CF16-CF$14)/360*$CG$5*$CG$6</f>
        <v>5833.3333333333339</v>
      </c>
      <c r="CJ16" s="45">
        <f t="shared" ref="CJ16:CJ50" si="66">VLOOKUP(CF16+CJ$4,CQ:CR,2)</f>
        <v>52.783999999999999</v>
      </c>
      <c r="CK16" s="46">
        <f t="shared" ref="CK16:CK79" si="67">-1*(CJ16-$CJ$14)*10^-4*$CH$8*$CH$5</f>
        <v>173.87999999990362</v>
      </c>
      <c r="CL16" s="47">
        <f t="shared" ref="CL16:CL79" si="68">(CF16-CF$14)/360*$CH$5*$CH$6</f>
        <v>5250</v>
      </c>
      <c r="CM16" s="45">
        <f t="shared" ref="CM16:CM50" si="69">CH16+CI16-CK16-CL16</f>
        <v>13003.573333333428</v>
      </c>
      <c r="CO16" s="126">
        <v>45790.625</v>
      </c>
      <c r="CP16" s="54">
        <v>296.28399999999999</v>
      </c>
      <c r="CQ16" s="126">
        <v>45790.625</v>
      </c>
      <c r="CR16" s="54">
        <v>55.77</v>
      </c>
      <c r="CS16" s="54"/>
      <c r="CT16" s="54"/>
      <c r="CU16" s="54"/>
      <c r="CV16" s="54"/>
      <c r="CW16" s="54"/>
      <c r="CX16" s="54"/>
      <c r="CY16" s="54"/>
      <c r="DF16" s="137">
        <v>45869.625</v>
      </c>
      <c r="DG16" s="56">
        <f t="shared" si="4"/>
        <v>13495.965341561823</v>
      </c>
      <c r="DH16" s="56">
        <f t="shared" si="5"/>
        <v>-2279.053804014271</v>
      </c>
      <c r="DI16" s="56">
        <f t="shared" si="6"/>
        <v>-36043.750000002503</v>
      </c>
      <c r="DJ16" s="56">
        <f t="shared" si="7"/>
        <v>27878.060000000361</v>
      </c>
      <c r="DK16" s="56">
        <f t="shared" si="23"/>
        <v>-17811.511566492147</v>
      </c>
      <c r="DL16" s="56">
        <f t="shared" si="23"/>
        <v>17650.366145691714</v>
      </c>
      <c r="DM16" s="56">
        <f t="shared" si="23"/>
        <v>-3006.2500000001382</v>
      </c>
      <c r="DN16" s="56">
        <f t="shared" si="23"/>
        <v>14874.486666666933</v>
      </c>
      <c r="DO16" s="56">
        <f t="shared" si="8"/>
        <v>-17811.511566492147</v>
      </c>
      <c r="DP16" s="56">
        <f t="shared" si="3"/>
        <v>17650.366145691714</v>
      </c>
      <c r="DQ16" s="56">
        <f t="shared" si="3"/>
        <v>-3006.2500000001382</v>
      </c>
      <c r="DR16" s="56">
        <f t="shared" si="3"/>
        <v>14874.486666666933</v>
      </c>
      <c r="DS16" s="56">
        <f>SUM(DO$15:DO16)</f>
        <v>5101.6374210254289</v>
      </c>
      <c r="DT16" s="56">
        <f>SUM(DP$15:DP16)</f>
        <v>5330.5666168021307</v>
      </c>
      <c r="DU16" s="56">
        <f>SUM(DQ$15:DQ16)</f>
        <v>-21362.499999999811</v>
      </c>
      <c r="DV16" s="56">
        <f>SUM(DR$15:DR16)</f>
        <v>10364.293333333495</v>
      </c>
      <c r="DZ16" s="130">
        <v>45869.625</v>
      </c>
      <c r="EA16" s="147">
        <f t="shared" ref="EA16:EA75" si="70">VLOOKUP(DZ16,DF:DS,14)</f>
        <v>5101.6374210254289</v>
      </c>
      <c r="EB16" s="147">
        <f t="shared" si="24"/>
        <v>5330.5666168021307</v>
      </c>
      <c r="EC16" s="147">
        <f t="shared" si="25"/>
        <v>10364.293333333495</v>
      </c>
      <c r="ED16" s="147">
        <f t="shared" si="26"/>
        <v>-21362.499999999811</v>
      </c>
    </row>
    <row r="17" spans="1:134" x14ac:dyDescent="0.3">
      <c r="A17" s="134">
        <v>45849.625</v>
      </c>
      <c r="B17" s="73">
        <f t="shared" si="27"/>
        <v>94.12</v>
      </c>
      <c r="C17" s="31">
        <f t="shared" si="28"/>
        <v>49201.277955270183</v>
      </c>
      <c r="D17" s="32">
        <f t="shared" si="29"/>
        <v>-7402.4999999999991</v>
      </c>
      <c r="E17" s="73">
        <f t="shared" si="30"/>
        <v>101.123</v>
      </c>
      <c r="F17" s="31">
        <f t="shared" si="31"/>
        <v>-19823.99999999916</v>
      </c>
      <c r="G17" s="32">
        <f t="shared" si="32"/>
        <v>-2635.4920199999997</v>
      </c>
      <c r="H17" s="73">
        <f t="shared" si="33"/>
        <v>121.72</v>
      </c>
      <c r="I17" s="31">
        <f t="shared" si="34"/>
        <v>-53335.520918789363</v>
      </c>
      <c r="J17" s="32">
        <f t="shared" si="35"/>
        <v>-12732.299999999997</v>
      </c>
      <c r="K17" s="73">
        <f t="shared" si="36"/>
        <v>99.567999999999998</v>
      </c>
      <c r="L17" s="31">
        <f t="shared" si="37"/>
        <v>-66124.800000002506</v>
      </c>
      <c r="M17" s="32">
        <f t="shared" si="38"/>
        <v>-5796.9637599999996</v>
      </c>
      <c r="N17" s="79">
        <f t="shared" si="17"/>
        <v>58404.327134056206</v>
      </c>
      <c r="O17" s="79"/>
      <c r="P17" s="79"/>
      <c r="Q17" s="79">
        <f>$G$5*SUM($O$14:O17)-$H$5*SUM($P$14:P17)</f>
        <v>0</v>
      </c>
      <c r="R17" s="79">
        <f t="shared" si="18"/>
        <v>58404.327134056206</v>
      </c>
      <c r="S17" s="138"/>
      <c r="U17" s="72">
        <v>45791.625</v>
      </c>
      <c r="V17" s="54">
        <v>92.87</v>
      </c>
      <c r="W17" s="72">
        <v>45790.625</v>
      </c>
      <c r="X17" s="54">
        <v>101.125</v>
      </c>
      <c r="Y17" s="122">
        <v>45792.625</v>
      </c>
      <c r="Z17" s="54">
        <v>120.4</v>
      </c>
      <c r="AA17" s="72">
        <v>45866.625</v>
      </c>
      <c r="AB17" s="54">
        <v>99.715000000000003</v>
      </c>
      <c r="AF17" s="128">
        <v>45869.625</v>
      </c>
      <c r="AG17" s="45">
        <f t="shared" si="39"/>
        <v>80.38</v>
      </c>
      <c r="AH17" s="46">
        <f t="shared" si="40"/>
        <v>-21752.641392172591</v>
      </c>
      <c r="AI17" s="46">
        <f t="shared" si="41"/>
        <v>-8812.5</v>
      </c>
      <c r="AJ17" s="45">
        <f t="shared" si="42"/>
        <v>99.640625</v>
      </c>
      <c r="AK17" s="46">
        <f t="shared" si="43"/>
        <v>9793.5267857142862</v>
      </c>
      <c r="AL17" s="47">
        <f t="shared" si="44"/>
        <v>-390.95668247767844</v>
      </c>
      <c r="AM17" s="45">
        <f t="shared" si="45"/>
        <v>109.11</v>
      </c>
      <c r="AN17" s="46">
        <f t="shared" si="46"/>
        <v>80379.306268798537</v>
      </c>
      <c r="AO17" s="47">
        <f t="shared" si="47"/>
        <v>-9064.2857142857138</v>
      </c>
      <c r="AP17" s="45">
        <f t="shared" si="48"/>
        <v>99.640625</v>
      </c>
      <c r="AQ17" s="46">
        <f t="shared" si="49"/>
        <v>8537.9464285714294</v>
      </c>
      <c r="AR17" s="47">
        <f t="shared" si="50"/>
        <v>-340.8340308779766</v>
      </c>
      <c r="AS17" s="45">
        <f t="shared" si="51"/>
        <v>102.1875</v>
      </c>
      <c r="AT17" s="46">
        <f t="shared" si="52"/>
        <v>21763.392857142859</v>
      </c>
      <c r="AU17" s="47">
        <f t="shared" si="53"/>
        <v>142.7022879464289</v>
      </c>
      <c r="AV17" s="45">
        <f t="shared" si="54"/>
        <v>95.828125</v>
      </c>
      <c r="AW17" s="46">
        <f t="shared" si="55"/>
        <v>78515.625</v>
      </c>
      <c r="AX17" s="47">
        <f t="shared" si="56"/>
        <v>384.845703125</v>
      </c>
      <c r="AY17" s="79">
        <f t="shared" si="57"/>
        <v>-2279.053804014271</v>
      </c>
      <c r="AZ17" s="79"/>
      <c r="BA17" s="79"/>
      <c r="BB17" s="79">
        <f>$AO$4*SUM($AZ$14:AZ17)-$AP$4*SUM($BA$14:BA17)</f>
        <v>0</v>
      </c>
      <c r="BC17" s="79">
        <f t="shared" si="19"/>
        <v>-2279.053804014271</v>
      </c>
      <c r="BE17" s="72">
        <v>45786.625</v>
      </c>
      <c r="BF17" s="54">
        <v>78.55</v>
      </c>
      <c r="BG17" s="72">
        <v>45884.625</v>
      </c>
      <c r="BH17" s="54">
        <v>100.15625</v>
      </c>
      <c r="BI17" s="72">
        <v>45786.625</v>
      </c>
      <c r="BJ17" s="54">
        <v>106.61</v>
      </c>
      <c r="BK17" s="72">
        <v>45884.625</v>
      </c>
      <c r="BL17" s="54">
        <v>100.15625</v>
      </c>
      <c r="BM17" s="72">
        <v>45786.625</v>
      </c>
      <c r="BN17" s="54">
        <v>102.015625</v>
      </c>
      <c r="BO17" s="72">
        <v>45786.625</v>
      </c>
      <c r="BP17" s="54">
        <v>96.5625</v>
      </c>
      <c r="BR17" s="128">
        <f t="shared" si="20"/>
        <v>45869.625</v>
      </c>
      <c r="BS17" s="45">
        <f t="shared" si="21"/>
        <v>107.2366</v>
      </c>
      <c r="BT17" s="46">
        <f t="shared" si="58"/>
        <v>-85375.000000002648</v>
      </c>
      <c r="BU17" s="46">
        <f t="shared" si="59"/>
        <v>10416.666666666668</v>
      </c>
      <c r="BV17" s="45">
        <f t="shared" si="60"/>
        <v>51.091000000000001</v>
      </c>
      <c r="BW17" s="46">
        <f t="shared" si="61"/>
        <v>-49331.250000000138</v>
      </c>
      <c r="BX17" s="47">
        <f t="shared" si="62"/>
        <v>10416.666666666666</v>
      </c>
      <c r="BY17" s="45">
        <f t="shared" si="63"/>
        <v>-36043.750000002503</v>
      </c>
      <c r="CA17" s="126">
        <v>45789.625</v>
      </c>
      <c r="CB17" s="54">
        <v>106.1426</v>
      </c>
      <c r="CC17" s="126">
        <v>45789.625</v>
      </c>
      <c r="CD17" s="54">
        <v>55.463999999999999</v>
      </c>
      <c r="CF17" s="128">
        <v>45869.625</v>
      </c>
      <c r="CG17" s="45">
        <f t="shared" si="22"/>
        <v>268.60899999999998</v>
      </c>
      <c r="CH17" s="46">
        <f t="shared" si="64"/>
        <v>-13250.159999999716</v>
      </c>
      <c r="CI17" s="46">
        <f t="shared" si="65"/>
        <v>8750</v>
      </c>
      <c r="CJ17" s="45">
        <f t="shared" si="66"/>
        <v>53.713999999999999</v>
      </c>
      <c r="CK17" s="46">
        <f t="shared" si="67"/>
        <v>-40253.220000000081</v>
      </c>
      <c r="CL17" s="47">
        <f t="shared" si="68"/>
        <v>7875</v>
      </c>
      <c r="CM17" s="45">
        <f t="shared" si="69"/>
        <v>27878.060000000361</v>
      </c>
      <c r="CO17" s="126">
        <v>45791.625</v>
      </c>
      <c r="CP17" s="54">
        <v>297.67</v>
      </c>
      <c r="CQ17" s="126">
        <v>45791.625</v>
      </c>
      <c r="CR17" s="54">
        <v>56.567999999999998</v>
      </c>
      <c r="CS17" s="54"/>
      <c r="CT17" s="54"/>
      <c r="CU17" s="54"/>
      <c r="CV17" s="54"/>
      <c r="CW17" s="54"/>
      <c r="CX17" s="54"/>
      <c r="CY17" s="54"/>
      <c r="DF17" s="137">
        <v>45870.625</v>
      </c>
      <c r="DG17" s="56">
        <f t="shared" si="4"/>
        <v>44222.396982064354</v>
      </c>
      <c r="DH17" s="56">
        <f t="shared" si="5"/>
        <v>-132959.15804505366</v>
      </c>
      <c r="DI17" s="56">
        <f t="shared" si="6"/>
        <v>-38281.250000002809</v>
      </c>
      <c r="DJ17" s="56">
        <f t="shared" si="7"/>
        <v>34690.43666666701</v>
      </c>
      <c r="DK17" s="56">
        <f t="shared" si="23"/>
        <v>30726.431640502531</v>
      </c>
      <c r="DL17" s="56">
        <f t="shared" si="23"/>
        <v>-130680.10424103939</v>
      </c>
      <c r="DM17" s="56">
        <f t="shared" si="23"/>
        <v>-2237.5000000003056</v>
      </c>
      <c r="DN17" s="56">
        <f t="shared" si="23"/>
        <v>6812.3766666666488</v>
      </c>
      <c r="DO17" s="56">
        <f t="shared" si="8"/>
        <v>30726.431640502531</v>
      </c>
      <c r="DP17" s="56">
        <f t="shared" si="3"/>
        <v>-130680.10424103939</v>
      </c>
      <c r="DQ17" s="56">
        <f t="shared" si="3"/>
        <v>-2237.5000000003056</v>
      </c>
      <c r="DR17" s="56">
        <f t="shared" si="3"/>
        <v>6812.3766666666488</v>
      </c>
      <c r="DS17" s="56">
        <f>SUM(DO$15:DO17)</f>
        <v>35828.06906152796</v>
      </c>
      <c r="DT17" s="56">
        <f>SUM(DP$15:DP17)</f>
        <v>-125349.53762423726</v>
      </c>
      <c r="DU17" s="56">
        <f>SUM(DQ$15:DQ17)</f>
        <v>-23600.000000000116</v>
      </c>
      <c r="DV17" s="56">
        <f>SUM(DR$15:DR17)</f>
        <v>17176.670000000144</v>
      </c>
      <c r="DZ17" s="130">
        <v>45870.625</v>
      </c>
      <c r="EA17" s="147">
        <f t="shared" si="70"/>
        <v>35828.06906152796</v>
      </c>
      <c r="EB17" s="147">
        <f t="shared" si="24"/>
        <v>-125349.53762423726</v>
      </c>
      <c r="EC17" s="147">
        <f t="shared" si="25"/>
        <v>17176.670000000144</v>
      </c>
      <c r="ED17" s="147">
        <f t="shared" si="26"/>
        <v>-23600.000000000116</v>
      </c>
    </row>
    <row r="18" spans="1:134" x14ac:dyDescent="0.3">
      <c r="A18" s="134">
        <v>45852.625</v>
      </c>
      <c r="B18" s="73">
        <f t="shared" si="27"/>
        <v>94.05</v>
      </c>
      <c r="C18" s="31">
        <f t="shared" si="28"/>
        <v>33546.325878593518</v>
      </c>
      <c r="D18" s="32">
        <f t="shared" si="29"/>
        <v>-14804.999999999998</v>
      </c>
      <c r="E18" s="73">
        <f t="shared" si="30"/>
        <v>101.181</v>
      </c>
      <c r="F18" s="31">
        <f t="shared" si="31"/>
        <v>-10080.000000000382</v>
      </c>
      <c r="G18" s="32">
        <f t="shared" si="32"/>
        <v>-5270.9840399999994</v>
      </c>
      <c r="H18" s="73">
        <f t="shared" si="33"/>
        <v>121.74</v>
      </c>
      <c r="I18" s="31">
        <f t="shared" si="34"/>
        <v>-47409.351927814554</v>
      </c>
      <c r="J18" s="32">
        <f t="shared" si="35"/>
        <v>-25464.599999999995</v>
      </c>
      <c r="K18" s="73">
        <f t="shared" si="36"/>
        <v>99.611999999999995</v>
      </c>
      <c r="L18" s="31">
        <f t="shared" si="37"/>
        <v>-50971.200000003562</v>
      </c>
      <c r="M18" s="32">
        <f t="shared" si="38"/>
        <v>-11593.927519999999</v>
      </c>
      <c r="N18" s="79">
        <f t="shared" si="17"/>
        <v>44401.134326404877</v>
      </c>
      <c r="O18" s="79"/>
      <c r="P18" s="79"/>
      <c r="Q18" s="79">
        <f>$G$5*SUM($O$14:O18)-$H$5*SUM($P$14:P18)</f>
        <v>0</v>
      </c>
      <c r="R18" s="79">
        <f t="shared" si="18"/>
        <v>44401.134326404877</v>
      </c>
      <c r="S18" s="138"/>
      <c r="U18" s="72">
        <v>45792.625</v>
      </c>
      <c r="V18" s="54">
        <v>92.74</v>
      </c>
      <c r="W18" s="72">
        <v>45791.625</v>
      </c>
      <c r="X18" s="54">
        <v>101.087</v>
      </c>
      <c r="Y18" s="122">
        <v>45793.625</v>
      </c>
      <c r="Z18" s="54">
        <v>120.73</v>
      </c>
      <c r="AA18" s="72">
        <v>45867.625</v>
      </c>
      <c r="AB18" s="54">
        <v>99.623999999999995</v>
      </c>
      <c r="AF18" s="128">
        <v>45870.625</v>
      </c>
      <c r="AG18" s="45">
        <f t="shared" si="39"/>
        <v>79.98</v>
      </c>
      <c r="AH18" s="46">
        <f t="shared" si="40"/>
        <v>-146053.44934741914</v>
      </c>
      <c r="AI18" s="46">
        <f t="shared" si="41"/>
        <v>-11750</v>
      </c>
      <c r="AJ18" s="45">
        <f t="shared" si="42"/>
        <v>100.5390625</v>
      </c>
      <c r="AK18" s="46">
        <f t="shared" si="43"/>
        <v>134933.03571428571</v>
      </c>
      <c r="AL18" s="47">
        <f t="shared" si="44"/>
        <v>-521.27557663690459</v>
      </c>
      <c r="AM18" s="45">
        <f t="shared" si="45"/>
        <v>109.63</v>
      </c>
      <c r="AN18" s="46">
        <f t="shared" si="46"/>
        <v>203312.36291519593</v>
      </c>
      <c r="AO18" s="47">
        <f t="shared" si="47"/>
        <v>-12085.714285714286</v>
      </c>
      <c r="AP18" s="45">
        <f t="shared" si="48"/>
        <v>100.5390625</v>
      </c>
      <c r="AQ18" s="46">
        <f t="shared" si="49"/>
        <v>117633.92857142858</v>
      </c>
      <c r="AR18" s="47">
        <f t="shared" si="50"/>
        <v>-454.44537450396729</v>
      </c>
      <c r="AS18" s="45">
        <f t="shared" si="51"/>
        <v>103.359375</v>
      </c>
      <c r="AT18" s="46">
        <f t="shared" si="52"/>
        <v>84542.41071428571</v>
      </c>
      <c r="AU18" s="47">
        <f t="shared" si="53"/>
        <v>190.26971726190504</v>
      </c>
      <c r="AV18" s="45">
        <f t="shared" si="54"/>
        <v>97.03125</v>
      </c>
      <c r="AW18" s="46">
        <f t="shared" si="55"/>
        <v>168750</v>
      </c>
      <c r="AX18" s="47">
        <f t="shared" si="56"/>
        <v>513.12760416666697</v>
      </c>
      <c r="AY18" s="79">
        <f t="shared" si="57"/>
        <v>-112266.56688191074</v>
      </c>
      <c r="AZ18" s="79">
        <v>0.40448699999999999</v>
      </c>
      <c r="BA18" s="79">
        <v>0.44415500000000002</v>
      </c>
      <c r="BB18" s="79">
        <f>$AO$4*SUM($AZ$14:AZ18)-$AP$4*SUM($BA$14:BA18)</f>
        <v>20692.591163142919</v>
      </c>
      <c r="BC18" s="79">
        <f t="shared" si="19"/>
        <v>-132959.15804505366</v>
      </c>
      <c r="BE18" s="72">
        <v>45789.625</v>
      </c>
      <c r="BF18" s="54">
        <v>79.33</v>
      </c>
      <c r="BG18" s="72">
        <v>45887.625</v>
      </c>
      <c r="BH18" s="54">
        <v>100.1015625</v>
      </c>
      <c r="BI18" s="72">
        <v>45789.625</v>
      </c>
      <c r="BJ18" s="54">
        <v>106.59</v>
      </c>
      <c r="BK18" s="72">
        <v>45887.625</v>
      </c>
      <c r="BL18" s="54">
        <v>100.1015625</v>
      </c>
      <c r="BM18" s="72">
        <v>45789.625</v>
      </c>
      <c r="BN18" s="54">
        <v>101.296875</v>
      </c>
      <c r="BO18" s="72">
        <v>45789.625</v>
      </c>
      <c r="BP18" s="54">
        <v>95.609375</v>
      </c>
      <c r="BR18" s="128">
        <f t="shared" si="20"/>
        <v>45870.625</v>
      </c>
      <c r="BS18" s="45">
        <f t="shared" si="21"/>
        <v>106.53149999999999</v>
      </c>
      <c r="BT18" s="46">
        <f t="shared" si="58"/>
        <v>-261650.00000000303</v>
      </c>
      <c r="BU18" s="46">
        <f t="shared" si="59"/>
        <v>13888.888888888891</v>
      </c>
      <c r="BV18" s="45">
        <f t="shared" si="60"/>
        <v>54.185000000000002</v>
      </c>
      <c r="BW18" s="46">
        <f t="shared" si="61"/>
        <v>-223368.75000000023</v>
      </c>
      <c r="BX18" s="47">
        <f t="shared" si="62"/>
        <v>13888.888888888891</v>
      </c>
      <c r="BY18" s="45">
        <f t="shared" si="63"/>
        <v>-38281.250000002809</v>
      </c>
      <c r="CA18" s="126">
        <v>45790.625</v>
      </c>
      <c r="CB18" s="54">
        <v>106.55589999999999</v>
      </c>
      <c r="CC18" s="126">
        <v>45790.625</v>
      </c>
      <c r="CD18" s="54">
        <v>54.054000000000002</v>
      </c>
      <c r="CF18" s="128">
        <v>45870.625</v>
      </c>
      <c r="CG18" s="45">
        <f t="shared" si="22"/>
        <v>281.363</v>
      </c>
      <c r="CH18" s="46">
        <f t="shared" si="64"/>
        <v>-131097.11999999991</v>
      </c>
      <c r="CI18" s="46">
        <f t="shared" si="65"/>
        <v>11666.666666666668</v>
      </c>
      <c r="CJ18" s="45">
        <f t="shared" si="66"/>
        <v>56.575000000000003</v>
      </c>
      <c r="CK18" s="46">
        <f t="shared" si="67"/>
        <v>-164620.89000000025</v>
      </c>
      <c r="CL18" s="47">
        <f t="shared" si="68"/>
        <v>10500</v>
      </c>
      <c r="CM18" s="45">
        <f t="shared" si="69"/>
        <v>34690.43666666701</v>
      </c>
      <c r="CO18" s="126">
        <v>45792.625</v>
      </c>
      <c r="CP18" s="54">
        <v>301.32</v>
      </c>
      <c r="CQ18" s="126">
        <v>45792.625</v>
      </c>
      <c r="CR18" s="54">
        <v>57.174999999999997</v>
      </c>
      <c r="CS18" s="54"/>
      <c r="CT18" s="54"/>
      <c r="CU18" s="54"/>
      <c r="CV18" s="54"/>
      <c r="CW18" s="54"/>
      <c r="CX18" s="54"/>
      <c r="CY18" s="54"/>
      <c r="DF18" s="137">
        <v>45873.625</v>
      </c>
      <c r="DG18" s="56">
        <f t="shared" si="4"/>
        <v>39403.850179231609</v>
      </c>
      <c r="DH18" s="56">
        <f t="shared" si="5"/>
        <v>-69372.182510527869</v>
      </c>
      <c r="DI18" s="56">
        <f t="shared" si="6"/>
        <v>-34000.000000000618</v>
      </c>
      <c r="DJ18" s="56">
        <f t="shared" si="7"/>
        <v>48275.686666667039</v>
      </c>
      <c r="DK18" s="56">
        <f t="shared" si="23"/>
        <v>-4818.546802832745</v>
      </c>
      <c r="DL18" s="56">
        <f t="shared" si="23"/>
        <v>63586.975534525787</v>
      </c>
      <c r="DM18" s="56">
        <f t="shared" si="23"/>
        <v>4281.2500000021901</v>
      </c>
      <c r="DN18" s="56">
        <f t="shared" si="23"/>
        <v>13585.250000000029</v>
      </c>
      <c r="DO18" s="56">
        <f t="shared" si="8"/>
        <v>-4818.546802832745</v>
      </c>
      <c r="DP18" s="56">
        <f t="shared" si="3"/>
        <v>63586.975534525787</v>
      </c>
      <c r="DQ18" s="56">
        <f t="shared" si="3"/>
        <v>4281.2500000021901</v>
      </c>
      <c r="DR18" s="56">
        <f t="shared" si="3"/>
        <v>13585.250000000029</v>
      </c>
      <c r="DS18" s="56">
        <f>SUM(DO$15:DO18)</f>
        <v>31009.522258695215</v>
      </c>
      <c r="DT18" s="56">
        <f>SUM(DP$15:DP18)</f>
        <v>-61762.562089711471</v>
      </c>
      <c r="DU18" s="56">
        <f>SUM(DQ$15:DQ18)</f>
        <v>-19318.749999997926</v>
      </c>
      <c r="DV18" s="56">
        <f>SUM(DR$15:DR18)</f>
        <v>30761.920000000173</v>
      </c>
      <c r="DZ18" s="130">
        <v>45873.625</v>
      </c>
      <c r="EA18" s="147">
        <f t="shared" si="70"/>
        <v>31009.522258695215</v>
      </c>
      <c r="EB18" s="147">
        <f t="shared" si="24"/>
        <v>-61762.562089711471</v>
      </c>
      <c r="EC18" s="147">
        <f t="shared" si="25"/>
        <v>30761.920000000173</v>
      </c>
      <c r="ED18" s="147">
        <f t="shared" si="26"/>
        <v>-19318.749999997926</v>
      </c>
    </row>
    <row r="19" spans="1:134" x14ac:dyDescent="0.3">
      <c r="A19" s="134">
        <v>45853.625</v>
      </c>
      <c r="B19" s="73">
        <f t="shared" si="27"/>
        <v>94.05</v>
      </c>
      <c r="C19" s="31">
        <f t="shared" si="28"/>
        <v>33546.325878593518</v>
      </c>
      <c r="D19" s="32">
        <f t="shared" si="29"/>
        <v>-17272.5</v>
      </c>
      <c r="E19" s="73">
        <f t="shared" si="30"/>
        <v>101.23699999999999</v>
      </c>
      <c r="F19" s="31">
        <f t="shared" si="31"/>
        <v>-672.00000000082127</v>
      </c>
      <c r="G19" s="32">
        <f t="shared" si="32"/>
        <v>-6149.4813800000011</v>
      </c>
      <c r="H19" s="73">
        <f t="shared" si="33"/>
        <v>121.85</v>
      </c>
      <c r="I19" s="31">
        <f t="shared" si="34"/>
        <v>-14815.422477445054</v>
      </c>
      <c r="J19" s="32">
        <f t="shared" si="35"/>
        <v>-29708.7</v>
      </c>
      <c r="K19" s="73">
        <f t="shared" si="36"/>
        <v>99.713999999999999</v>
      </c>
      <c r="L19" s="31">
        <f t="shared" si="37"/>
        <v>-15842.400000002232</v>
      </c>
      <c r="M19" s="32">
        <f t="shared" si="38"/>
        <v>-13526.248773333331</v>
      </c>
      <c r="N19" s="79">
        <f t="shared" si="17"/>
        <v>38250.78096270383</v>
      </c>
      <c r="O19" s="79"/>
      <c r="P19" s="79"/>
      <c r="Q19" s="79">
        <f>$G$5*SUM($O$14:O19)-$H$5*SUM($P$14:P19)</f>
        <v>0</v>
      </c>
      <c r="R19" s="79">
        <f t="shared" si="18"/>
        <v>38250.78096270383</v>
      </c>
      <c r="S19" s="138"/>
      <c r="U19" s="72">
        <v>45793.625</v>
      </c>
      <c r="V19" s="54">
        <v>92.96</v>
      </c>
      <c r="W19" s="72">
        <v>45792.625</v>
      </c>
      <c r="X19" s="54">
        <v>101.241</v>
      </c>
      <c r="Y19" s="122">
        <v>45796.625</v>
      </c>
      <c r="Z19" s="54">
        <v>120.66</v>
      </c>
      <c r="AA19" s="72">
        <v>45868.625</v>
      </c>
      <c r="AB19" s="54">
        <v>99.552999999999997</v>
      </c>
      <c r="AF19" s="128">
        <v>45873.625</v>
      </c>
      <c r="AG19" s="45">
        <f t="shared" si="39"/>
        <v>80.25</v>
      </c>
      <c r="AH19" s="46">
        <f t="shared" si="40"/>
        <v>-62150.403977626054</v>
      </c>
      <c r="AI19" s="46">
        <f t="shared" si="41"/>
        <v>-20562.5</v>
      </c>
      <c r="AJ19" s="45">
        <f t="shared" si="42"/>
        <v>100.5859375</v>
      </c>
      <c r="AK19" s="46">
        <f t="shared" si="43"/>
        <v>141462.05357142858</v>
      </c>
      <c r="AL19" s="47">
        <f t="shared" si="44"/>
        <v>-912.23225911458394</v>
      </c>
      <c r="AM19" s="45">
        <f t="shared" si="45"/>
        <v>109.82</v>
      </c>
      <c r="AN19" s="46">
        <f t="shared" si="46"/>
        <v>248230.21053599159</v>
      </c>
      <c r="AO19" s="47">
        <f t="shared" si="47"/>
        <v>-21150</v>
      </c>
      <c r="AP19" s="45">
        <f t="shared" si="48"/>
        <v>100.5859375</v>
      </c>
      <c r="AQ19" s="46">
        <f t="shared" si="49"/>
        <v>123325.89285714287</v>
      </c>
      <c r="AR19" s="47">
        <f t="shared" si="50"/>
        <v>-795.27940538194343</v>
      </c>
      <c r="AS19" s="45">
        <f t="shared" si="51"/>
        <v>103.46875</v>
      </c>
      <c r="AT19" s="46">
        <f t="shared" si="52"/>
        <v>90401.785714285725</v>
      </c>
      <c r="AU19" s="47">
        <f t="shared" si="53"/>
        <v>332.97200520833394</v>
      </c>
      <c r="AV19" s="45">
        <f t="shared" si="54"/>
        <v>97.28125</v>
      </c>
      <c r="AW19" s="46">
        <f t="shared" si="55"/>
        <v>187500</v>
      </c>
      <c r="AX19" s="47">
        <f t="shared" si="56"/>
        <v>897.97330729166697</v>
      </c>
      <c r="AY19" s="79">
        <f t="shared" si="57"/>
        <v>-48679.591347384958</v>
      </c>
      <c r="AZ19" s="79"/>
      <c r="BA19" s="79"/>
      <c r="BB19" s="79">
        <f>$AO$4*SUM($AZ$14:AZ19)-$AP$4*SUM($BA$14:BA19)</f>
        <v>20692.591163142919</v>
      </c>
      <c r="BC19" s="79">
        <f t="shared" si="19"/>
        <v>-69372.182510527869</v>
      </c>
      <c r="BE19" s="72">
        <v>45790.625</v>
      </c>
      <c r="BF19" s="54">
        <v>79.47</v>
      </c>
      <c r="BG19" s="72">
        <v>45888.625</v>
      </c>
      <c r="BH19" s="54">
        <v>100.2421875</v>
      </c>
      <c r="BI19" s="72">
        <v>45790.625</v>
      </c>
      <c r="BJ19" s="54">
        <v>106.68</v>
      </c>
      <c r="BK19" s="72">
        <v>45888.625</v>
      </c>
      <c r="BL19" s="54">
        <v>100.2421875</v>
      </c>
      <c r="BM19" s="72">
        <v>45790.625</v>
      </c>
      <c r="BN19" s="54">
        <v>101.171875</v>
      </c>
      <c r="BO19" s="72">
        <v>45790.625</v>
      </c>
      <c r="BP19" s="54">
        <v>95.21875</v>
      </c>
      <c r="BR19" s="128">
        <f t="shared" si="20"/>
        <v>45873.625</v>
      </c>
      <c r="BS19" s="45">
        <f t="shared" si="21"/>
        <v>107.0245</v>
      </c>
      <c r="BT19" s="46">
        <f t="shared" si="58"/>
        <v>-138400.00000000073</v>
      </c>
      <c r="BU19" s="46">
        <f t="shared" si="59"/>
        <v>24305.555555555558</v>
      </c>
      <c r="BV19" s="45">
        <f t="shared" si="60"/>
        <v>52.07</v>
      </c>
      <c r="BW19" s="46">
        <f t="shared" si="61"/>
        <v>-104400.0000000001</v>
      </c>
      <c r="BX19" s="47">
        <f t="shared" si="62"/>
        <v>24305.555555555555</v>
      </c>
      <c r="BY19" s="45">
        <f t="shared" si="63"/>
        <v>-34000.000000000618</v>
      </c>
      <c r="CA19" s="126">
        <v>45791.625</v>
      </c>
      <c r="CB19" s="54">
        <v>106.1994</v>
      </c>
      <c r="CC19" s="126">
        <v>45791.625</v>
      </c>
      <c r="CD19" s="54">
        <v>55.914999999999999</v>
      </c>
      <c r="CF19" s="128">
        <v>45873.625</v>
      </c>
      <c r="CG19" s="45">
        <f t="shared" si="22"/>
        <v>276.33199999999999</v>
      </c>
      <c r="CH19" s="46">
        <f t="shared" si="64"/>
        <v>-84610.679999999847</v>
      </c>
      <c r="CI19" s="46">
        <f t="shared" si="65"/>
        <v>20416.666666666668</v>
      </c>
      <c r="CJ19" s="45">
        <f t="shared" si="66"/>
        <v>55.798000000000002</v>
      </c>
      <c r="CK19" s="46">
        <f t="shared" si="67"/>
        <v>-130844.70000000022</v>
      </c>
      <c r="CL19" s="47">
        <f t="shared" si="68"/>
        <v>18375</v>
      </c>
      <c r="CM19" s="45">
        <f t="shared" si="69"/>
        <v>48275.686666667039</v>
      </c>
      <c r="CO19" s="126">
        <v>45793.625</v>
      </c>
      <c r="CP19" s="54">
        <v>300.76799999999997</v>
      </c>
      <c r="CQ19" s="126">
        <v>45793.625</v>
      </c>
      <c r="CR19" s="54">
        <v>57.244999999999997</v>
      </c>
      <c r="CS19" s="54"/>
      <c r="CT19" s="54"/>
      <c r="CU19" s="54"/>
      <c r="CV19" s="54"/>
      <c r="CW19" s="54"/>
      <c r="CX19" s="54"/>
      <c r="CY19" s="54"/>
      <c r="DF19" s="137">
        <v>45874.625</v>
      </c>
      <c r="DG19" s="56">
        <f t="shared" si="4"/>
        <v>36115.248892206</v>
      </c>
      <c r="DH19" s="56">
        <f t="shared" si="5"/>
        <v>-77001.055799339636</v>
      </c>
      <c r="DI19" s="56">
        <f t="shared" si="6"/>
        <v>-32275.000000002736</v>
      </c>
      <c r="DJ19" s="56">
        <f t="shared" si="7"/>
        <v>50976.263333333627</v>
      </c>
      <c r="DK19" s="56">
        <f t="shared" si="23"/>
        <v>-3288.6012870256091</v>
      </c>
      <c r="DL19" s="56">
        <f t="shared" si="23"/>
        <v>-7628.8732888117665</v>
      </c>
      <c r="DM19" s="56">
        <f t="shared" si="23"/>
        <v>1724.9999999978827</v>
      </c>
      <c r="DN19" s="56">
        <f t="shared" si="23"/>
        <v>2700.5766666665877</v>
      </c>
      <c r="DO19" s="56">
        <f t="shared" si="8"/>
        <v>-3288.6012870256091</v>
      </c>
      <c r="DP19" s="56">
        <f t="shared" si="3"/>
        <v>-7628.8732888117665</v>
      </c>
      <c r="DQ19" s="56">
        <f t="shared" si="3"/>
        <v>1724.9999999978827</v>
      </c>
      <c r="DR19" s="56">
        <f t="shared" si="3"/>
        <v>2700.5766666665877</v>
      </c>
      <c r="DS19" s="56">
        <f>SUM(DO$15:DO19)</f>
        <v>27720.920971669606</v>
      </c>
      <c r="DT19" s="56">
        <f>SUM(DP$15:DP19)</f>
        <v>-69391.435378523238</v>
      </c>
      <c r="DU19" s="56">
        <f>SUM(DQ$15:DQ19)</f>
        <v>-17593.750000000044</v>
      </c>
      <c r="DV19" s="56">
        <f>SUM(DR$15:DR19)</f>
        <v>33462.496666666761</v>
      </c>
      <c r="DZ19" s="130">
        <v>45874.625</v>
      </c>
      <c r="EA19" s="147">
        <f t="shared" si="70"/>
        <v>27720.920971669606</v>
      </c>
      <c r="EB19" s="147">
        <f t="shared" si="24"/>
        <v>-69391.435378523238</v>
      </c>
      <c r="EC19" s="147">
        <f t="shared" si="25"/>
        <v>33462.496666666761</v>
      </c>
      <c r="ED19" s="147">
        <f t="shared" si="26"/>
        <v>-17593.750000000044</v>
      </c>
    </row>
    <row r="20" spans="1:134" x14ac:dyDescent="0.3">
      <c r="A20" s="134">
        <v>45854.625</v>
      </c>
      <c r="B20" s="73">
        <f t="shared" si="27"/>
        <v>93.96</v>
      </c>
      <c r="C20" s="31">
        <f t="shared" si="28"/>
        <v>13418.530351436475</v>
      </c>
      <c r="D20" s="32">
        <f t="shared" si="29"/>
        <v>-19740</v>
      </c>
      <c r="E20" s="73">
        <f t="shared" si="30"/>
        <v>101.31</v>
      </c>
      <c r="F20" s="31">
        <f t="shared" si="31"/>
        <v>11592.000000000438</v>
      </c>
      <c r="G20" s="32">
        <f t="shared" si="32"/>
        <v>-7027.9787199999992</v>
      </c>
      <c r="H20" s="73">
        <f t="shared" si="33"/>
        <v>121.87</v>
      </c>
      <c r="I20" s="31">
        <f t="shared" si="34"/>
        <v>-8889.2534864662302</v>
      </c>
      <c r="J20" s="32">
        <f t="shared" si="35"/>
        <v>-33952.799999999996</v>
      </c>
      <c r="K20" s="73">
        <f t="shared" si="36"/>
        <v>99.841999999999999</v>
      </c>
      <c r="L20" s="31">
        <f t="shared" si="37"/>
        <v>28240.799999997809</v>
      </c>
      <c r="M20" s="32">
        <f t="shared" si="38"/>
        <v>-15458.570026666668</v>
      </c>
      <c r="N20" s="79">
        <f t="shared" si="17"/>
        <v>44738.792531233397</v>
      </c>
      <c r="O20" s="79"/>
      <c r="P20" s="79"/>
      <c r="Q20" s="79">
        <f>$G$5*SUM($O$14:O20)-$H$5*SUM($P$14:P20)</f>
        <v>0</v>
      </c>
      <c r="R20" s="79">
        <f t="shared" si="18"/>
        <v>44738.792531233397</v>
      </c>
      <c r="S20" s="138"/>
      <c r="U20" s="72">
        <v>45796.625</v>
      </c>
      <c r="V20" s="54">
        <v>92.89</v>
      </c>
      <c r="W20" s="72">
        <v>45793.625</v>
      </c>
      <c r="X20" s="54">
        <v>101.34</v>
      </c>
      <c r="Y20" s="122">
        <v>45797.625</v>
      </c>
      <c r="Z20" s="54">
        <v>120.68</v>
      </c>
      <c r="AA20" s="72">
        <v>45869.625</v>
      </c>
      <c r="AB20" s="54">
        <v>99.549000000000007</v>
      </c>
      <c r="AF20" s="128">
        <v>45874.625</v>
      </c>
      <c r="AG20" s="45">
        <f t="shared" si="39"/>
        <v>80.209999999999994</v>
      </c>
      <c r="AH20" s="46">
        <f t="shared" si="40"/>
        <v>-74580.48477315405</v>
      </c>
      <c r="AI20" s="46">
        <f t="shared" si="41"/>
        <v>-23500</v>
      </c>
      <c r="AJ20" s="45">
        <f t="shared" si="42"/>
        <v>100.4921875</v>
      </c>
      <c r="AK20" s="46">
        <f t="shared" si="43"/>
        <v>128404.01785714286</v>
      </c>
      <c r="AL20" s="47">
        <f t="shared" si="44"/>
        <v>-1042.5511532738092</v>
      </c>
      <c r="AM20" s="45">
        <f t="shared" si="45"/>
        <v>109.9</v>
      </c>
      <c r="AN20" s="46">
        <f t="shared" si="46"/>
        <v>267142.98848159425</v>
      </c>
      <c r="AO20" s="47">
        <f t="shared" si="47"/>
        <v>-24171.428571428572</v>
      </c>
      <c r="AP20" s="45">
        <f t="shared" si="48"/>
        <v>100.4921875</v>
      </c>
      <c r="AQ20" s="46">
        <f t="shared" si="49"/>
        <v>111941.96428571429</v>
      </c>
      <c r="AR20" s="47">
        <f t="shared" si="50"/>
        <v>-908.89074900793457</v>
      </c>
      <c r="AS20" s="45">
        <f t="shared" si="51"/>
        <v>103.4375</v>
      </c>
      <c r="AT20" s="46">
        <f t="shared" si="52"/>
        <v>88727.67857142858</v>
      </c>
      <c r="AU20" s="47">
        <f t="shared" si="53"/>
        <v>380.53943452381009</v>
      </c>
      <c r="AV20" s="45">
        <f t="shared" si="54"/>
        <v>97.59375</v>
      </c>
      <c r="AW20" s="46">
        <f t="shared" si="55"/>
        <v>210937.5</v>
      </c>
      <c r="AX20" s="47">
        <f t="shared" si="56"/>
        <v>1026.2552083333339</v>
      </c>
      <c r="AY20" s="79">
        <f t="shared" si="57"/>
        <v>-56308.46463619671</v>
      </c>
      <c r="AZ20" s="79"/>
      <c r="BA20" s="79"/>
      <c r="BB20" s="79">
        <f>$AO$4*SUM($AZ$14:AZ20)-$AP$4*SUM($BA$14:BA20)</f>
        <v>20692.591163142919</v>
      </c>
      <c r="BC20" s="79">
        <f t="shared" si="19"/>
        <v>-77001.055799339636</v>
      </c>
      <c r="BE20" s="72">
        <v>45791.625</v>
      </c>
      <c r="BF20" s="54">
        <v>79.180000000000007</v>
      </c>
      <c r="BG20" s="72">
        <v>45889.625</v>
      </c>
      <c r="BH20" s="54">
        <v>100.3125</v>
      </c>
      <c r="BI20" s="72">
        <v>45791.625</v>
      </c>
      <c r="BJ20" s="54">
        <v>106.18</v>
      </c>
      <c r="BK20" s="72">
        <v>45889.625</v>
      </c>
      <c r="BL20" s="54">
        <v>100.3125</v>
      </c>
      <c r="BM20" s="72">
        <v>45791.625</v>
      </c>
      <c r="BN20" s="54">
        <v>100.796875</v>
      </c>
      <c r="BO20" s="72">
        <v>45791.625</v>
      </c>
      <c r="BP20" s="54">
        <v>94.59375</v>
      </c>
      <c r="BR20" s="128">
        <f t="shared" si="20"/>
        <v>45874.625</v>
      </c>
      <c r="BS20" s="45">
        <f t="shared" si="21"/>
        <v>106.9378</v>
      </c>
      <c r="BT20" s="46">
        <f t="shared" si="58"/>
        <v>-160075.00000000265</v>
      </c>
      <c r="BU20" s="46">
        <f t="shared" si="59"/>
        <v>27777.777777777781</v>
      </c>
      <c r="BV20" s="45">
        <f t="shared" si="60"/>
        <v>52.485999999999997</v>
      </c>
      <c r="BW20" s="46">
        <f t="shared" si="61"/>
        <v>-127799.99999999991</v>
      </c>
      <c r="BX20" s="47">
        <f t="shared" si="62"/>
        <v>27777.777777777781</v>
      </c>
      <c r="BY20" s="45">
        <f t="shared" si="63"/>
        <v>-32275.000000002736</v>
      </c>
      <c r="CA20" s="126">
        <v>45792.625</v>
      </c>
      <c r="CB20" s="54">
        <v>106.253</v>
      </c>
      <c r="CC20" s="126">
        <v>45792.625</v>
      </c>
      <c r="CD20" s="54">
        <v>55</v>
      </c>
      <c r="CF20" s="128">
        <v>45874.625</v>
      </c>
      <c r="CG20" s="45">
        <f t="shared" si="22"/>
        <v>275.041</v>
      </c>
      <c r="CH20" s="46">
        <f t="shared" si="64"/>
        <v>-72681.83999999988</v>
      </c>
      <c r="CI20" s="46">
        <f t="shared" si="65"/>
        <v>23333.333333333336</v>
      </c>
      <c r="CJ20" s="45">
        <f t="shared" si="66"/>
        <v>55.579000000000001</v>
      </c>
      <c r="CK20" s="46">
        <f t="shared" si="67"/>
        <v>-121324.77000000016</v>
      </c>
      <c r="CL20" s="47">
        <f t="shared" si="68"/>
        <v>21000</v>
      </c>
      <c r="CM20" s="45">
        <f t="shared" si="69"/>
        <v>50976.263333333627</v>
      </c>
      <c r="CO20" s="126">
        <v>45796.625</v>
      </c>
      <c r="CP20" s="54">
        <v>301.44499999999999</v>
      </c>
      <c r="CQ20" s="126">
        <v>45796.625</v>
      </c>
      <c r="CR20" s="54">
        <v>57.45</v>
      </c>
      <c r="CS20" s="54"/>
      <c r="CT20" s="54"/>
      <c r="CU20" s="54"/>
      <c r="CV20" s="54"/>
      <c r="CW20" s="54"/>
      <c r="CX20" s="54"/>
      <c r="CY20" s="54"/>
      <c r="DF20" s="137">
        <v>45875.625</v>
      </c>
      <c r="DG20" s="56">
        <f t="shared" si="4"/>
        <v>58667.197879721061</v>
      </c>
      <c r="DH20" s="56">
        <f t="shared" si="5"/>
        <v>-96976.358097794364</v>
      </c>
      <c r="DI20" s="56">
        <f t="shared" si="6"/>
        <v>-39493.75000000275</v>
      </c>
      <c r="DJ20" s="56">
        <f t="shared" si="7"/>
        <v>36585.57000000024</v>
      </c>
      <c r="DK20" s="56">
        <f t="shared" si="23"/>
        <v>22551.948987515061</v>
      </c>
      <c r="DL20" s="56">
        <f t="shared" si="23"/>
        <v>-19975.302298454728</v>
      </c>
      <c r="DM20" s="56">
        <f t="shared" si="23"/>
        <v>-7218.7500000000146</v>
      </c>
      <c r="DN20" s="56">
        <f t="shared" si="23"/>
        <v>-14390.693333333387</v>
      </c>
      <c r="DO20" s="56">
        <f t="shared" si="8"/>
        <v>22551.948987515061</v>
      </c>
      <c r="DP20" s="56">
        <f t="shared" si="3"/>
        <v>-19975.302298454728</v>
      </c>
      <c r="DQ20" s="56">
        <f t="shared" si="3"/>
        <v>-7218.7500000000146</v>
      </c>
      <c r="DR20" s="56">
        <f t="shared" si="3"/>
        <v>-14390.693333333387</v>
      </c>
      <c r="DS20" s="56">
        <f>SUM(DO$15:DO20)</f>
        <v>50272.869959184667</v>
      </c>
      <c r="DT20" s="56">
        <f>SUM(DP$15:DP20)</f>
        <v>-89366.737676977966</v>
      </c>
      <c r="DU20" s="56">
        <f>SUM(DQ$15:DQ20)</f>
        <v>-24812.500000000058</v>
      </c>
      <c r="DV20" s="56">
        <f>SUM(DR$15:DR20)</f>
        <v>19071.803333333373</v>
      </c>
      <c r="DZ20" s="130">
        <v>45875.625</v>
      </c>
      <c r="EA20" s="147">
        <f t="shared" si="70"/>
        <v>50272.869959184667</v>
      </c>
      <c r="EB20" s="147">
        <f t="shared" si="24"/>
        <v>-89366.737676977966</v>
      </c>
      <c r="EC20" s="147">
        <f t="shared" si="25"/>
        <v>19071.803333333373</v>
      </c>
      <c r="ED20" s="147">
        <f t="shared" si="26"/>
        <v>-24812.500000000058</v>
      </c>
    </row>
    <row r="21" spans="1:134" x14ac:dyDescent="0.3">
      <c r="A21" s="134">
        <v>45855.625</v>
      </c>
      <c r="B21" s="73">
        <f t="shared" si="27"/>
        <v>94.08</v>
      </c>
      <c r="C21" s="31">
        <f t="shared" si="28"/>
        <v>40255.591054309429</v>
      </c>
      <c r="D21" s="32">
        <f t="shared" si="29"/>
        <v>-22207.5</v>
      </c>
      <c r="E21" s="73">
        <f t="shared" si="30"/>
        <v>101.328</v>
      </c>
      <c r="F21" s="31">
        <f t="shared" si="31"/>
        <v>14616.000000000553</v>
      </c>
      <c r="G21" s="32">
        <f t="shared" si="32"/>
        <v>-7906.4760599999991</v>
      </c>
      <c r="H21" s="73">
        <f t="shared" si="33"/>
        <v>120.13</v>
      </c>
      <c r="I21" s="31">
        <f t="shared" si="34"/>
        <v>-524465.95570139936</v>
      </c>
      <c r="J21" s="32">
        <f t="shared" si="35"/>
        <v>-38196.9</v>
      </c>
      <c r="K21" s="73">
        <f t="shared" si="36"/>
        <v>99.9</v>
      </c>
      <c r="L21" s="31">
        <f t="shared" si="37"/>
        <v>48216.000000000196</v>
      </c>
      <c r="M21" s="32">
        <f t="shared" si="38"/>
        <v>-17390.891280000003</v>
      </c>
      <c r="N21" s="79">
        <f t="shared" si="17"/>
        <v>604826.53153570846</v>
      </c>
      <c r="O21" s="79"/>
      <c r="P21" s="79">
        <v>1.9446000000000001</v>
      </c>
      <c r="Q21" s="79">
        <f>$G$5*SUM($O$14:O21)-$H$5*SUM($P$14:P21)</f>
        <v>-576200.5368</v>
      </c>
      <c r="R21" s="79">
        <f t="shared" si="18"/>
        <v>28625.99473570846</v>
      </c>
      <c r="S21" s="138"/>
      <c r="U21" s="72">
        <v>45797.625</v>
      </c>
      <c r="V21" s="54">
        <v>93.05</v>
      </c>
      <c r="W21" s="72">
        <v>45796.625</v>
      </c>
      <c r="X21" s="54">
        <v>101.408</v>
      </c>
      <c r="Y21" s="122">
        <v>45798.625</v>
      </c>
      <c r="Z21" s="54">
        <v>120.59</v>
      </c>
      <c r="AA21" s="72">
        <v>45870.625</v>
      </c>
      <c r="AB21" s="54">
        <v>99.751000000000005</v>
      </c>
      <c r="AF21" s="128">
        <v>45875.625</v>
      </c>
      <c r="AG21" s="45">
        <f t="shared" si="39"/>
        <v>80.290000000000006</v>
      </c>
      <c r="AH21" s="46">
        <f t="shared" si="40"/>
        <v>-49720.323182100845</v>
      </c>
      <c r="AI21" s="46">
        <f t="shared" si="41"/>
        <v>-26437.5</v>
      </c>
      <c r="AJ21" s="45">
        <f t="shared" si="42"/>
        <v>100.5</v>
      </c>
      <c r="AK21" s="46">
        <f t="shared" si="43"/>
        <v>129492.1875</v>
      </c>
      <c r="AL21" s="47">
        <f t="shared" si="44"/>
        <v>-1172.8700474330344</v>
      </c>
      <c r="AM21" s="45">
        <f t="shared" si="45"/>
        <v>109.87</v>
      </c>
      <c r="AN21" s="46">
        <f t="shared" si="46"/>
        <v>260050.69675199257</v>
      </c>
      <c r="AO21" s="47">
        <f t="shared" si="47"/>
        <v>-27192.857142857145</v>
      </c>
      <c r="AP21" s="45">
        <f t="shared" si="48"/>
        <v>100.5</v>
      </c>
      <c r="AQ21" s="46">
        <f t="shared" si="49"/>
        <v>112890.625</v>
      </c>
      <c r="AR21" s="47">
        <f t="shared" si="50"/>
        <v>-1022.5020926339275</v>
      </c>
      <c r="AS21" s="45">
        <f t="shared" si="51"/>
        <v>103.296875</v>
      </c>
      <c r="AT21" s="46">
        <f t="shared" si="52"/>
        <v>81194.196428571435</v>
      </c>
      <c r="AU21" s="47">
        <f t="shared" si="53"/>
        <v>428.10686383928623</v>
      </c>
      <c r="AV21" s="45">
        <f t="shared" si="54"/>
        <v>97</v>
      </c>
      <c r="AW21" s="46">
        <f t="shared" si="55"/>
        <v>166406.25</v>
      </c>
      <c r="AX21" s="47">
        <f t="shared" si="56"/>
        <v>1154.5371093750009</v>
      </c>
      <c r="AY21" s="79">
        <f t="shared" si="57"/>
        <v>-76283.766934651445</v>
      </c>
      <c r="AZ21" s="79"/>
      <c r="BA21" s="79"/>
      <c r="BB21" s="79">
        <f>$AO$4*SUM($AZ$14:AZ21)-$AP$4*SUM($BA$14:BA21)</f>
        <v>20692.591163142919</v>
      </c>
      <c r="BC21" s="79">
        <f t="shared" si="19"/>
        <v>-96976.358097794364</v>
      </c>
      <c r="BE21" s="72">
        <v>45792.625</v>
      </c>
      <c r="BF21" s="54">
        <v>79.33</v>
      </c>
      <c r="BG21" s="72">
        <v>45890.625</v>
      </c>
      <c r="BH21" s="54">
        <v>100.09375</v>
      </c>
      <c r="BI21" s="72">
        <v>45792.625</v>
      </c>
      <c r="BJ21" s="54">
        <v>106.9</v>
      </c>
      <c r="BK21" s="72">
        <v>45890.625</v>
      </c>
      <c r="BL21" s="54">
        <v>100.09375</v>
      </c>
      <c r="BM21" s="72">
        <v>45792.625</v>
      </c>
      <c r="BN21" s="54">
        <v>101.453125</v>
      </c>
      <c r="BO21" s="72">
        <v>45792.625</v>
      </c>
      <c r="BP21" s="54">
        <v>95.40625</v>
      </c>
      <c r="BR21" s="128">
        <f t="shared" si="20"/>
        <v>45875.625</v>
      </c>
      <c r="BS21" s="45">
        <f t="shared" si="21"/>
        <v>107.005</v>
      </c>
      <c r="BT21" s="46">
        <f t="shared" si="58"/>
        <v>-143275.00000000271</v>
      </c>
      <c r="BU21" s="46">
        <f t="shared" si="59"/>
        <v>31250</v>
      </c>
      <c r="BV21" s="45">
        <f t="shared" si="60"/>
        <v>52.058999999999997</v>
      </c>
      <c r="BW21" s="46">
        <f t="shared" si="61"/>
        <v>-103781.24999999996</v>
      </c>
      <c r="BX21" s="47">
        <f t="shared" si="62"/>
        <v>31250</v>
      </c>
      <c r="BY21" s="45">
        <f t="shared" si="63"/>
        <v>-39493.75000000275</v>
      </c>
      <c r="CA21" s="126">
        <v>45793.625</v>
      </c>
      <c r="CB21" s="54">
        <v>106.4032</v>
      </c>
      <c r="CC21" s="126">
        <v>45793.625</v>
      </c>
      <c r="CD21" s="54">
        <v>54.555999999999997</v>
      </c>
      <c r="CF21" s="128">
        <v>45875.625</v>
      </c>
      <c r="CG21" s="45">
        <f t="shared" si="22"/>
        <v>276.83699999999999</v>
      </c>
      <c r="CH21" s="46">
        <f t="shared" si="64"/>
        <v>-89276.879999999815</v>
      </c>
      <c r="CI21" s="46">
        <f t="shared" si="65"/>
        <v>26250</v>
      </c>
      <c r="CJ21" s="45">
        <f t="shared" si="66"/>
        <v>55.622999999999998</v>
      </c>
      <c r="CK21" s="46">
        <f t="shared" si="67"/>
        <v>-123237.45000000006</v>
      </c>
      <c r="CL21" s="47">
        <f t="shared" si="68"/>
        <v>23625</v>
      </c>
      <c r="CM21" s="45">
        <f t="shared" si="69"/>
        <v>36585.57000000024</v>
      </c>
      <c r="CO21" s="126">
        <v>45797.625</v>
      </c>
      <c r="CP21" s="54">
        <v>297.32799999999997</v>
      </c>
      <c r="CQ21" s="126">
        <v>45797.625</v>
      </c>
      <c r="CR21" s="54">
        <v>56.813000000000002</v>
      </c>
      <c r="CS21" s="54"/>
      <c r="CT21" s="54"/>
      <c r="CU21" s="54"/>
      <c r="CV21" s="54"/>
      <c r="CW21" s="54"/>
      <c r="CX21" s="54"/>
      <c r="CY21" s="54"/>
      <c r="DF21" s="137">
        <v>45876.625</v>
      </c>
      <c r="DG21" s="56">
        <f t="shared" si="4"/>
        <v>59859.213845091057</v>
      </c>
      <c r="DH21" s="56">
        <f t="shared" si="5"/>
        <v>-109924.38420418699</v>
      </c>
      <c r="DI21" s="56">
        <f t="shared" si="6"/>
        <v>-52362.500000002998</v>
      </c>
      <c r="DJ21" s="56">
        <f t="shared" si="7"/>
        <v>36355.176666666928</v>
      </c>
      <c r="DK21" s="56">
        <f t="shared" si="23"/>
        <v>1192.0159653699957</v>
      </c>
      <c r="DL21" s="56">
        <f t="shared" si="23"/>
        <v>-12948.02610639263</v>
      </c>
      <c r="DM21" s="56">
        <f t="shared" si="23"/>
        <v>-12868.750000000247</v>
      </c>
      <c r="DN21" s="56">
        <f t="shared" si="23"/>
        <v>-230.3933333333116</v>
      </c>
      <c r="DO21" s="56">
        <f t="shared" si="8"/>
        <v>1192.0159653699957</v>
      </c>
      <c r="DP21" s="56">
        <f t="shared" si="3"/>
        <v>-12948.02610639263</v>
      </c>
      <c r="DQ21" s="56">
        <f t="shared" si="3"/>
        <v>-12868.750000000247</v>
      </c>
      <c r="DR21" s="56">
        <f t="shared" si="3"/>
        <v>-230.3933333333116</v>
      </c>
      <c r="DS21" s="56">
        <f>SUM(DO$15:DO21)</f>
        <v>51464.885924554663</v>
      </c>
      <c r="DT21" s="56">
        <f>SUM(DP$15:DP21)</f>
        <v>-102314.7637833706</v>
      </c>
      <c r="DU21" s="56">
        <f>SUM(DQ$15:DQ21)</f>
        <v>-37681.250000000306</v>
      </c>
      <c r="DV21" s="56">
        <f>SUM(DR$15:DR21)</f>
        <v>18841.410000000062</v>
      </c>
      <c r="DZ21" s="130">
        <v>45876.625</v>
      </c>
      <c r="EA21" s="147">
        <f t="shared" si="70"/>
        <v>51464.885924554663</v>
      </c>
      <c r="EB21" s="147">
        <f t="shared" si="24"/>
        <v>-102314.7637833706</v>
      </c>
      <c r="EC21" s="147">
        <f t="shared" si="25"/>
        <v>18841.410000000062</v>
      </c>
      <c r="ED21" s="147">
        <f t="shared" si="26"/>
        <v>-37681.250000000306</v>
      </c>
    </row>
    <row r="22" spans="1:134" x14ac:dyDescent="0.3">
      <c r="A22" s="134">
        <v>45856.625</v>
      </c>
      <c r="B22" s="73">
        <f t="shared" si="27"/>
        <v>94.09</v>
      </c>
      <c r="C22" s="31">
        <f t="shared" si="28"/>
        <v>42492.012779554279</v>
      </c>
      <c r="D22" s="32">
        <f t="shared" si="29"/>
        <v>-24674.999999999996</v>
      </c>
      <c r="E22" s="73">
        <f t="shared" si="30"/>
        <v>101.28</v>
      </c>
      <c r="F22" s="31">
        <f t="shared" si="31"/>
        <v>6552.0000000002483</v>
      </c>
      <c r="G22" s="32">
        <f t="shared" si="32"/>
        <v>-8784.9733999999953</v>
      </c>
      <c r="H22" s="73">
        <f t="shared" si="33"/>
        <v>120.01</v>
      </c>
      <c r="I22" s="31">
        <f t="shared" si="34"/>
        <v>-560022.96964725223</v>
      </c>
      <c r="J22" s="32">
        <f t="shared" si="35"/>
        <v>-42440.999999999993</v>
      </c>
      <c r="K22" s="73">
        <f t="shared" si="36"/>
        <v>99.805999999999997</v>
      </c>
      <c r="L22" s="31">
        <f t="shared" si="37"/>
        <v>15842.399999997338</v>
      </c>
      <c r="M22" s="32">
        <f t="shared" si="38"/>
        <v>-19323.212533333332</v>
      </c>
      <c r="N22" s="79">
        <f t="shared" si="17"/>
        <v>619033.14329347026</v>
      </c>
      <c r="O22" s="79"/>
      <c r="P22" s="79"/>
      <c r="Q22" s="79">
        <f>$G$5*SUM($O$14:O22)-$H$5*SUM($P$14:P22)</f>
        <v>-576200.5368</v>
      </c>
      <c r="R22" s="79">
        <f t="shared" si="18"/>
        <v>42832.606493470259</v>
      </c>
      <c r="S22" s="138"/>
      <c r="U22" s="72">
        <v>45798.625</v>
      </c>
      <c r="V22" s="54">
        <v>92.95</v>
      </c>
      <c r="W22" s="72">
        <v>45797.625</v>
      </c>
      <c r="X22" s="54">
        <v>101.352</v>
      </c>
      <c r="Y22" s="122">
        <v>45799.625</v>
      </c>
      <c r="Z22" s="54">
        <v>120.57</v>
      </c>
      <c r="AA22" s="72">
        <v>45873.625</v>
      </c>
      <c r="AB22" s="54">
        <v>99.884</v>
      </c>
      <c r="AF22" s="128">
        <v>45876.625</v>
      </c>
      <c r="AG22" s="45">
        <f t="shared" si="39"/>
        <v>80.209999999999994</v>
      </c>
      <c r="AH22" s="46">
        <f t="shared" si="40"/>
        <v>-74580.48477315405</v>
      </c>
      <c r="AI22" s="46">
        <f t="shared" si="41"/>
        <v>-29374.999999999996</v>
      </c>
      <c r="AJ22" s="45">
        <f t="shared" si="42"/>
        <v>100.4140625</v>
      </c>
      <c r="AK22" s="46">
        <f t="shared" si="43"/>
        <v>117522.32142857143</v>
      </c>
      <c r="AL22" s="47">
        <f t="shared" si="44"/>
        <v>-1303.1889415922615</v>
      </c>
      <c r="AM22" s="45">
        <f t="shared" si="45"/>
        <v>109.76</v>
      </c>
      <c r="AN22" s="46">
        <f t="shared" si="46"/>
        <v>234045.62707679387</v>
      </c>
      <c r="AO22" s="47">
        <f t="shared" si="47"/>
        <v>-30214.285714285714</v>
      </c>
      <c r="AP22" s="45">
        <f t="shared" si="48"/>
        <v>100.4140625</v>
      </c>
      <c r="AQ22" s="46">
        <f t="shared" si="49"/>
        <v>102455.35714285716</v>
      </c>
      <c r="AR22" s="47">
        <f t="shared" si="50"/>
        <v>-1136.1134362599205</v>
      </c>
      <c r="AS22" s="45">
        <f t="shared" si="51"/>
        <v>103.21875</v>
      </c>
      <c r="AT22" s="46">
        <f t="shared" si="52"/>
        <v>77008.92857142858</v>
      </c>
      <c r="AU22" s="47">
        <f t="shared" si="53"/>
        <v>475.67429315476238</v>
      </c>
      <c r="AV22" s="45">
        <f t="shared" si="54"/>
        <v>96.84375</v>
      </c>
      <c r="AW22" s="46">
        <f t="shared" si="55"/>
        <v>154687.5</v>
      </c>
      <c r="AX22" s="47">
        <f t="shared" si="56"/>
        <v>1282.8190104166679</v>
      </c>
      <c r="AY22" s="79">
        <f t="shared" si="57"/>
        <v>-89231.793041044075</v>
      </c>
      <c r="AZ22" s="79"/>
      <c r="BA22" s="79"/>
      <c r="BB22" s="79">
        <f>$AO$4*SUM($AZ$14:AZ22)-$AP$4*SUM($BA$14:BA22)</f>
        <v>20692.591163142919</v>
      </c>
      <c r="BC22" s="79">
        <f t="shared" si="19"/>
        <v>-109924.38420418699</v>
      </c>
      <c r="BE22" s="72">
        <v>45793.625</v>
      </c>
      <c r="BF22" s="54">
        <v>79.42</v>
      </c>
      <c r="BG22" s="72">
        <v>45891.625</v>
      </c>
      <c r="BH22" s="54">
        <v>100.515625</v>
      </c>
      <c r="BI22" s="72">
        <v>45793.625</v>
      </c>
      <c r="BJ22" s="54">
        <v>107.1</v>
      </c>
      <c r="BK22" s="72">
        <v>45891.625</v>
      </c>
      <c r="BL22" s="54">
        <v>100.515625</v>
      </c>
      <c r="BM22" s="72">
        <v>45793.625</v>
      </c>
      <c r="BN22" s="54">
        <v>101.484375</v>
      </c>
      <c r="BO22" s="72">
        <v>45793.625</v>
      </c>
      <c r="BP22" s="54">
        <v>95.59375</v>
      </c>
      <c r="BR22" s="128">
        <f t="shared" si="20"/>
        <v>45876.625</v>
      </c>
      <c r="BS22" s="45">
        <f t="shared" si="21"/>
        <v>106.95959999999999</v>
      </c>
      <c r="BT22" s="46">
        <f t="shared" si="58"/>
        <v>-154625.00000000288</v>
      </c>
      <c r="BU22" s="46">
        <f t="shared" si="59"/>
        <v>34722.222222222219</v>
      </c>
      <c r="BV22" s="45">
        <f t="shared" si="60"/>
        <v>52.031999999999996</v>
      </c>
      <c r="BW22" s="46">
        <f t="shared" si="61"/>
        <v>-102262.49999999988</v>
      </c>
      <c r="BX22" s="47">
        <f t="shared" si="62"/>
        <v>34722.222222222219</v>
      </c>
      <c r="BY22" s="45">
        <f t="shared" si="63"/>
        <v>-52362.500000002998</v>
      </c>
      <c r="CA22" s="126">
        <v>45796.625</v>
      </c>
      <c r="CB22" s="54">
        <v>106.25920000000001</v>
      </c>
      <c r="CC22" s="126">
        <v>45796.625</v>
      </c>
      <c r="CD22" s="54">
        <v>55.116999999999997</v>
      </c>
      <c r="CF22" s="128">
        <v>45876.625</v>
      </c>
      <c r="CG22" s="45">
        <f t="shared" si="22"/>
        <v>269.959</v>
      </c>
      <c r="CH22" s="46">
        <f t="shared" si="64"/>
        <v>-25724.159999999927</v>
      </c>
      <c r="CI22" s="46">
        <f t="shared" si="65"/>
        <v>29166.666666666664</v>
      </c>
      <c r="CJ22" s="45">
        <f t="shared" si="66"/>
        <v>54.149000000000001</v>
      </c>
      <c r="CK22" s="46">
        <f t="shared" si="67"/>
        <v>-59162.670000000187</v>
      </c>
      <c r="CL22" s="47">
        <f t="shared" si="68"/>
        <v>26250</v>
      </c>
      <c r="CM22" s="45">
        <f t="shared" si="69"/>
        <v>36355.176666666928</v>
      </c>
      <c r="CO22" s="126">
        <v>45798.625</v>
      </c>
      <c r="CP22" s="54">
        <v>299.49900000000002</v>
      </c>
      <c r="CQ22" s="126">
        <v>45798.625</v>
      </c>
      <c r="CR22" s="54">
        <v>57.048999999999999</v>
      </c>
      <c r="CS22" s="54"/>
      <c r="CT22" s="54"/>
      <c r="CU22" s="54"/>
      <c r="CV22" s="54"/>
      <c r="CW22" s="54"/>
      <c r="CX22" s="54"/>
      <c r="CY22" s="54"/>
      <c r="DF22" s="137">
        <v>45877.625</v>
      </c>
      <c r="DG22" s="56">
        <f t="shared" si="4"/>
        <v>78086.998503698735</v>
      </c>
      <c r="DH22" s="56">
        <f t="shared" si="5"/>
        <v>-71927.555398132303</v>
      </c>
      <c r="DI22" s="56">
        <f t="shared" si="6"/>
        <v>-51950.000000001455</v>
      </c>
      <c r="DJ22" s="56">
        <f t="shared" si="7"/>
        <v>38001.763333333685</v>
      </c>
      <c r="DK22" s="56">
        <f t="shared" si="23"/>
        <v>18227.784658607678</v>
      </c>
      <c r="DL22" s="56">
        <f t="shared" si="23"/>
        <v>37996.828806054691</v>
      </c>
      <c r="DM22" s="56">
        <f t="shared" si="23"/>
        <v>412.5000000015425</v>
      </c>
      <c r="DN22" s="56">
        <f t="shared" si="23"/>
        <v>1646.5866666667571</v>
      </c>
      <c r="DO22" s="56">
        <f t="shared" si="8"/>
        <v>18227.784658607678</v>
      </c>
      <c r="DP22" s="56">
        <f t="shared" si="3"/>
        <v>37996.828806054691</v>
      </c>
      <c r="DQ22" s="56">
        <f t="shared" si="3"/>
        <v>412.5000000015425</v>
      </c>
      <c r="DR22" s="56">
        <f t="shared" si="3"/>
        <v>1646.5866666667571</v>
      </c>
      <c r="DS22" s="56">
        <f>SUM(DO$15:DO22)</f>
        <v>69692.67058316234</v>
      </c>
      <c r="DT22" s="56">
        <f>SUM(DP$15:DP22)</f>
        <v>-64317.934977315905</v>
      </c>
      <c r="DU22" s="56">
        <f>SUM(DQ$15:DQ22)</f>
        <v>-37268.749999998763</v>
      </c>
      <c r="DV22" s="56">
        <f>SUM(DR$15:DR22)</f>
        <v>20487.996666666819</v>
      </c>
      <c r="DZ22" s="130">
        <v>45877.625</v>
      </c>
      <c r="EA22" s="147">
        <f t="shared" si="70"/>
        <v>69692.67058316234</v>
      </c>
      <c r="EB22" s="147">
        <f t="shared" si="24"/>
        <v>-64317.934977315905</v>
      </c>
      <c r="EC22" s="147">
        <f t="shared" si="25"/>
        <v>20487.996666666819</v>
      </c>
      <c r="ED22" s="147">
        <f t="shared" si="26"/>
        <v>-37268.749999998763</v>
      </c>
    </row>
    <row r="23" spans="1:134" x14ac:dyDescent="0.3">
      <c r="A23" s="134">
        <v>45859.625</v>
      </c>
      <c r="B23" s="73">
        <f t="shared" si="27"/>
        <v>94.13</v>
      </c>
      <c r="C23" s="31">
        <f t="shared" si="28"/>
        <v>51437.699680510377</v>
      </c>
      <c r="D23" s="32">
        <f t="shared" si="29"/>
        <v>-32077.499999999996</v>
      </c>
      <c r="E23" s="73">
        <f t="shared" si="30"/>
        <v>101.45</v>
      </c>
      <c r="F23" s="31">
        <f t="shared" si="31"/>
        <v>35112.000000000538</v>
      </c>
      <c r="G23" s="32">
        <f t="shared" si="32"/>
        <v>-11420.465419999993</v>
      </c>
      <c r="H23" s="73">
        <f t="shared" si="33"/>
        <v>120.31</v>
      </c>
      <c r="I23" s="31">
        <f t="shared" si="34"/>
        <v>-471130.43478260998</v>
      </c>
      <c r="J23" s="32">
        <f t="shared" si="35"/>
        <v>-55173.299999999988</v>
      </c>
      <c r="K23" s="73">
        <f t="shared" si="36"/>
        <v>100.142</v>
      </c>
      <c r="L23" s="31">
        <f t="shared" si="37"/>
        <v>131560.79999999685</v>
      </c>
      <c r="M23" s="32">
        <f t="shared" si="38"/>
        <v>-25120.176293333334</v>
      </c>
      <c r="N23" s="79">
        <f t="shared" si="17"/>
        <v>628413.02358978335</v>
      </c>
      <c r="O23" s="79"/>
      <c r="P23" s="79"/>
      <c r="Q23" s="79">
        <f>$G$5*SUM($O$14:O23)-$H$5*SUM($P$14:P23)</f>
        <v>-576200.5368</v>
      </c>
      <c r="R23" s="79">
        <f t="shared" si="18"/>
        <v>52212.486789783346</v>
      </c>
      <c r="S23" s="138"/>
      <c r="U23" s="72">
        <v>45799.625</v>
      </c>
      <c r="V23" s="54">
        <v>92.82</v>
      </c>
      <c r="W23" s="72">
        <v>45798.625</v>
      </c>
      <c r="X23" s="54">
        <v>101.282</v>
      </c>
      <c r="Y23" s="122">
        <v>45800.625</v>
      </c>
      <c r="Z23" s="54">
        <v>120.79</v>
      </c>
      <c r="AA23" s="72">
        <v>45874.625</v>
      </c>
      <c r="AB23" s="54">
        <v>99.923000000000002</v>
      </c>
      <c r="AF23" s="128">
        <v>45877.625</v>
      </c>
      <c r="AG23" s="45">
        <f t="shared" si="39"/>
        <v>80.22</v>
      </c>
      <c r="AH23" s="46">
        <f t="shared" si="40"/>
        <v>-71472.964574270663</v>
      </c>
      <c r="AI23" s="46">
        <f t="shared" si="41"/>
        <v>-32312.499999999996</v>
      </c>
      <c r="AJ23" s="45">
        <f t="shared" si="42"/>
        <v>100.203125</v>
      </c>
      <c r="AK23" s="46">
        <f t="shared" si="43"/>
        <v>88141.74107142858</v>
      </c>
      <c r="AL23" s="47">
        <f t="shared" si="44"/>
        <v>-1433.5078357514903</v>
      </c>
      <c r="AM23" s="45">
        <f t="shared" si="45"/>
        <v>109.41</v>
      </c>
      <c r="AN23" s="46">
        <f t="shared" si="46"/>
        <v>151302.22356479857</v>
      </c>
      <c r="AO23" s="47">
        <f t="shared" si="47"/>
        <v>-33235.71428571429</v>
      </c>
      <c r="AP23" s="45">
        <f t="shared" si="48"/>
        <v>100.203125</v>
      </c>
      <c r="AQ23" s="46">
        <f t="shared" si="49"/>
        <v>76841.51785714287</v>
      </c>
      <c r="AR23" s="47">
        <f t="shared" si="50"/>
        <v>-1249.7247798859116</v>
      </c>
      <c r="AS23" s="45">
        <f t="shared" si="51"/>
        <v>102.90625</v>
      </c>
      <c r="AT23" s="46">
        <f t="shared" si="52"/>
        <v>60267.857142857145</v>
      </c>
      <c r="AU23" s="47">
        <f t="shared" si="53"/>
        <v>523.24172247023762</v>
      </c>
      <c r="AV23" s="45">
        <f t="shared" si="54"/>
        <v>96.375</v>
      </c>
      <c r="AW23" s="46">
        <f t="shared" si="55"/>
        <v>119531.25</v>
      </c>
      <c r="AX23" s="47">
        <f t="shared" si="56"/>
        <v>1411.1009114583339</v>
      </c>
      <c r="AY23" s="79">
        <f t="shared" si="57"/>
        <v>-51234.964234989377</v>
      </c>
      <c r="AZ23" s="79"/>
      <c r="BA23" s="79"/>
      <c r="BB23" s="79">
        <f>$AO$4*SUM($AZ$14:AZ23)-$AP$4*SUM($BA$14:BA23)</f>
        <v>20692.591163142919</v>
      </c>
      <c r="BC23" s="79">
        <f t="shared" si="19"/>
        <v>-71927.555398132303</v>
      </c>
      <c r="BE23" s="72">
        <v>45796.625</v>
      </c>
      <c r="BF23" s="54">
        <v>79.38</v>
      </c>
      <c r="BG23" s="72">
        <v>45894.625</v>
      </c>
      <c r="BH23" s="54">
        <v>100.3828125</v>
      </c>
      <c r="BI23" s="72">
        <v>45796.625</v>
      </c>
      <c r="BJ23" s="54">
        <v>107.11</v>
      </c>
      <c r="BK23" s="72">
        <v>45894.625</v>
      </c>
      <c r="BL23" s="54">
        <v>100.3828125</v>
      </c>
      <c r="BM23" s="72">
        <v>45796.625</v>
      </c>
      <c r="BN23" s="54">
        <v>101.359375</v>
      </c>
      <c r="BO23" s="72">
        <v>45796.625</v>
      </c>
      <c r="BP23" s="54">
        <v>95.28125</v>
      </c>
      <c r="BR23" s="128">
        <f t="shared" si="20"/>
        <v>45877.625</v>
      </c>
      <c r="BS23" s="45">
        <f t="shared" si="21"/>
        <v>107.1588</v>
      </c>
      <c r="BT23" s="46">
        <f t="shared" si="58"/>
        <v>-104825.00000000173</v>
      </c>
      <c r="BU23" s="46">
        <f t="shared" si="59"/>
        <v>38194.444444444445</v>
      </c>
      <c r="BV23" s="45">
        <f t="shared" si="60"/>
        <v>51.154000000000003</v>
      </c>
      <c r="BW23" s="46">
        <f t="shared" si="61"/>
        <v>-52875.000000000269</v>
      </c>
      <c r="BX23" s="47">
        <f t="shared" si="62"/>
        <v>38194.444444444445</v>
      </c>
      <c r="BY23" s="45">
        <f t="shared" si="63"/>
        <v>-51950.000000001455</v>
      </c>
      <c r="CA23" s="126">
        <v>45797.625</v>
      </c>
      <c r="CB23" s="54">
        <v>106.3137</v>
      </c>
      <c r="CC23" s="126">
        <v>45797.625</v>
      </c>
      <c r="CD23" s="54">
        <v>55.078000000000003</v>
      </c>
      <c r="CF23" s="128">
        <v>45877.625</v>
      </c>
      <c r="CG23" s="45">
        <f t="shared" si="22"/>
        <v>267.15899999999999</v>
      </c>
      <c r="CH23" s="46">
        <f t="shared" si="64"/>
        <v>147.84000000018071</v>
      </c>
      <c r="CI23" s="46">
        <f t="shared" si="65"/>
        <v>32083.333333333332</v>
      </c>
      <c r="CJ23" s="45">
        <f t="shared" si="66"/>
        <v>53.585000000000001</v>
      </c>
      <c r="CK23" s="46">
        <f t="shared" si="67"/>
        <v>-34645.590000000178</v>
      </c>
      <c r="CL23" s="47">
        <f t="shared" si="68"/>
        <v>28875</v>
      </c>
      <c r="CM23" s="45">
        <f t="shared" si="69"/>
        <v>38001.763333333685</v>
      </c>
      <c r="CO23" s="126">
        <v>45799.625</v>
      </c>
      <c r="CP23" s="54">
        <v>305.50700000000001</v>
      </c>
      <c r="CQ23" s="126">
        <v>45799.625</v>
      </c>
      <c r="CR23" s="54">
        <v>58.765999999999998</v>
      </c>
      <c r="CS23" s="54"/>
      <c r="CT23" s="54"/>
      <c r="CU23" s="54"/>
      <c r="CV23" s="54"/>
      <c r="CW23" s="54"/>
      <c r="CX23" s="54"/>
      <c r="CY23" s="54"/>
      <c r="DF23" s="137">
        <v>45880.625</v>
      </c>
      <c r="DG23" s="56">
        <f t="shared" si="4"/>
        <v>72949.474029434496</v>
      </c>
      <c r="DH23" s="56">
        <f t="shared" si="5"/>
        <v>-103066.89901145884</v>
      </c>
      <c r="DI23" s="56">
        <f t="shared" si="6"/>
        <v>-60881.250000002678</v>
      </c>
      <c r="DJ23" s="56">
        <f t="shared" si="7"/>
        <v>38862.063333333441</v>
      </c>
      <c r="DK23" s="56">
        <f t="shared" si="23"/>
        <v>-5137.524474264239</v>
      </c>
      <c r="DL23" s="56">
        <f t="shared" si="23"/>
        <v>-31139.343613326535</v>
      </c>
      <c r="DM23" s="56">
        <f t="shared" si="23"/>
        <v>-8931.2500000012224</v>
      </c>
      <c r="DN23" s="56">
        <f t="shared" si="23"/>
        <v>860.29999999975553</v>
      </c>
      <c r="DO23" s="56">
        <f t="shared" si="8"/>
        <v>-5137.524474264239</v>
      </c>
      <c r="DP23" s="56">
        <f t="shared" si="3"/>
        <v>-31139.343613326535</v>
      </c>
      <c r="DQ23" s="56">
        <f t="shared" si="3"/>
        <v>-8931.2500000012224</v>
      </c>
      <c r="DR23" s="56">
        <f t="shared" si="3"/>
        <v>860.29999999975553</v>
      </c>
      <c r="DS23" s="56">
        <f>SUM(DO$15:DO23)</f>
        <v>64555.146108898101</v>
      </c>
      <c r="DT23" s="56">
        <f>SUM(DP$15:DP23)</f>
        <v>-95457.27859064244</v>
      </c>
      <c r="DU23" s="56">
        <f>SUM(DQ$15:DQ23)</f>
        <v>-46199.999999999985</v>
      </c>
      <c r="DV23" s="56">
        <f>SUM(DR$15:DR23)</f>
        <v>21348.296666666574</v>
      </c>
      <c r="DZ23" s="130">
        <v>45880.625</v>
      </c>
      <c r="EA23" s="147">
        <f t="shared" si="70"/>
        <v>64555.146108898101</v>
      </c>
      <c r="EB23" s="147">
        <f t="shared" si="24"/>
        <v>-95457.27859064244</v>
      </c>
      <c r="EC23" s="147">
        <f t="shared" si="25"/>
        <v>21348.296666666574</v>
      </c>
      <c r="ED23" s="147">
        <f t="shared" si="26"/>
        <v>-46199.999999999985</v>
      </c>
    </row>
    <row r="24" spans="1:134" x14ac:dyDescent="0.3">
      <c r="A24" s="134">
        <v>45860.625</v>
      </c>
      <c r="B24" s="73">
        <f t="shared" si="27"/>
        <v>94.13</v>
      </c>
      <c r="C24" s="31">
        <f t="shared" si="28"/>
        <v>51437.699680510377</v>
      </c>
      <c r="D24" s="32">
        <f t="shared" si="29"/>
        <v>-34545</v>
      </c>
      <c r="E24" s="73">
        <f t="shared" si="30"/>
        <v>101.5</v>
      </c>
      <c r="F24" s="31">
        <f t="shared" si="31"/>
        <v>43512.000000000058</v>
      </c>
      <c r="G24" s="32">
        <f t="shared" si="32"/>
        <v>-12298.962760000002</v>
      </c>
      <c r="H24" s="73">
        <f t="shared" si="33"/>
        <v>120.48</v>
      </c>
      <c r="I24" s="31">
        <f t="shared" si="34"/>
        <v>-420757.99835931201</v>
      </c>
      <c r="J24" s="32">
        <f t="shared" si="35"/>
        <v>-59417.4</v>
      </c>
      <c r="K24" s="73">
        <f t="shared" si="36"/>
        <v>100.247</v>
      </c>
      <c r="L24" s="31">
        <f t="shared" si="37"/>
        <v>167722.79999999818</v>
      </c>
      <c r="M24" s="32">
        <f t="shared" si="38"/>
        <v>-27052.497546666662</v>
      </c>
      <c r="N24" s="79">
        <f t="shared" si="17"/>
        <v>606525.36325315386</v>
      </c>
      <c r="O24" s="79"/>
      <c r="P24" s="79"/>
      <c r="Q24" s="79">
        <f>$G$5*SUM($O$14:O24)-$H$5*SUM($P$14:P24)</f>
        <v>-576200.5368</v>
      </c>
      <c r="R24" s="79">
        <f t="shared" si="18"/>
        <v>30324.826453153859</v>
      </c>
      <c r="S24" s="138"/>
      <c r="U24" s="72">
        <v>45800.625</v>
      </c>
      <c r="V24" s="54">
        <v>92.47</v>
      </c>
      <c r="W24" s="72">
        <v>45799.625</v>
      </c>
      <c r="X24" s="54">
        <v>101.363</v>
      </c>
      <c r="Y24" s="122">
        <v>45804.625</v>
      </c>
      <c r="Z24" s="54">
        <v>121.1</v>
      </c>
      <c r="AA24" s="72">
        <v>45875.625</v>
      </c>
      <c r="AB24" s="54">
        <v>99.869</v>
      </c>
      <c r="AF24" s="128">
        <v>45880.625</v>
      </c>
      <c r="AG24" s="45">
        <f t="shared" si="39"/>
        <v>80.22</v>
      </c>
      <c r="AH24" s="46">
        <f t="shared" si="40"/>
        <v>-71472.964574270663</v>
      </c>
      <c r="AI24" s="46">
        <f t="shared" si="41"/>
        <v>-41125</v>
      </c>
      <c r="AJ24" s="45">
        <f t="shared" si="42"/>
        <v>100.2109375</v>
      </c>
      <c r="AK24" s="46">
        <f t="shared" si="43"/>
        <v>89229.91071428571</v>
      </c>
      <c r="AL24" s="47">
        <f t="shared" si="44"/>
        <v>-1824.4645182291679</v>
      </c>
      <c r="AM24" s="45">
        <f t="shared" si="45"/>
        <v>109.58499999999999</v>
      </c>
      <c r="AN24" s="46">
        <f t="shared" si="46"/>
        <v>192673.92532079623</v>
      </c>
      <c r="AO24" s="47">
        <f t="shared" si="47"/>
        <v>-42300</v>
      </c>
      <c r="AP24" s="45">
        <f t="shared" si="48"/>
        <v>100.2109375</v>
      </c>
      <c r="AQ24" s="46">
        <f t="shared" si="49"/>
        <v>77790.178571428565</v>
      </c>
      <c r="AR24" s="47">
        <f t="shared" si="50"/>
        <v>-1590.5588107638869</v>
      </c>
      <c r="AS24" s="45">
        <f t="shared" si="51"/>
        <v>102.953125</v>
      </c>
      <c r="AT24" s="46">
        <f t="shared" si="52"/>
        <v>62779.017857142855</v>
      </c>
      <c r="AU24" s="47">
        <f t="shared" si="53"/>
        <v>665.94401041666788</v>
      </c>
      <c r="AV24" s="45">
        <f t="shared" si="54"/>
        <v>96.46875</v>
      </c>
      <c r="AW24" s="46">
        <f t="shared" si="55"/>
        <v>126562.50000000001</v>
      </c>
      <c r="AX24" s="47">
        <f t="shared" si="56"/>
        <v>1795.9466145833339</v>
      </c>
      <c r="AY24" s="79">
        <f t="shared" si="57"/>
        <v>-82374.307848315919</v>
      </c>
      <c r="AZ24" s="79"/>
      <c r="BA24" s="79"/>
      <c r="BB24" s="79">
        <f>$AO$4*SUM($AZ$14:AZ24)-$AP$4*SUM($BA$14:BA24)</f>
        <v>20692.591163142919</v>
      </c>
      <c r="BC24" s="79">
        <f t="shared" si="19"/>
        <v>-103066.89901145884</v>
      </c>
      <c r="BE24" s="72">
        <v>45797.625</v>
      </c>
      <c r="BF24" s="54">
        <v>79.34</v>
      </c>
      <c r="BG24" s="72">
        <v>45895.625</v>
      </c>
      <c r="BH24" s="54">
        <v>100.6015625</v>
      </c>
      <c r="BI24" s="72">
        <v>45797.625</v>
      </c>
      <c r="BJ24" s="54">
        <v>106.86</v>
      </c>
      <c r="BK24" s="72">
        <v>45895.625</v>
      </c>
      <c r="BL24" s="54">
        <v>100.6015625</v>
      </c>
      <c r="BM24" s="72">
        <v>45797.625</v>
      </c>
      <c r="BN24" s="54">
        <v>101.15625</v>
      </c>
      <c r="BO24" s="72">
        <v>45797.625</v>
      </c>
      <c r="BP24" s="54">
        <v>94.578125</v>
      </c>
      <c r="BR24" s="128">
        <f t="shared" si="20"/>
        <v>45880.625</v>
      </c>
      <c r="BS24" s="45">
        <f t="shared" si="21"/>
        <v>107.04949999999999</v>
      </c>
      <c r="BT24" s="46">
        <f t="shared" si="58"/>
        <v>-132150.00000000288</v>
      </c>
      <c r="BU24" s="46">
        <f t="shared" si="59"/>
        <v>48611.111111111117</v>
      </c>
      <c r="BV24" s="45">
        <f t="shared" si="60"/>
        <v>51.481000000000002</v>
      </c>
      <c r="BW24" s="46">
        <f t="shared" si="61"/>
        <v>-71268.750000000189</v>
      </c>
      <c r="BX24" s="47">
        <f t="shared" si="62"/>
        <v>48611.111111111109</v>
      </c>
      <c r="BY24" s="45">
        <f t="shared" si="63"/>
        <v>-60881.250000002678</v>
      </c>
      <c r="CA24" s="126">
        <v>45798.625</v>
      </c>
      <c r="CB24" s="54">
        <v>105.5667</v>
      </c>
      <c r="CC24" s="126">
        <v>45798.625</v>
      </c>
      <c r="CD24" s="54">
        <v>58.378999999999998</v>
      </c>
      <c r="CF24" s="128">
        <v>45880.625</v>
      </c>
      <c r="CG24" s="45">
        <f t="shared" si="22"/>
        <v>267.584</v>
      </c>
      <c r="CH24" s="46">
        <f t="shared" si="64"/>
        <v>-3779.1599999999248</v>
      </c>
      <c r="CI24" s="46">
        <f t="shared" si="65"/>
        <v>40833.333333333336</v>
      </c>
      <c r="CJ24" s="45">
        <f t="shared" si="66"/>
        <v>53.674999999999997</v>
      </c>
      <c r="CK24" s="46">
        <f t="shared" si="67"/>
        <v>-38557.890000000021</v>
      </c>
      <c r="CL24" s="47">
        <f t="shared" si="68"/>
        <v>36750</v>
      </c>
      <c r="CM24" s="45">
        <f t="shared" si="69"/>
        <v>38862.063333333441</v>
      </c>
      <c r="CO24" s="126">
        <v>45800.625</v>
      </c>
      <c r="CP24" s="54">
        <v>312.83199999999999</v>
      </c>
      <c r="CQ24" s="126">
        <v>45800.625</v>
      </c>
      <c r="CR24" s="54">
        <v>60.347000000000001</v>
      </c>
      <c r="CS24" s="54"/>
      <c r="CT24" s="54"/>
      <c r="CU24" s="54"/>
      <c r="CV24" s="54"/>
      <c r="CW24" s="54"/>
      <c r="CX24" s="54"/>
      <c r="CY24" s="54"/>
      <c r="DF24" s="137">
        <v>45881.625</v>
      </c>
      <c r="DG24" s="56">
        <f t="shared" si="4"/>
        <v>84862.259589112713</v>
      </c>
      <c r="DH24" s="56">
        <f t="shared" si="5"/>
        <v>-113231.38450396147</v>
      </c>
      <c r="DI24" s="56">
        <f t="shared" si="6"/>
        <v>-65593.750000002066</v>
      </c>
      <c r="DJ24" s="56">
        <f t="shared" si="7"/>
        <v>27264.580000000293</v>
      </c>
      <c r="DK24" s="56">
        <f t="shared" si="23"/>
        <v>11912.785559678217</v>
      </c>
      <c r="DL24" s="56">
        <f t="shared" si="23"/>
        <v>-10164.48549250263</v>
      </c>
      <c r="DM24" s="56">
        <f t="shared" si="23"/>
        <v>-4712.4999999993888</v>
      </c>
      <c r="DN24" s="56">
        <f t="shared" si="23"/>
        <v>-11597.483333333148</v>
      </c>
      <c r="DO24" s="56">
        <f t="shared" si="8"/>
        <v>11912.785559678217</v>
      </c>
      <c r="DP24" s="56">
        <f t="shared" si="3"/>
        <v>-10164.48549250263</v>
      </c>
      <c r="DQ24" s="56">
        <f t="shared" si="3"/>
        <v>-4712.4999999993888</v>
      </c>
      <c r="DR24" s="56">
        <f t="shared" si="3"/>
        <v>-11597.483333333148</v>
      </c>
      <c r="DS24" s="56">
        <f>SUM(DO$15:DO24)</f>
        <v>76467.931668576319</v>
      </c>
      <c r="DT24" s="56">
        <f>SUM(DP$15:DP24)</f>
        <v>-105621.76408314507</v>
      </c>
      <c r="DU24" s="56">
        <f>SUM(DQ$15:DQ24)</f>
        <v>-50912.499999999374</v>
      </c>
      <c r="DV24" s="56">
        <f>SUM(DR$15:DR24)</f>
        <v>9750.8133333334263</v>
      </c>
      <c r="DZ24" s="130">
        <v>45881.625</v>
      </c>
      <c r="EA24" s="147">
        <f t="shared" si="70"/>
        <v>76467.931668576319</v>
      </c>
      <c r="EB24" s="147">
        <f t="shared" si="24"/>
        <v>-105621.76408314507</v>
      </c>
      <c r="EC24" s="147">
        <f t="shared" si="25"/>
        <v>9750.8133333334263</v>
      </c>
      <c r="ED24" s="147">
        <f t="shared" si="26"/>
        <v>-50912.499999999374</v>
      </c>
    </row>
    <row r="25" spans="1:134" x14ac:dyDescent="0.3">
      <c r="A25" s="134">
        <v>45861.625</v>
      </c>
      <c r="B25" s="73">
        <f t="shared" si="27"/>
        <v>94.21</v>
      </c>
      <c r="C25" s="31">
        <f t="shared" si="28"/>
        <v>69329.073482427222</v>
      </c>
      <c r="D25" s="32">
        <f t="shared" si="29"/>
        <v>-37012.499999999993</v>
      </c>
      <c r="E25" s="73">
        <f t="shared" si="30"/>
        <v>101.505</v>
      </c>
      <c r="F25" s="31">
        <f t="shared" si="31"/>
        <v>44351.999999999294</v>
      </c>
      <c r="G25" s="32">
        <f t="shared" si="32"/>
        <v>-13177.460099999997</v>
      </c>
      <c r="H25" s="73">
        <f t="shared" si="33"/>
        <v>120.5</v>
      </c>
      <c r="I25" s="31">
        <f t="shared" si="34"/>
        <v>-414831.82936833723</v>
      </c>
      <c r="J25" s="32">
        <f t="shared" si="35"/>
        <v>-63661.499999999993</v>
      </c>
      <c r="K25" s="73">
        <f t="shared" si="36"/>
        <v>100.22499999999999</v>
      </c>
      <c r="L25" s="31">
        <f t="shared" si="37"/>
        <v>160145.99999999627</v>
      </c>
      <c r="M25" s="32">
        <f t="shared" si="38"/>
        <v>-28984.818800000005</v>
      </c>
      <c r="N25" s="79">
        <f t="shared" si="17"/>
        <v>610796.54415076145</v>
      </c>
      <c r="O25" s="79"/>
      <c r="P25" s="79"/>
      <c r="Q25" s="79">
        <f>$G$5*SUM($O$14:O25)-$H$5*SUM($P$14:P25)</f>
        <v>-576200.5368</v>
      </c>
      <c r="R25" s="79">
        <f t="shared" si="18"/>
        <v>34596.007350761443</v>
      </c>
      <c r="S25" s="138"/>
      <c r="U25" s="72">
        <v>45804.625</v>
      </c>
      <c r="V25" s="54">
        <v>93.11</v>
      </c>
      <c r="W25" s="72">
        <v>45800.625</v>
      </c>
      <c r="X25" s="54">
        <v>101.581</v>
      </c>
      <c r="Y25" s="122">
        <v>45805.625</v>
      </c>
      <c r="Z25" s="54">
        <v>120.98</v>
      </c>
      <c r="AA25" s="72">
        <v>45876.625</v>
      </c>
      <c r="AB25" s="54">
        <v>99.838999999999999</v>
      </c>
      <c r="AF25" s="128">
        <v>45881.625</v>
      </c>
      <c r="AG25" s="45">
        <f t="shared" si="39"/>
        <v>80.400000000000006</v>
      </c>
      <c r="AH25" s="46">
        <f t="shared" si="40"/>
        <v>-15537.600994405821</v>
      </c>
      <c r="AI25" s="46">
        <f t="shared" si="41"/>
        <v>-44062.499999999993</v>
      </c>
      <c r="AJ25" s="45">
        <f t="shared" si="42"/>
        <v>100.2421875</v>
      </c>
      <c r="AK25" s="46">
        <f t="shared" si="43"/>
        <v>93582.58928571429</v>
      </c>
      <c r="AL25" s="47">
        <f t="shared" si="44"/>
        <v>-1954.7834123883913</v>
      </c>
      <c r="AM25" s="45">
        <f t="shared" si="45"/>
        <v>109.68</v>
      </c>
      <c r="AN25" s="46">
        <f t="shared" si="46"/>
        <v>215132.84913119691</v>
      </c>
      <c r="AO25" s="47">
        <f t="shared" si="47"/>
        <v>-45321.428571428565</v>
      </c>
      <c r="AP25" s="45">
        <f t="shared" si="48"/>
        <v>100.2421875</v>
      </c>
      <c r="AQ25" s="46">
        <f t="shared" si="49"/>
        <v>81584.821428571435</v>
      </c>
      <c r="AR25" s="47">
        <f t="shared" si="50"/>
        <v>-1704.170154389878</v>
      </c>
      <c r="AS25" s="45">
        <f t="shared" si="51"/>
        <v>102.84375</v>
      </c>
      <c r="AT25" s="46">
        <f t="shared" si="52"/>
        <v>56919.642857142862</v>
      </c>
      <c r="AU25" s="47">
        <f t="shared" si="53"/>
        <v>713.51143973214312</v>
      </c>
      <c r="AV25" s="45">
        <f>VLOOKUP($AF25+$J$1,BO:BP,2)</f>
        <v>95.96875</v>
      </c>
      <c r="AW25" s="46">
        <f t="shared" si="55"/>
        <v>89062.5</v>
      </c>
      <c r="AX25" s="47">
        <f t="shared" si="56"/>
        <v>1924.228515625</v>
      </c>
      <c r="AY25" s="79">
        <f t="shared" si="57"/>
        <v>-92538.793340818549</v>
      </c>
      <c r="AZ25" s="79"/>
      <c r="BA25" s="79"/>
      <c r="BB25" s="79">
        <f>$AO$4*SUM($AZ$14:AZ25)-$AP$4*SUM($BA$14:BA25)</f>
        <v>20692.591163142919</v>
      </c>
      <c r="BC25" s="79">
        <f t="shared" si="19"/>
        <v>-113231.38450396147</v>
      </c>
      <c r="BE25" s="72">
        <v>45798.625</v>
      </c>
      <c r="BF25" s="54">
        <v>78.81</v>
      </c>
      <c r="BG25" s="72">
        <v>45896.625</v>
      </c>
      <c r="BH25" s="54">
        <v>100.765625</v>
      </c>
      <c r="BI25" s="72">
        <v>45798.625</v>
      </c>
      <c r="BJ25" s="54">
        <v>105.66</v>
      </c>
      <c r="BK25" s="72">
        <v>45896.625</v>
      </c>
      <c r="BL25" s="54">
        <v>100.765625</v>
      </c>
      <c r="BM25" s="72">
        <v>45798.625</v>
      </c>
      <c r="BN25" s="54">
        <v>100.375</v>
      </c>
      <c r="BO25" s="72">
        <v>45798.625</v>
      </c>
      <c r="BP25" s="54">
        <v>92.96875</v>
      </c>
      <c r="BR25" s="128">
        <f t="shared" si="20"/>
        <v>45881.625</v>
      </c>
      <c r="BS25" s="45">
        <f t="shared" si="21"/>
        <v>107.3578</v>
      </c>
      <c r="BT25" s="46">
        <f t="shared" si="58"/>
        <v>-55075.000000002205</v>
      </c>
      <c r="BU25" s="46">
        <f t="shared" si="59"/>
        <v>52083.333333333336</v>
      </c>
      <c r="BV25" s="45">
        <f t="shared" si="60"/>
        <v>50.027000000000001</v>
      </c>
      <c r="BW25" s="46">
        <f t="shared" si="61"/>
        <v>10518.749999999865</v>
      </c>
      <c r="BX25" s="47">
        <f t="shared" si="62"/>
        <v>52083.333333333328</v>
      </c>
      <c r="BY25" s="45">
        <f t="shared" si="63"/>
        <v>-65593.750000002066</v>
      </c>
      <c r="CA25" s="126">
        <v>45799.625</v>
      </c>
      <c r="CB25" s="54">
        <v>105.6853</v>
      </c>
      <c r="CC25" s="126">
        <v>45799.625</v>
      </c>
      <c r="CD25" s="54">
        <v>57.960999999999999</v>
      </c>
      <c r="CF25" s="128">
        <v>45881.625</v>
      </c>
      <c r="CG25" s="45">
        <f t="shared" si="22"/>
        <v>265.14</v>
      </c>
      <c r="CH25" s="46">
        <f t="shared" si="64"/>
        <v>18803.400000000234</v>
      </c>
      <c r="CI25" s="46">
        <f t="shared" si="65"/>
        <v>43750</v>
      </c>
      <c r="CJ25" s="45">
        <f t="shared" si="66"/>
        <v>52.881999999999998</v>
      </c>
      <c r="CK25" s="46">
        <f t="shared" si="67"/>
        <v>-4086.1800000000517</v>
      </c>
      <c r="CL25" s="47">
        <f t="shared" si="68"/>
        <v>39375</v>
      </c>
      <c r="CM25" s="45">
        <f t="shared" si="69"/>
        <v>27264.580000000293</v>
      </c>
      <c r="CO25" s="126">
        <v>45804.625</v>
      </c>
      <c r="CP25" s="54">
        <v>300.76</v>
      </c>
      <c r="CQ25" s="126">
        <v>45804.625</v>
      </c>
      <c r="CR25" s="54">
        <v>57.875</v>
      </c>
      <c r="CS25" s="54"/>
      <c r="CT25" s="54"/>
      <c r="CU25" s="54"/>
      <c r="CV25" s="54"/>
      <c r="CW25" s="54"/>
      <c r="CX25" s="54"/>
      <c r="CY25" s="54"/>
      <c r="DF25" s="137">
        <v>45882.625</v>
      </c>
      <c r="DG25" s="56">
        <f t="shared" si="4"/>
        <v>93392.391770840855</v>
      </c>
      <c r="DH25" s="56">
        <f t="shared" si="5"/>
        <v>-106075.77569501661</v>
      </c>
      <c r="DI25" s="56">
        <f t="shared" si="6"/>
        <v>-48462.500000000604</v>
      </c>
      <c r="DJ25" s="56">
        <f t="shared" si="7"/>
        <v>20138.416666667137</v>
      </c>
      <c r="DK25" s="56">
        <f t="shared" si="23"/>
        <v>8530.1321817281423</v>
      </c>
      <c r="DL25" s="56">
        <f t="shared" si="23"/>
        <v>7155.6088089448604</v>
      </c>
      <c r="DM25" s="56">
        <f t="shared" si="23"/>
        <v>17131.250000001462</v>
      </c>
      <c r="DN25" s="56">
        <f t="shared" si="23"/>
        <v>-7126.1633333331556</v>
      </c>
      <c r="DO25" s="56">
        <f t="shared" si="8"/>
        <v>8530.1321817281423</v>
      </c>
      <c r="DP25" s="56">
        <f t="shared" si="3"/>
        <v>7155.6088089448604</v>
      </c>
      <c r="DQ25" s="56">
        <f t="shared" si="3"/>
        <v>17131.250000001462</v>
      </c>
      <c r="DR25" s="56">
        <f t="shared" si="3"/>
        <v>-7126.1633333331556</v>
      </c>
      <c r="DS25" s="56">
        <f>SUM(DO$15:DO25)</f>
        <v>84998.063850304461</v>
      </c>
      <c r="DT25" s="56">
        <f>SUM(DP$15:DP25)</f>
        <v>-98466.15527420021</v>
      </c>
      <c r="DU25" s="56">
        <f>SUM(DQ$15:DQ25)</f>
        <v>-33781.249999997912</v>
      </c>
      <c r="DV25" s="56">
        <f>SUM(DR$15:DR25)</f>
        <v>2624.6500000002707</v>
      </c>
      <c r="DZ25" s="130">
        <v>45882.625</v>
      </c>
      <c r="EA25" s="147">
        <f t="shared" si="70"/>
        <v>84998.063850304461</v>
      </c>
      <c r="EB25" s="147">
        <f t="shared" si="24"/>
        <v>-98466.15527420021</v>
      </c>
      <c r="EC25" s="147">
        <f t="shared" si="25"/>
        <v>2624.6500000002707</v>
      </c>
      <c r="ED25" s="147">
        <f t="shared" si="26"/>
        <v>-33781.249999997912</v>
      </c>
    </row>
    <row r="26" spans="1:134" x14ac:dyDescent="0.3">
      <c r="A26" s="134">
        <v>45862.625</v>
      </c>
      <c r="B26" s="73">
        <f t="shared" si="27"/>
        <v>94.34</v>
      </c>
      <c r="C26" s="31">
        <f t="shared" si="28"/>
        <v>98402.555910540366</v>
      </c>
      <c r="D26" s="32">
        <f t="shared" si="29"/>
        <v>-39480</v>
      </c>
      <c r="E26" s="73">
        <f t="shared" si="30"/>
        <v>101.15300000000001</v>
      </c>
      <c r="F26" s="31">
        <f t="shared" si="31"/>
        <v>-14783.999999998969</v>
      </c>
      <c r="G26" s="32">
        <f t="shared" si="32"/>
        <v>-14055.957439999998</v>
      </c>
      <c r="H26" s="73">
        <f t="shared" si="33"/>
        <v>120.16</v>
      </c>
      <c r="I26" s="31">
        <f t="shared" si="34"/>
        <v>-515576.70221493312</v>
      </c>
      <c r="J26" s="32">
        <f t="shared" si="35"/>
        <v>-67905.599999999991</v>
      </c>
      <c r="K26" s="73">
        <f t="shared" si="36"/>
        <v>99.679000000000002</v>
      </c>
      <c r="L26" s="31">
        <f t="shared" si="37"/>
        <v>-27896.40000000106</v>
      </c>
      <c r="M26" s="32">
        <f t="shared" si="38"/>
        <v>-30917.140053333336</v>
      </c>
      <c r="N26" s="79">
        <f t="shared" si="17"/>
        <v>612431.27551213803</v>
      </c>
      <c r="O26" s="79"/>
      <c r="P26" s="79"/>
      <c r="Q26" s="79">
        <f>$G$5*SUM($O$14:O26)-$H$5*SUM($P$14:P26)</f>
        <v>-576200.5368</v>
      </c>
      <c r="R26" s="79">
        <f t="shared" si="18"/>
        <v>36230.738712138031</v>
      </c>
      <c r="S26" s="138"/>
      <c r="U26" s="72">
        <v>45805.625</v>
      </c>
      <c r="V26" s="54">
        <v>93.01</v>
      </c>
      <c r="W26" s="72">
        <v>45803.625</v>
      </c>
      <c r="X26" s="54">
        <v>101.53100000000001</v>
      </c>
      <c r="Y26" s="122">
        <v>45806.625</v>
      </c>
      <c r="Z26" s="54">
        <v>121.25</v>
      </c>
      <c r="AA26" s="72">
        <v>45877.625</v>
      </c>
      <c r="AB26" s="54">
        <v>99.611000000000004</v>
      </c>
      <c r="AF26" s="128">
        <v>45882.625</v>
      </c>
      <c r="AG26" s="45">
        <f t="shared" si="39"/>
        <v>80.61</v>
      </c>
      <c r="AH26" s="46">
        <f t="shared" si="40"/>
        <v>49720.323182100845</v>
      </c>
      <c r="AI26" s="46">
        <f t="shared" si="41"/>
        <v>-47000</v>
      </c>
      <c r="AJ26" s="45">
        <f t="shared" si="42"/>
        <v>100.4921875</v>
      </c>
      <c r="AK26" s="46">
        <f t="shared" si="43"/>
        <v>128404.01785714286</v>
      </c>
      <c r="AL26" s="47">
        <f t="shared" si="44"/>
        <v>-2085.1023065476184</v>
      </c>
      <c r="AM26" s="45">
        <f t="shared" si="45"/>
        <v>110.26</v>
      </c>
      <c r="AN26" s="46">
        <f t="shared" si="46"/>
        <v>352250.48923679203</v>
      </c>
      <c r="AO26" s="47">
        <f t="shared" si="47"/>
        <v>-48342.857142857145</v>
      </c>
      <c r="AP26" s="45">
        <f t="shared" si="48"/>
        <v>100.4921875</v>
      </c>
      <c r="AQ26" s="46">
        <f t="shared" si="49"/>
        <v>111941.96428571429</v>
      </c>
      <c r="AR26" s="47">
        <f t="shared" si="50"/>
        <v>-1817.7814980158691</v>
      </c>
      <c r="AS26" s="45">
        <f t="shared" si="51"/>
        <v>103.28125</v>
      </c>
      <c r="AT26" s="46">
        <f t="shared" si="52"/>
        <v>80357.142857142855</v>
      </c>
      <c r="AU26" s="47">
        <f t="shared" si="53"/>
        <v>761.07886904762017</v>
      </c>
      <c r="AV26" s="45">
        <f>VLOOKUP($AF26+$J$1,BO:BP,2)</f>
        <v>96.765625</v>
      </c>
      <c r="AW26" s="46">
        <f t="shared" si="55"/>
        <v>148828.125</v>
      </c>
      <c r="AX26" s="47">
        <f t="shared" si="56"/>
        <v>2052.5104166666679</v>
      </c>
      <c r="AY26" s="79">
        <f t="shared" si="57"/>
        <v>-85383.184531873689</v>
      </c>
      <c r="AZ26" s="79"/>
      <c r="BA26" s="79"/>
      <c r="BB26" s="79">
        <f>$AO$4*SUM($AZ$14:AZ26)-$AP$4*SUM($BA$14:BA26)</f>
        <v>20692.591163142919</v>
      </c>
      <c r="BC26" s="79">
        <f t="shared" si="19"/>
        <v>-106075.77569501661</v>
      </c>
      <c r="BE26" s="72">
        <v>45799.625</v>
      </c>
      <c r="BF26" s="54">
        <v>78.97</v>
      </c>
      <c r="BG26" s="72">
        <v>45897.625</v>
      </c>
      <c r="BH26" s="54">
        <v>100.8203125</v>
      </c>
      <c r="BI26" s="72">
        <v>45799.625</v>
      </c>
      <c r="BJ26" s="54">
        <v>106.2</v>
      </c>
      <c r="BK26" s="72">
        <v>45897.625</v>
      </c>
      <c r="BL26" s="54">
        <v>100.8203125</v>
      </c>
      <c r="BM26" s="72">
        <v>45799.625</v>
      </c>
      <c r="BN26" s="54">
        <v>100.75</v>
      </c>
      <c r="BO26" s="72">
        <v>45799.625</v>
      </c>
      <c r="BP26" s="54">
        <v>93.40625</v>
      </c>
      <c r="BR26" s="128">
        <f t="shared" si="20"/>
        <v>45882.625</v>
      </c>
      <c r="BS26" s="45">
        <f t="shared" si="21"/>
        <v>107.5305</v>
      </c>
      <c r="BT26" s="46">
        <f t="shared" si="58"/>
        <v>-11900.000000000688</v>
      </c>
      <c r="BU26" s="46">
        <f t="shared" si="59"/>
        <v>55555.555555555562</v>
      </c>
      <c r="BV26" s="45">
        <f t="shared" si="60"/>
        <v>49.564</v>
      </c>
      <c r="BW26" s="46">
        <f t="shared" si="61"/>
        <v>36562.49999999992</v>
      </c>
      <c r="BX26" s="47">
        <f t="shared" si="62"/>
        <v>55555.555555555562</v>
      </c>
      <c r="BY26" s="45">
        <f t="shared" si="63"/>
        <v>-48462.500000000604</v>
      </c>
      <c r="CA26" s="126">
        <v>45804.625</v>
      </c>
      <c r="CB26" s="54">
        <v>106.0853</v>
      </c>
      <c r="CC26" s="126">
        <v>45804.625</v>
      </c>
      <c r="CD26" s="54">
        <v>55.93</v>
      </c>
      <c r="CF26" s="128">
        <v>45882.625</v>
      </c>
      <c r="CG26" s="45">
        <f t="shared" si="22"/>
        <v>260.87599999999998</v>
      </c>
      <c r="CH26" s="46">
        <f t="shared" si="64"/>
        <v>58202.760000000329</v>
      </c>
      <c r="CI26" s="46">
        <f t="shared" si="65"/>
        <v>46666.666666666672</v>
      </c>
      <c r="CJ26" s="45">
        <f t="shared" si="66"/>
        <v>51.805</v>
      </c>
      <c r="CK26" s="46">
        <f t="shared" si="67"/>
        <v>42731.009999999864</v>
      </c>
      <c r="CL26" s="47">
        <f t="shared" si="68"/>
        <v>42000</v>
      </c>
      <c r="CM26" s="45">
        <f t="shared" si="69"/>
        <v>20138.416666667137</v>
      </c>
      <c r="CO26" s="126">
        <v>45805.625</v>
      </c>
      <c r="CP26" s="54">
        <v>299.834</v>
      </c>
      <c r="CQ26" s="126">
        <v>45805.625</v>
      </c>
      <c r="CR26" s="54">
        <v>57.68</v>
      </c>
      <c r="CS26" s="54"/>
      <c r="CT26" s="54"/>
      <c r="CU26" s="54"/>
      <c r="CV26" s="54"/>
      <c r="CW26" s="54"/>
      <c r="CX26" s="54"/>
      <c r="CY26" s="54"/>
      <c r="DF26" s="137">
        <v>45883.625</v>
      </c>
      <c r="DG26" s="56">
        <f t="shared" si="4"/>
        <v>92854.605181872728</v>
      </c>
      <c r="DH26" s="56">
        <f t="shared" si="5"/>
        <v>-156165.71560617874</v>
      </c>
      <c r="DI26" s="56">
        <f t="shared" si="6"/>
        <v>-58337.500000002605</v>
      </c>
      <c r="DJ26" s="56">
        <f t="shared" si="7"/>
        <v>23134.883333333826</v>
      </c>
      <c r="DK26" s="56">
        <f t="shared" si="23"/>
        <v>-537.78658896812703</v>
      </c>
      <c r="DL26" s="56">
        <f t="shared" si="23"/>
        <v>-50089.939911162131</v>
      </c>
      <c r="DM26" s="56">
        <f t="shared" si="23"/>
        <v>-9875.0000000020009</v>
      </c>
      <c r="DN26" s="56">
        <f t="shared" si="23"/>
        <v>2996.466666666689</v>
      </c>
      <c r="DO26" s="56">
        <f t="shared" si="8"/>
        <v>-537.78658896812703</v>
      </c>
      <c r="DP26" s="56">
        <f t="shared" si="3"/>
        <v>-50089.939911162131</v>
      </c>
      <c r="DQ26" s="56">
        <f t="shared" si="3"/>
        <v>-9875.0000000020009</v>
      </c>
      <c r="DR26" s="56">
        <f t="shared" si="3"/>
        <v>2996.466666666689</v>
      </c>
      <c r="DS26" s="56">
        <f>SUM(DO$15:DO26)</f>
        <v>84460.277261336334</v>
      </c>
      <c r="DT26" s="56">
        <f>SUM(DP$15:DP26)</f>
        <v>-148556.09518536233</v>
      </c>
      <c r="DU26" s="56">
        <f>SUM(DQ$15:DQ26)</f>
        <v>-43656.249999999913</v>
      </c>
      <c r="DV26" s="56">
        <f>SUM(DR$15:DR26)</f>
        <v>5621.1166666669596</v>
      </c>
      <c r="DZ26" s="130">
        <v>45883.625</v>
      </c>
      <c r="EA26" s="147">
        <f t="shared" si="70"/>
        <v>84460.277261336334</v>
      </c>
      <c r="EB26" s="147">
        <f t="shared" si="24"/>
        <v>-148556.09518536233</v>
      </c>
      <c r="EC26" s="147">
        <f t="shared" si="25"/>
        <v>5621.1166666669596</v>
      </c>
      <c r="ED26" s="147">
        <f t="shared" si="26"/>
        <v>-43656.249999999913</v>
      </c>
    </row>
    <row r="27" spans="1:134" x14ac:dyDescent="0.3">
      <c r="A27" s="134">
        <v>45863.625</v>
      </c>
      <c r="B27" s="73">
        <f t="shared" si="27"/>
        <v>94.27</v>
      </c>
      <c r="C27" s="31">
        <f t="shared" si="28"/>
        <v>82747.603833863701</v>
      </c>
      <c r="D27" s="32">
        <f t="shared" si="29"/>
        <v>-41947.499999999993</v>
      </c>
      <c r="E27" s="73">
        <f t="shared" si="30"/>
        <v>101.054</v>
      </c>
      <c r="F27" s="31">
        <f t="shared" si="31"/>
        <v>-31415.999999999596</v>
      </c>
      <c r="G27" s="32">
        <f t="shared" si="32"/>
        <v>-14934.454779999993</v>
      </c>
      <c r="H27" s="73">
        <f t="shared" si="33"/>
        <v>120.06</v>
      </c>
      <c r="I27" s="31">
        <f t="shared" si="34"/>
        <v>-545207.54716981121</v>
      </c>
      <c r="J27" s="32">
        <f t="shared" si="35"/>
        <v>-72149.699999999983</v>
      </c>
      <c r="K27" s="73">
        <f t="shared" si="36"/>
        <v>99.524000000000001</v>
      </c>
      <c r="L27" s="31">
        <f t="shared" si="37"/>
        <v>-81278.400000001449</v>
      </c>
      <c r="M27" s="32">
        <f t="shared" si="38"/>
        <v>-32849.461306666657</v>
      </c>
      <c r="N27" s="79">
        <f t="shared" si="17"/>
        <v>590379.94447700644</v>
      </c>
      <c r="O27" s="79"/>
      <c r="P27" s="79"/>
      <c r="Q27" s="79">
        <f>$G$5*SUM($O$14:O27)-$H$5*SUM($P$14:P27)</f>
        <v>-576200.5368</v>
      </c>
      <c r="R27" s="79">
        <f t="shared" si="18"/>
        <v>14179.407677006442</v>
      </c>
      <c r="S27" s="138"/>
      <c r="U27" s="72">
        <v>45806.625</v>
      </c>
      <c r="V27" s="54">
        <v>93.33</v>
      </c>
      <c r="W27" s="72">
        <v>45804.625</v>
      </c>
      <c r="X27" s="54">
        <v>101.529</v>
      </c>
      <c r="Y27" s="122">
        <v>45810.625</v>
      </c>
      <c r="Z27" s="54">
        <v>121.27</v>
      </c>
      <c r="AA27" s="72">
        <v>45880.625</v>
      </c>
      <c r="AB27" s="54">
        <v>99.561999999999998</v>
      </c>
      <c r="AF27" s="128">
        <v>45883.625</v>
      </c>
      <c r="AG27" s="45">
        <f t="shared" si="39"/>
        <v>80.400000000000006</v>
      </c>
      <c r="AH27" s="46">
        <f t="shared" si="40"/>
        <v>-15537.600994405821</v>
      </c>
      <c r="AI27" s="46">
        <f t="shared" si="41"/>
        <v>-49937.499999999993</v>
      </c>
      <c r="AJ27" s="45">
        <f t="shared" si="42"/>
        <v>100.2734375</v>
      </c>
      <c r="AK27" s="46">
        <f t="shared" si="43"/>
        <v>97935.26785714287</v>
      </c>
      <c r="AL27" s="47">
        <f t="shared" si="44"/>
        <v>-2215.4212007068454</v>
      </c>
      <c r="AM27" s="45">
        <f t="shared" si="45"/>
        <v>109.88</v>
      </c>
      <c r="AN27" s="46">
        <f t="shared" si="46"/>
        <v>262414.79399519501</v>
      </c>
      <c r="AO27" s="47">
        <f t="shared" si="47"/>
        <v>-51364.28571428571</v>
      </c>
      <c r="AP27" s="45">
        <f t="shared" si="48"/>
        <v>100.2734375</v>
      </c>
      <c r="AQ27" s="46">
        <f t="shared" si="49"/>
        <v>85379.46428571429</v>
      </c>
      <c r="AR27" s="47">
        <f t="shared" si="50"/>
        <v>-1931.3928416418676</v>
      </c>
      <c r="AS27" s="45">
        <f t="shared" si="51"/>
        <v>102.859375</v>
      </c>
      <c r="AT27" s="46">
        <f t="shared" si="52"/>
        <v>57756.696428571428</v>
      </c>
      <c r="AU27" s="47">
        <f t="shared" si="53"/>
        <v>808.64629836309541</v>
      </c>
      <c r="AV27" s="45">
        <f t="shared" si="54"/>
        <v>96.015625</v>
      </c>
      <c r="AW27" s="46">
        <f t="shared" si="55"/>
        <v>92578.125</v>
      </c>
      <c r="AX27" s="47">
        <f t="shared" si="56"/>
        <v>2180.7923177083339</v>
      </c>
      <c r="AY27" s="79">
        <f t="shared" si="57"/>
        <v>-135473.12444303583</v>
      </c>
      <c r="AZ27" s="79"/>
      <c r="BA27" s="79"/>
      <c r="BB27" s="79">
        <f>$AO$4*SUM($AZ$14:AZ27)-$AP$4*SUM($BA$14:BA27)</f>
        <v>20692.591163142919</v>
      </c>
      <c r="BC27" s="79">
        <f t="shared" si="19"/>
        <v>-156165.71560617874</v>
      </c>
      <c r="BE27" s="72">
        <v>45800.625</v>
      </c>
      <c r="BF27" s="54">
        <v>78.95</v>
      </c>
      <c r="BG27" s="72">
        <v>45898.625</v>
      </c>
      <c r="BH27" s="54">
        <v>100.8359375</v>
      </c>
      <c r="BI27" s="72">
        <v>45800.625</v>
      </c>
      <c r="BJ27" s="54">
        <v>106.28</v>
      </c>
      <c r="BK27" s="72">
        <v>45898.625</v>
      </c>
      <c r="BL27" s="54">
        <v>100.8359375</v>
      </c>
      <c r="BM27" s="72">
        <v>45804.625</v>
      </c>
      <c r="BN27" s="54">
        <v>101.5</v>
      </c>
      <c r="BO27" s="72">
        <v>45804.625</v>
      </c>
      <c r="BP27" s="54">
        <v>94.90625</v>
      </c>
      <c r="BR27" s="128">
        <f t="shared" si="20"/>
        <v>45883.625</v>
      </c>
      <c r="BS27" s="45">
        <f t="shared" si="21"/>
        <v>107.40009999999999</v>
      </c>
      <c r="BT27" s="46">
        <f t="shared" si="58"/>
        <v>-44500.000000002874</v>
      </c>
      <c r="BU27" s="46">
        <f t="shared" si="59"/>
        <v>59027.777777777781</v>
      </c>
      <c r="BV27" s="45">
        <f t="shared" si="60"/>
        <v>49.968000000000004</v>
      </c>
      <c r="BW27" s="46">
        <f t="shared" si="61"/>
        <v>13837.499999999727</v>
      </c>
      <c r="BX27" s="47">
        <f t="shared" si="62"/>
        <v>59027.777777777781</v>
      </c>
      <c r="BY27" s="45">
        <f t="shared" si="63"/>
        <v>-58337.500000002605</v>
      </c>
      <c r="CA27" s="126">
        <v>45805.625</v>
      </c>
      <c r="CB27" s="54">
        <v>106.0368</v>
      </c>
      <c r="CC27" s="126">
        <v>45805.625</v>
      </c>
      <c r="CD27" s="54">
        <v>56.25</v>
      </c>
      <c r="CF27" s="128">
        <v>45883.625</v>
      </c>
      <c r="CG27" s="45">
        <f t="shared" si="22"/>
        <v>260.50799999999998</v>
      </c>
      <c r="CH27" s="46">
        <f t="shared" si="64"/>
        <v>61603.080000000286</v>
      </c>
      <c r="CI27" s="46">
        <f t="shared" si="65"/>
        <v>49583.333333333336</v>
      </c>
      <c r="CJ27" s="45">
        <f t="shared" si="66"/>
        <v>51.789000000000001</v>
      </c>
      <c r="CK27" s="46">
        <f t="shared" si="67"/>
        <v>43426.529999999795</v>
      </c>
      <c r="CL27" s="47">
        <f t="shared" si="68"/>
        <v>44625</v>
      </c>
      <c r="CM27" s="45">
        <f t="shared" si="69"/>
        <v>23134.883333333826</v>
      </c>
      <c r="CO27" s="126">
        <v>45806.625</v>
      </c>
      <c r="CP27" s="54">
        <v>297.57499999999999</v>
      </c>
      <c r="CQ27" s="126">
        <v>45806.625</v>
      </c>
      <c r="CR27" s="54">
        <v>57.243000000000002</v>
      </c>
      <c r="CS27" s="54"/>
      <c r="CT27" s="54"/>
      <c r="CU27" s="54"/>
      <c r="CV27" s="54"/>
      <c r="CW27" s="54"/>
      <c r="CX27" s="54"/>
      <c r="CY27" s="54"/>
      <c r="DF27" s="137">
        <v>45884.625</v>
      </c>
      <c r="DG27" s="56">
        <f t="shared" si="4"/>
        <v>11848.02919186512</v>
      </c>
      <c r="DH27" s="56">
        <f t="shared" si="5"/>
        <v>-164665.72077005869</v>
      </c>
      <c r="DI27" s="56">
        <f t="shared" si="6"/>
        <v>-68150.00000000016</v>
      </c>
      <c r="DJ27" s="56">
        <f t="shared" si="7"/>
        <v>24351.390000000567</v>
      </c>
      <c r="DK27" s="56">
        <f t="shared" si="23"/>
        <v>-81006.575990007608</v>
      </c>
      <c r="DL27" s="56">
        <f t="shared" si="23"/>
        <v>-8500.0051638799487</v>
      </c>
      <c r="DM27" s="56">
        <f t="shared" si="23"/>
        <v>-9812.4999999975553</v>
      </c>
      <c r="DN27" s="56">
        <f t="shared" si="23"/>
        <v>1216.5066666667408</v>
      </c>
      <c r="DO27" s="56">
        <f t="shared" si="8"/>
        <v>-81006.575990007608</v>
      </c>
      <c r="DP27" s="56">
        <f t="shared" si="3"/>
        <v>-8500.0051638799487</v>
      </c>
      <c r="DQ27" s="56">
        <f t="shared" si="3"/>
        <v>-9812.4999999975553</v>
      </c>
      <c r="DR27" s="56">
        <f t="shared" si="3"/>
        <v>1216.5066666667408</v>
      </c>
      <c r="DS27" s="56">
        <f>SUM(DO$15:DO27)</f>
        <v>3453.7012713287259</v>
      </c>
      <c r="DT27" s="56">
        <f>SUM(DP$15:DP27)</f>
        <v>-157056.10034924228</v>
      </c>
      <c r="DU27" s="56">
        <f>SUM(DQ$15:DQ27)</f>
        <v>-53468.749999997468</v>
      </c>
      <c r="DV27" s="56">
        <f>SUM(DR$15:DR27)</f>
        <v>6837.6233333337004</v>
      </c>
      <c r="DZ27" s="130">
        <v>45884.625</v>
      </c>
      <c r="EA27" s="147">
        <f t="shared" si="70"/>
        <v>3453.7012713287259</v>
      </c>
      <c r="EB27" s="147">
        <f t="shared" si="24"/>
        <v>-157056.10034924228</v>
      </c>
      <c r="EC27" s="147">
        <f t="shared" si="25"/>
        <v>6837.6233333337004</v>
      </c>
      <c r="ED27" s="147">
        <f t="shared" si="26"/>
        <v>-53468.749999997468</v>
      </c>
    </row>
    <row r="28" spans="1:134" x14ac:dyDescent="0.3">
      <c r="A28" s="134">
        <v>45866.625</v>
      </c>
      <c r="B28" s="73">
        <f t="shared" si="27"/>
        <v>94.37</v>
      </c>
      <c r="C28" s="31">
        <f t="shared" si="28"/>
        <v>105111.82108626094</v>
      </c>
      <c r="D28" s="32">
        <f t="shared" si="29"/>
        <v>-49349.999999999993</v>
      </c>
      <c r="E28" s="73">
        <f t="shared" si="30"/>
        <v>101.17</v>
      </c>
      <c r="F28" s="31">
        <f t="shared" si="31"/>
        <v>-11927.999999999656</v>
      </c>
      <c r="G28" s="32">
        <f t="shared" si="32"/>
        <v>-17569.946799999991</v>
      </c>
      <c r="H28" s="73">
        <f t="shared" si="33"/>
        <v>120.25</v>
      </c>
      <c r="I28" s="31">
        <f t="shared" si="34"/>
        <v>-488908.94175553846</v>
      </c>
      <c r="J28" s="32">
        <f t="shared" si="35"/>
        <v>-84881.999999999985</v>
      </c>
      <c r="K28" s="73">
        <f t="shared" si="36"/>
        <v>99.715000000000003</v>
      </c>
      <c r="L28" s="31">
        <f t="shared" si="37"/>
        <v>-15498.000000000588</v>
      </c>
      <c r="M28" s="32">
        <f t="shared" si="38"/>
        <v>-38646.425066666663</v>
      </c>
      <c r="N28" s="79">
        <f t="shared" si="17"/>
        <v>604906.28457513184</v>
      </c>
      <c r="O28" s="79"/>
      <c r="P28" s="79"/>
      <c r="Q28" s="79">
        <f>$G$5*SUM($O$14:O28)-$H$5*SUM($P$14:P28)</f>
        <v>-576200.5368</v>
      </c>
      <c r="R28" s="79">
        <f t="shared" si="18"/>
        <v>28705.747775131837</v>
      </c>
      <c r="S28" s="138"/>
      <c r="U28" s="72">
        <v>45807.625</v>
      </c>
      <c r="V28" s="54">
        <v>93.44</v>
      </c>
      <c r="W28" s="72">
        <v>45805.625</v>
      </c>
      <c r="X28" s="54">
        <v>101.491</v>
      </c>
      <c r="Y28" s="122">
        <v>45811.625</v>
      </c>
      <c r="Z28" s="54">
        <v>121.47</v>
      </c>
      <c r="AA28" s="72">
        <v>45881.625</v>
      </c>
      <c r="AB28" s="54">
        <v>99.405000000000001</v>
      </c>
      <c r="AF28" s="128">
        <v>45884.625</v>
      </c>
      <c r="AG28" s="45">
        <f t="shared" si="39"/>
        <v>80.459999999999994</v>
      </c>
      <c r="AH28" s="46">
        <f t="shared" si="40"/>
        <v>3107.5201988806089</v>
      </c>
      <c r="AI28" s="46">
        <f t="shared" si="41"/>
        <v>-52875</v>
      </c>
      <c r="AJ28" s="45">
        <f t="shared" si="42"/>
        <v>100.15625</v>
      </c>
      <c r="AK28" s="46">
        <f t="shared" si="43"/>
        <v>81612.72321428571</v>
      </c>
      <c r="AL28" s="47">
        <f t="shared" si="44"/>
        <v>-2345.7400948660688</v>
      </c>
      <c r="AM28" s="45">
        <f t="shared" si="45"/>
        <v>109.74</v>
      </c>
      <c r="AN28" s="46">
        <f t="shared" si="46"/>
        <v>229317.43259039463</v>
      </c>
      <c r="AO28" s="47">
        <f t="shared" si="47"/>
        <v>-54385.71428571429</v>
      </c>
      <c r="AP28" s="45">
        <f t="shared" si="48"/>
        <v>100.15625</v>
      </c>
      <c r="AQ28" s="46">
        <f t="shared" si="49"/>
        <v>71149.55357142858</v>
      </c>
      <c r="AR28" s="47">
        <f t="shared" si="50"/>
        <v>-2045.0041852678551</v>
      </c>
      <c r="AS28" s="45">
        <f t="shared" si="51"/>
        <v>102.609375</v>
      </c>
      <c r="AT28" s="46">
        <f t="shared" si="52"/>
        <v>44363.83928571429</v>
      </c>
      <c r="AU28" s="47">
        <f t="shared" si="53"/>
        <v>856.21372767857247</v>
      </c>
      <c r="AV28" s="45">
        <f t="shared" si="54"/>
        <v>95.359375</v>
      </c>
      <c r="AW28" s="46">
        <f t="shared" si="55"/>
        <v>43359.375</v>
      </c>
      <c r="AX28" s="47">
        <f t="shared" si="56"/>
        <v>2309.0742187500018</v>
      </c>
      <c r="AY28" s="79">
        <f t="shared" si="57"/>
        <v>-143973.12960691578</v>
      </c>
      <c r="AZ28" s="79"/>
      <c r="BA28" s="79"/>
      <c r="BB28" s="79">
        <f>$AO$4*SUM($AZ$14:AZ28)-$AP$4*SUM($BA$14:BA28)</f>
        <v>20692.591163142919</v>
      </c>
      <c r="BC28" s="79">
        <f t="shared" si="19"/>
        <v>-164665.72077005869</v>
      </c>
      <c r="BE28" s="72">
        <v>45804.625</v>
      </c>
      <c r="BF28" s="54">
        <v>79.430000000000007</v>
      </c>
      <c r="BG28" s="72">
        <v>45901.625</v>
      </c>
      <c r="BH28" s="54">
        <v>100.8046875</v>
      </c>
      <c r="BI28" s="72">
        <v>45804.625</v>
      </c>
      <c r="BJ28" s="54">
        <v>107.24</v>
      </c>
      <c r="BK28" s="72">
        <v>45901.625</v>
      </c>
      <c r="BL28" s="54">
        <v>100.8046875</v>
      </c>
      <c r="BM28" s="72">
        <v>45805.625</v>
      </c>
      <c r="BN28" s="54">
        <v>101.1875</v>
      </c>
      <c r="BO28" s="72">
        <v>45805.625</v>
      </c>
      <c r="BP28" s="54">
        <v>94.4375</v>
      </c>
      <c r="BR28" s="128">
        <f t="shared" si="20"/>
        <v>45884.625</v>
      </c>
      <c r="BS28" s="45">
        <f t="shared" si="21"/>
        <v>107.37390000000001</v>
      </c>
      <c r="BT28" s="46">
        <f t="shared" si="58"/>
        <v>-51050.000000000044</v>
      </c>
      <c r="BU28" s="46">
        <f t="shared" si="59"/>
        <v>62500</v>
      </c>
      <c r="BV28" s="45">
        <f t="shared" si="60"/>
        <v>49.91</v>
      </c>
      <c r="BW28" s="46">
        <f t="shared" si="61"/>
        <v>17100.000000000116</v>
      </c>
      <c r="BX28" s="47">
        <f t="shared" si="62"/>
        <v>62500</v>
      </c>
      <c r="BY28" s="45">
        <f t="shared" si="63"/>
        <v>-68150.00000000016</v>
      </c>
      <c r="CA28" s="126">
        <v>45806.625</v>
      </c>
      <c r="CB28" s="54">
        <v>106.0986</v>
      </c>
      <c r="CC28" s="126">
        <v>45806.625</v>
      </c>
      <c r="CD28" s="54">
        <v>56.234999999999999</v>
      </c>
      <c r="CF28" s="128">
        <v>45884.625</v>
      </c>
      <c r="CG28" s="45">
        <f t="shared" si="22"/>
        <v>259.67399999999998</v>
      </c>
      <c r="CH28" s="46">
        <f t="shared" si="64"/>
        <v>69309.240000000311</v>
      </c>
      <c r="CI28" s="46">
        <f t="shared" si="65"/>
        <v>52500</v>
      </c>
      <c r="CJ28" s="45">
        <f t="shared" si="66"/>
        <v>51.633000000000003</v>
      </c>
      <c r="CK28" s="46">
        <f t="shared" si="67"/>
        <v>50207.849999999737</v>
      </c>
      <c r="CL28" s="47">
        <f t="shared" si="68"/>
        <v>47250</v>
      </c>
      <c r="CM28" s="45">
        <f t="shared" si="69"/>
        <v>24351.390000000567</v>
      </c>
      <c r="CO28" s="126">
        <v>45807.625</v>
      </c>
      <c r="CP28" s="54">
        <v>300.33600000000001</v>
      </c>
      <c r="CQ28" s="126">
        <v>45807.625</v>
      </c>
      <c r="CR28" s="54">
        <v>57.917000000000002</v>
      </c>
      <c r="CS28" s="54"/>
      <c r="CT28" s="54"/>
      <c r="CU28" s="54"/>
      <c r="CV28" s="54"/>
      <c r="CW28" s="54"/>
      <c r="CX28" s="54"/>
      <c r="CY28" s="54"/>
      <c r="DF28" s="137">
        <v>45887.625</v>
      </c>
      <c r="DG28" s="56">
        <f t="shared" si="4"/>
        <v>103534.97440651921</v>
      </c>
      <c r="DH28" s="56">
        <f t="shared" si="5"/>
        <v>-163184.93181381875</v>
      </c>
      <c r="DI28" s="56">
        <f t="shared" si="6"/>
        <v>-66500.000000001164</v>
      </c>
      <c r="DJ28" s="56">
        <f t="shared" si="7"/>
        <v>20064.800000000352</v>
      </c>
      <c r="DK28" s="56">
        <f t="shared" si="23"/>
        <v>91686.945214654086</v>
      </c>
      <c r="DL28" s="56">
        <f t="shared" si="23"/>
        <v>1480.7889562399359</v>
      </c>
      <c r="DM28" s="56">
        <f t="shared" si="23"/>
        <v>1649.9999999989959</v>
      </c>
      <c r="DN28" s="56">
        <f t="shared" si="23"/>
        <v>-4286.5900000002148</v>
      </c>
      <c r="DO28" s="56">
        <f t="shared" si="8"/>
        <v>91686.945214654086</v>
      </c>
      <c r="DP28" s="56">
        <f t="shared" si="3"/>
        <v>1480.7889562399359</v>
      </c>
      <c r="DQ28" s="56">
        <f t="shared" si="3"/>
        <v>1649.9999999989959</v>
      </c>
      <c r="DR28" s="56">
        <f t="shared" si="3"/>
        <v>-4286.5900000002148</v>
      </c>
      <c r="DS28" s="56">
        <f>SUM(DO$15:DO28)</f>
        <v>95140.646485982812</v>
      </c>
      <c r="DT28" s="56">
        <f>SUM(DP$15:DP28)</f>
        <v>-155575.31139300234</v>
      </c>
      <c r="DU28" s="56">
        <f>SUM(DQ$15:DQ28)</f>
        <v>-51818.749999998472</v>
      </c>
      <c r="DV28" s="56">
        <f>SUM(DR$15:DR28)</f>
        <v>2551.0333333334856</v>
      </c>
      <c r="DZ28" s="130">
        <v>45887.625</v>
      </c>
      <c r="EA28" s="147">
        <f t="shared" si="70"/>
        <v>95140.646485982812</v>
      </c>
      <c r="EB28" s="147">
        <f t="shared" si="24"/>
        <v>-155575.31139300234</v>
      </c>
      <c r="EC28" s="147">
        <f t="shared" si="25"/>
        <v>2551.0333333334856</v>
      </c>
      <c r="ED28" s="147">
        <f t="shared" si="26"/>
        <v>-51818.749999998472</v>
      </c>
    </row>
    <row r="29" spans="1:134" x14ac:dyDescent="0.3">
      <c r="A29" s="134">
        <v>45867.625</v>
      </c>
      <c r="B29" s="73">
        <f t="shared" si="27"/>
        <v>94.46</v>
      </c>
      <c r="C29" s="31">
        <f t="shared" si="28"/>
        <v>125239.61661341798</v>
      </c>
      <c r="D29" s="32">
        <f t="shared" si="29"/>
        <v>-51817.5</v>
      </c>
      <c r="E29" s="73">
        <f t="shared" si="30"/>
        <v>101.105</v>
      </c>
      <c r="F29" s="31">
        <f t="shared" si="31"/>
        <v>-22847.999999999272</v>
      </c>
      <c r="G29" s="32">
        <f t="shared" si="32"/>
        <v>-18448.44414</v>
      </c>
      <c r="H29" s="73">
        <f t="shared" si="33"/>
        <v>120.32</v>
      </c>
      <c r="I29" s="31">
        <f t="shared" si="34"/>
        <v>-468167.35028712259</v>
      </c>
      <c r="J29" s="32">
        <f t="shared" si="35"/>
        <v>-89126.1</v>
      </c>
      <c r="K29" s="73">
        <f t="shared" si="36"/>
        <v>99.623999999999995</v>
      </c>
      <c r="L29" s="31">
        <f t="shared" si="37"/>
        <v>-46838.400000003407</v>
      </c>
      <c r="M29" s="32">
        <f t="shared" si="38"/>
        <v>-40578.746319999991</v>
      </c>
      <c r="N29" s="79">
        <f t="shared" si="17"/>
        <v>584594.8647205364</v>
      </c>
      <c r="O29" s="79"/>
      <c r="P29" s="79"/>
      <c r="Q29" s="79">
        <f>$G$5*SUM($O$14:O29)-$H$5*SUM($P$14:P29)</f>
        <v>-576200.5368</v>
      </c>
      <c r="R29" s="79">
        <f t="shared" si="18"/>
        <v>8394.3279205363942</v>
      </c>
      <c r="S29" s="138"/>
      <c r="U29" s="72">
        <v>45810.625</v>
      </c>
      <c r="V29" s="54">
        <v>93.5</v>
      </c>
      <c r="W29" s="72">
        <v>45806.625</v>
      </c>
      <c r="X29" s="54">
        <v>101.58</v>
      </c>
      <c r="Y29" s="122">
        <v>45812.625</v>
      </c>
      <c r="Z29" s="54">
        <v>121.35</v>
      </c>
      <c r="AA29" s="72">
        <v>45882.625</v>
      </c>
      <c r="AB29" s="54">
        <v>99.745000000000005</v>
      </c>
      <c r="AF29" s="128">
        <v>45887.625</v>
      </c>
      <c r="AG29" s="45">
        <f t="shared" si="39"/>
        <v>80.400000000000006</v>
      </c>
      <c r="AH29" s="46">
        <f t="shared" si="40"/>
        <v>-15537.600994405821</v>
      </c>
      <c r="AI29" s="46">
        <f t="shared" si="41"/>
        <v>-61687.499999999993</v>
      </c>
      <c r="AJ29" s="45">
        <f t="shared" si="42"/>
        <v>100.1015625</v>
      </c>
      <c r="AK29" s="46">
        <f t="shared" si="43"/>
        <v>73995.535714285725</v>
      </c>
      <c r="AL29" s="47">
        <f t="shared" si="44"/>
        <v>-2736.69677734375</v>
      </c>
      <c r="AM29" s="45">
        <f t="shared" si="45"/>
        <v>109.54</v>
      </c>
      <c r="AN29" s="46">
        <f t="shared" si="46"/>
        <v>182035.4877263965</v>
      </c>
      <c r="AO29" s="47">
        <f t="shared" si="47"/>
        <v>-63450.000000000007</v>
      </c>
      <c r="AP29" s="45">
        <f t="shared" si="48"/>
        <v>100.1015625</v>
      </c>
      <c r="AQ29" s="46">
        <f t="shared" si="49"/>
        <v>64508.92857142858</v>
      </c>
      <c r="AR29" s="47">
        <f t="shared" si="50"/>
        <v>-2385.8382161458321</v>
      </c>
      <c r="AS29" s="45">
        <f t="shared" si="51"/>
        <v>102.484375</v>
      </c>
      <c r="AT29" s="46">
        <f t="shared" si="52"/>
        <v>37667.410714285717</v>
      </c>
      <c r="AU29" s="47">
        <f t="shared" si="53"/>
        <v>998.916015625</v>
      </c>
      <c r="AV29" s="45">
        <f t="shared" si="54"/>
        <v>95.0625</v>
      </c>
      <c r="AW29" s="46">
        <f t="shared" si="55"/>
        <v>21093.75</v>
      </c>
      <c r="AX29" s="47">
        <f t="shared" si="56"/>
        <v>2693.919921875</v>
      </c>
      <c r="AY29" s="79">
        <f t="shared" si="57"/>
        <v>-142492.34065067582</v>
      </c>
      <c r="AZ29" s="79"/>
      <c r="BA29" s="79"/>
      <c r="BB29" s="79">
        <f>$AO$4*SUM($AZ$14:AZ29)-$AP$4*SUM($BA$14:BA29)</f>
        <v>20692.591163142919</v>
      </c>
      <c r="BC29" s="79">
        <f t="shared" si="19"/>
        <v>-163184.93181381875</v>
      </c>
      <c r="BE29" s="72">
        <v>45805.625</v>
      </c>
      <c r="BF29" s="54">
        <v>79.38</v>
      </c>
      <c r="BG29" s="72">
        <v>45902.625</v>
      </c>
      <c r="BH29" s="54">
        <v>100.65625</v>
      </c>
      <c r="BI29" s="72">
        <v>45805.625</v>
      </c>
      <c r="BJ29" s="54">
        <v>106.98</v>
      </c>
      <c r="BK29" s="72">
        <v>45902.625</v>
      </c>
      <c r="BL29" s="54">
        <v>100.65625</v>
      </c>
      <c r="BM29" s="72">
        <v>45806.625</v>
      </c>
      <c r="BN29" s="54">
        <v>101.59375</v>
      </c>
      <c r="BO29" s="72">
        <v>45806.625</v>
      </c>
      <c r="BP29" s="54">
        <v>95.25</v>
      </c>
      <c r="BR29" s="128">
        <f t="shared" si="20"/>
        <v>45887.625</v>
      </c>
      <c r="BS29" s="45">
        <f t="shared" si="21"/>
        <v>107.3562</v>
      </c>
      <c r="BT29" s="46">
        <f t="shared" si="58"/>
        <v>-55475.000000001273</v>
      </c>
      <c r="BU29" s="46">
        <f t="shared" si="59"/>
        <v>72916.666666666672</v>
      </c>
      <c r="BV29" s="45">
        <f t="shared" si="60"/>
        <v>50.018000000000001</v>
      </c>
      <c r="BW29" s="46">
        <f t="shared" si="61"/>
        <v>11024.999999999885</v>
      </c>
      <c r="BX29" s="47">
        <f t="shared" si="62"/>
        <v>72916.666666666672</v>
      </c>
      <c r="BY29" s="45">
        <f t="shared" si="63"/>
        <v>-66500.000000001164</v>
      </c>
      <c r="CA29" s="126">
        <v>45807.625</v>
      </c>
      <c r="CB29" s="54">
        <v>106.17010000000001</v>
      </c>
      <c r="CC29" s="126">
        <v>45807.625</v>
      </c>
      <c r="CD29" s="54">
        <v>55.927</v>
      </c>
      <c r="CF29" s="128">
        <v>45887.625</v>
      </c>
      <c r="CG29" s="45">
        <f t="shared" si="22"/>
        <v>260.94299999999998</v>
      </c>
      <c r="CH29" s="46">
        <f t="shared" si="64"/>
        <v>57583.680000000262</v>
      </c>
      <c r="CI29" s="46">
        <f t="shared" si="65"/>
        <v>61250</v>
      </c>
      <c r="CJ29" s="45">
        <f t="shared" si="66"/>
        <v>51.783999999999999</v>
      </c>
      <c r="CK29" s="46">
        <f t="shared" si="67"/>
        <v>43643.879999999903</v>
      </c>
      <c r="CL29" s="47">
        <f t="shared" si="68"/>
        <v>55125</v>
      </c>
      <c r="CM29" s="45">
        <f t="shared" si="69"/>
        <v>20064.800000000352</v>
      </c>
      <c r="CO29" s="126">
        <v>45810.625</v>
      </c>
      <c r="CP29" s="54">
        <v>299.81799999999998</v>
      </c>
      <c r="CQ29" s="126">
        <v>45810.625</v>
      </c>
      <c r="CR29" s="54">
        <v>57.789000000000001</v>
      </c>
      <c r="CS29" s="54"/>
      <c r="CT29" s="54"/>
      <c r="CU29" s="54"/>
      <c r="CV29" s="54"/>
      <c r="CW29" s="54"/>
      <c r="CX29" s="54"/>
      <c r="CY29" s="54"/>
      <c r="DF29" s="137">
        <v>45888.625</v>
      </c>
      <c r="DG29" s="56">
        <f t="shared" si="4"/>
        <v>85874.786876128172</v>
      </c>
      <c r="DH29" s="56">
        <f t="shared" si="5"/>
        <v>-154569.83632223442</v>
      </c>
      <c r="DI29" s="56">
        <f t="shared" si="6"/>
        <v>-78118.750000000029</v>
      </c>
      <c r="DJ29" s="56">
        <f t="shared" si="7"/>
        <v>13971.836666666903</v>
      </c>
      <c r="DK29" s="56">
        <f t="shared" si="23"/>
        <v>-17660.187530391035</v>
      </c>
      <c r="DL29" s="56">
        <f t="shared" si="23"/>
        <v>8615.0954915843322</v>
      </c>
      <c r="DM29" s="56">
        <f t="shared" si="23"/>
        <v>-11618.749999998865</v>
      </c>
      <c r="DN29" s="56">
        <f t="shared" si="23"/>
        <v>-6092.9633333334496</v>
      </c>
      <c r="DO29" s="56">
        <f t="shared" si="8"/>
        <v>-17660.187530391035</v>
      </c>
      <c r="DP29" s="56">
        <f t="shared" si="8"/>
        <v>8615.0954915843322</v>
      </c>
      <c r="DQ29" s="56">
        <f t="shared" si="8"/>
        <v>-11618.749999998865</v>
      </c>
      <c r="DR29" s="56">
        <f t="shared" si="8"/>
        <v>-6092.9633333334496</v>
      </c>
      <c r="DS29" s="56">
        <f>SUM(DO$15:DO29)</f>
        <v>77480.458955591777</v>
      </c>
      <c r="DT29" s="56">
        <f>SUM(DP$15:DP29)</f>
        <v>-146960.21590141801</v>
      </c>
      <c r="DU29" s="56">
        <f>SUM(DQ$15:DQ29)</f>
        <v>-63437.499999997337</v>
      </c>
      <c r="DV29" s="56">
        <f>SUM(DR$15:DR29)</f>
        <v>-3541.9299999999639</v>
      </c>
      <c r="DZ29" s="130">
        <v>45888.625</v>
      </c>
      <c r="EA29" s="147">
        <f t="shared" si="70"/>
        <v>77480.458955591777</v>
      </c>
      <c r="EB29" s="147">
        <f t="shared" si="24"/>
        <v>-146960.21590141801</v>
      </c>
      <c r="EC29" s="147">
        <f t="shared" si="25"/>
        <v>-3541.9299999999639</v>
      </c>
      <c r="ED29" s="147">
        <f t="shared" si="26"/>
        <v>-63437.499999997337</v>
      </c>
    </row>
    <row r="30" spans="1:134" x14ac:dyDescent="0.3">
      <c r="A30" s="135">
        <v>45868.625</v>
      </c>
      <c r="B30" s="73">
        <f t="shared" si="27"/>
        <v>94.48</v>
      </c>
      <c r="C30" s="31">
        <f t="shared" si="28"/>
        <v>129712.46006389835</v>
      </c>
      <c r="D30" s="32">
        <f t="shared" si="29"/>
        <v>-54284.999999999993</v>
      </c>
      <c r="E30" s="73">
        <f t="shared" si="30"/>
        <v>101.048</v>
      </c>
      <c r="F30" s="31">
        <f t="shared" si="31"/>
        <v>-32423.999999999636</v>
      </c>
      <c r="G30" s="32">
        <f t="shared" si="32"/>
        <v>-19326.941479999994</v>
      </c>
      <c r="H30" s="73">
        <f t="shared" si="33"/>
        <v>120.21</v>
      </c>
      <c r="I30" s="31">
        <f t="shared" si="34"/>
        <v>-500761.27973749209</v>
      </c>
      <c r="J30" s="32">
        <f t="shared" si="35"/>
        <v>-93370.199999999983</v>
      </c>
      <c r="K30" s="73">
        <f t="shared" si="36"/>
        <v>99.552999999999997</v>
      </c>
      <c r="L30" s="31">
        <f t="shared" si="37"/>
        <v>-71290.800000002695</v>
      </c>
      <c r="M30" s="32">
        <f t="shared" si="38"/>
        <v>-42511.067573333341</v>
      </c>
      <c r="N30" s="79">
        <f t="shared" si="17"/>
        <v>607508.01370805397</v>
      </c>
      <c r="O30" s="79"/>
      <c r="P30" s="79"/>
      <c r="Q30" s="79">
        <f>$G$5*SUM($O$14:O30)-$H$5*SUM($P$14:P30)</f>
        <v>-576200.5368</v>
      </c>
      <c r="R30" s="79">
        <f t="shared" si="18"/>
        <v>31307.47690805397</v>
      </c>
      <c r="S30" s="138"/>
      <c r="U30" s="72">
        <v>45811.625</v>
      </c>
      <c r="V30" s="54">
        <v>93.62</v>
      </c>
      <c r="W30" s="72">
        <v>45807.625</v>
      </c>
      <c r="X30" s="54">
        <v>101.56</v>
      </c>
      <c r="Y30" s="122">
        <v>45813.625</v>
      </c>
      <c r="Z30" s="54">
        <v>121.02</v>
      </c>
      <c r="AA30" s="72">
        <v>45883.625</v>
      </c>
      <c r="AB30" s="54">
        <v>99.620999999999995</v>
      </c>
      <c r="AF30" s="128">
        <v>45888.625</v>
      </c>
      <c r="AG30" s="45">
        <f t="shared" si="39"/>
        <v>80.38</v>
      </c>
      <c r="AH30" s="46">
        <f t="shared" si="40"/>
        <v>-21752.641392172591</v>
      </c>
      <c r="AI30" s="46">
        <f t="shared" si="41"/>
        <v>-64624.999999999993</v>
      </c>
      <c r="AJ30" s="45">
        <f t="shared" si="42"/>
        <v>100.2421875</v>
      </c>
      <c r="AK30" s="46">
        <f t="shared" si="43"/>
        <v>93582.58928571429</v>
      </c>
      <c r="AL30" s="47">
        <f t="shared" si="44"/>
        <v>-2867.0156715029807</v>
      </c>
      <c r="AM30" s="45">
        <f t="shared" si="45"/>
        <v>109.71</v>
      </c>
      <c r="AN30" s="46">
        <f t="shared" si="46"/>
        <v>222225.14086079292</v>
      </c>
      <c r="AO30" s="47">
        <f t="shared" si="47"/>
        <v>-66471.42857142858</v>
      </c>
      <c r="AP30" s="45">
        <f t="shared" si="48"/>
        <v>100.2421875</v>
      </c>
      <c r="AQ30" s="46">
        <f t="shared" si="49"/>
        <v>81584.821428571435</v>
      </c>
      <c r="AR30" s="47">
        <f t="shared" si="50"/>
        <v>-2499.4495597718233</v>
      </c>
      <c r="AS30" s="45">
        <f t="shared" si="51"/>
        <v>102.765625</v>
      </c>
      <c r="AT30" s="46">
        <f t="shared" si="52"/>
        <v>52734.375</v>
      </c>
      <c r="AU30" s="47">
        <f t="shared" si="53"/>
        <v>1046.4834449404752</v>
      </c>
      <c r="AV30" s="45">
        <f t="shared" si="54"/>
        <v>95.625</v>
      </c>
      <c r="AW30" s="46">
        <f t="shared" si="55"/>
        <v>63281.250000000007</v>
      </c>
      <c r="AX30" s="47">
        <f t="shared" si="56"/>
        <v>2822.2018229166679</v>
      </c>
      <c r="AY30" s="79">
        <f t="shared" si="57"/>
        <v>-133877.24515909149</v>
      </c>
      <c r="AZ30" s="79"/>
      <c r="BA30" s="79"/>
      <c r="BB30" s="79">
        <f>$AO$4*SUM($AZ$14:AZ30)-$AP$4*SUM($BA$14:BA30)</f>
        <v>20692.591163142919</v>
      </c>
      <c r="BC30" s="79">
        <f t="shared" si="19"/>
        <v>-154569.83632223442</v>
      </c>
      <c r="BE30" s="72">
        <v>45806.625</v>
      </c>
      <c r="BF30" s="54">
        <v>79.5</v>
      </c>
      <c r="BG30" s="72">
        <v>45903.625</v>
      </c>
      <c r="BH30" s="54">
        <v>100.8125</v>
      </c>
      <c r="BI30" s="72">
        <v>45806.625</v>
      </c>
      <c r="BJ30" s="54">
        <v>107.46</v>
      </c>
      <c r="BK30" s="72">
        <v>45903.625</v>
      </c>
      <c r="BL30" s="54">
        <v>100.8125</v>
      </c>
      <c r="BM30" s="72">
        <v>45807.625</v>
      </c>
      <c r="BN30" s="54">
        <v>101.921875</v>
      </c>
      <c r="BO30" s="72">
        <v>45807.625</v>
      </c>
      <c r="BP30" s="54">
        <v>95.40625</v>
      </c>
      <c r="BR30" s="128">
        <f t="shared" si="20"/>
        <v>45888.625</v>
      </c>
      <c r="BS30" s="45">
        <f t="shared" si="21"/>
        <v>107.22490000000001</v>
      </c>
      <c r="BT30" s="46">
        <f t="shared" si="58"/>
        <v>-88300.000000000276</v>
      </c>
      <c r="BU30" s="46">
        <f t="shared" si="59"/>
        <v>76388.888888888891</v>
      </c>
      <c r="BV30" s="45">
        <f t="shared" si="60"/>
        <v>50.395000000000003</v>
      </c>
      <c r="BW30" s="46">
        <f t="shared" si="61"/>
        <v>-10181.250000000253</v>
      </c>
      <c r="BX30" s="47">
        <f t="shared" si="62"/>
        <v>76388.888888888891</v>
      </c>
      <c r="BY30" s="45">
        <f t="shared" si="63"/>
        <v>-78118.750000000029</v>
      </c>
      <c r="CA30" s="126">
        <v>45810.625</v>
      </c>
      <c r="CB30" s="54">
        <v>106.27670000000001</v>
      </c>
      <c r="CC30" s="126">
        <v>45810.625</v>
      </c>
      <c r="CD30" s="54">
        <v>55.593000000000004</v>
      </c>
      <c r="CF30" s="128">
        <v>45888.625</v>
      </c>
      <c r="CG30" s="45">
        <f t="shared" si="22"/>
        <v>260.10500000000002</v>
      </c>
      <c r="CH30" s="46">
        <f t="shared" si="64"/>
        <v>65326.799999999945</v>
      </c>
      <c r="CI30" s="46">
        <f t="shared" si="65"/>
        <v>64166.666666666664</v>
      </c>
      <c r="CJ30" s="45">
        <f t="shared" si="66"/>
        <v>51.459000000000003</v>
      </c>
      <c r="CK30" s="46">
        <f t="shared" si="67"/>
        <v>57771.629999999714</v>
      </c>
      <c r="CL30" s="47">
        <f t="shared" si="68"/>
        <v>57750</v>
      </c>
      <c r="CM30" s="45">
        <f t="shared" si="69"/>
        <v>13971.836666666903</v>
      </c>
      <c r="CO30" s="126">
        <v>45811.625</v>
      </c>
      <c r="CP30" s="54">
        <v>296.63099999999997</v>
      </c>
      <c r="CQ30" s="126">
        <v>45811.625</v>
      </c>
      <c r="CR30" s="54">
        <v>56.976999999999997</v>
      </c>
      <c r="CS30" s="54"/>
      <c r="CT30" s="54"/>
      <c r="CU30" s="54"/>
      <c r="CV30" s="54"/>
      <c r="CW30" s="54"/>
      <c r="CX30" s="54"/>
      <c r="CY30" s="54"/>
      <c r="DF30" s="137">
        <v>45889.625</v>
      </c>
      <c r="DG30" s="56">
        <f t="shared" si="4"/>
        <v>57837.401413102634</v>
      </c>
      <c r="DH30" s="56">
        <f t="shared" si="5"/>
        <v>-158276.79946827248</v>
      </c>
      <c r="DI30" s="56">
        <f t="shared" si="6"/>
        <v>-84337.500000000713</v>
      </c>
      <c r="DJ30" s="56">
        <f t="shared" si="7"/>
        <v>7284.1533333335028</v>
      </c>
      <c r="DK30" s="56">
        <f t="shared" si="23"/>
        <v>-28037.385463025537</v>
      </c>
      <c r="DL30" s="56">
        <f t="shared" si="23"/>
        <v>-3706.9631460380624</v>
      </c>
      <c r="DM30" s="56">
        <f t="shared" si="23"/>
        <v>-6218.7500000006839</v>
      </c>
      <c r="DN30" s="56">
        <f t="shared" si="23"/>
        <v>-6687.6833333333998</v>
      </c>
      <c r="DO30" s="56">
        <f t="shared" si="8"/>
        <v>-28037.385463025537</v>
      </c>
      <c r="DP30" s="56">
        <f t="shared" si="8"/>
        <v>-3706.9631460380624</v>
      </c>
      <c r="DQ30" s="56">
        <f t="shared" si="8"/>
        <v>-6218.7500000006839</v>
      </c>
      <c r="DR30" s="56">
        <f t="shared" si="8"/>
        <v>-6687.6833333333998</v>
      </c>
      <c r="DS30" s="56">
        <f>SUM(DO$15:DO30)</f>
        <v>49443.07349256624</v>
      </c>
      <c r="DT30" s="56">
        <f>SUM(DP$15:DP30)</f>
        <v>-150667.17904745607</v>
      </c>
      <c r="DU30" s="56">
        <f>SUM(DQ$15:DQ30)</f>
        <v>-69656.249999998021</v>
      </c>
      <c r="DV30" s="56">
        <f>SUM(DR$15:DR30)</f>
        <v>-10229.613333333364</v>
      </c>
      <c r="DZ30" s="130">
        <v>45889.625</v>
      </c>
      <c r="EA30" s="147">
        <f t="shared" si="70"/>
        <v>49443.07349256624</v>
      </c>
      <c r="EB30" s="147">
        <f t="shared" si="24"/>
        <v>-150667.17904745607</v>
      </c>
      <c r="EC30" s="147">
        <f t="shared" si="25"/>
        <v>-10229.613333333364</v>
      </c>
      <c r="ED30" s="147">
        <f t="shared" si="26"/>
        <v>-69656.249999998021</v>
      </c>
    </row>
    <row r="31" spans="1:134" x14ac:dyDescent="0.3">
      <c r="A31" s="135">
        <v>45869.625</v>
      </c>
      <c r="B31" s="73">
        <f t="shared" si="27"/>
        <v>94.45</v>
      </c>
      <c r="C31" s="31">
        <f t="shared" si="28"/>
        <v>123003.19488817779</v>
      </c>
      <c r="D31" s="32">
        <f t="shared" si="29"/>
        <v>-56752.499999999993</v>
      </c>
      <c r="E31" s="73">
        <f t="shared" si="30"/>
        <v>101.02200000000001</v>
      </c>
      <c r="F31" s="31">
        <f t="shared" si="31"/>
        <v>-36791.999999999003</v>
      </c>
      <c r="G31" s="32">
        <f t="shared" si="32"/>
        <v>-20205.438819999999</v>
      </c>
      <c r="H31" s="73">
        <f t="shared" si="33"/>
        <v>120.26</v>
      </c>
      <c r="I31" s="31">
        <f t="shared" si="34"/>
        <v>-485945.85726005101</v>
      </c>
      <c r="J31" s="32">
        <f t="shared" si="35"/>
        <v>-97614.299999999988</v>
      </c>
      <c r="K31" s="73">
        <f t="shared" si="36"/>
        <v>99.549000000000007</v>
      </c>
      <c r="L31" s="31">
        <f t="shared" si="37"/>
        <v>-72668.399999999485</v>
      </c>
      <c r="M31" s="32">
        <f t="shared" si="38"/>
        <v>-44443.388826666684</v>
      </c>
      <c r="N31" s="79">
        <f t="shared" si="17"/>
        <v>589696.50214156182</v>
      </c>
      <c r="O31" s="79"/>
      <c r="P31" s="79"/>
      <c r="Q31" s="79">
        <f>$G$5*SUM($O$14:O31)-$H$5*SUM($P$14:P31)</f>
        <v>-576200.5368</v>
      </c>
      <c r="R31" s="79">
        <f t="shared" si="18"/>
        <v>13495.965341561823</v>
      </c>
      <c r="S31" s="138"/>
      <c r="U31" s="72">
        <v>45812.625</v>
      </c>
      <c r="V31" s="54">
        <v>93.7</v>
      </c>
      <c r="W31" s="72">
        <v>45810.625</v>
      </c>
      <c r="X31" s="54">
        <v>101.574</v>
      </c>
      <c r="Y31" s="122">
        <v>45814.625</v>
      </c>
      <c r="Z31" s="54">
        <v>121.27</v>
      </c>
      <c r="AA31" s="72">
        <v>45884.625</v>
      </c>
      <c r="AB31" s="54">
        <v>99.375</v>
      </c>
      <c r="AF31" s="128">
        <v>45889.625</v>
      </c>
      <c r="AG31" s="45">
        <f t="shared" si="39"/>
        <v>80.349999999999994</v>
      </c>
      <c r="AH31" s="46">
        <f t="shared" si="40"/>
        <v>-31075.201988814417</v>
      </c>
      <c r="AI31" s="46">
        <f t="shared" si="41"/>
        <v>-67562.499999999985</v>
      </c>
      <c r="AJ31" s="45">
        <f t="shared" si="42"/>
        <v>100.3125</v>
      </c>
      <c r="AK31" s="46">
        <f t="shared" si="43"/>
        <v>103376.11607142857</v>
      </c>
      <c r="AL31" s="47">
        <f t="shared" si="44"/>
        <v>-2997.3345656622041</v>
      </c>
      <c r="AM31" s="45">
        <f t="shared" si="45"/>
        <v>109.76</v>
      </c>
      <c r="AN31" s="46">
        <f t="shared" si="46"/>
        <v>234045.62707679387</v>
      </c>
      <c r="AO31" s="47">
        <f t="shared" si="47"/>
        <v>-69492.857142857145</v>
      </c>
      <c r="AP31" s="45">
        <f t="shared" si="48"/>
        <v>100.3125</v>
      </c>
      <c r="AQ31" s="46">
        <f t="shared" si="49"/>
        <v>90122.767857142855</v>
      </c>
      <c r="AR31" s="47">
        <f t="shared" si="50"/>
        <v>-2613.060903397818</v>
      </c>
      <c r="AS31" s="45">
        <f t="shared" si="51"/>
        <v>102.890625</v>
      </c>
      <c r="AT31" s="46">
        <f t="shared" si="52"/>
        <v>59430.803571428572</v>
      </c>
      <c r="AU31" s="47">
        <f t="shared" si="53"/>
        <v>1094.0508742559523</v>
      </c>
      <c r="AV31" s="45">
        <f t="shared" si="54"/>
        <v>95.78125</v>
      </c>
      <c r="AW31" s="46">
        <f t="shared" si="55"/>
        <v>75000</v>
      </c>
      <c r="AX31" s="47">
        <f t="shared" si="56"/>
        <v>2950.4837239583358</v>
      </c>
      <c r="AY31" s="79">
        <f t="shared" si="57"/>
        <v>-137584.20830512958</v>
      </c>
      <c r="AZ31" s="79"/>
      <c r="BA31" s="79"/>
      <c r="BB31" s="79">
        <f>$AO$4*SUM($AZ$14:AZ31)-$AP$4*SUM($BA$14:BA31)</f>
        <v>20692.591163142919</v>
      </c>
      <c r="BC31" s="79">
        <f t="shared" si="19"/>
        <v>-158276.79946827248</v>
      </c>
      <c r="BE31" s="72">
        <v>45807.625</v>
      </c>
      <c r="BF31" s="54">
        <v>79.569999999999993</v>
      </c>
      <c r="BG31" s="72">
        <v>45904.625</v>
      </c>
      <c r="BH31" s="54">
        <v>101.0390625</v>
      </c>
      <c r="BI31" s="72">
        <v>45807.625</v>
      </c>
      <c r="BJ31" s="54">
        <v>107.77</v>
      </c>
      <c r="BK31" s="72">
        <v>45904.625</v>
      </c>
      <c r="BL31" s="54">
        <v>101.0390625</v>
      </c>
      <c r="BM31" s="72">
        <v>45810.625</v>
      </c>
      <c r="BN31" s="54">
        <v>101.484375</v>
      </c>
      <c r="BO31" s="72">
        <v>45810.625</v>
      </c>
      <c r="BP31" s="54">
        <v>94.46875</v>
      </c>
      <c r="BR31" s="128">
        <f t="shared" si="20"/>
        <v>45889.625</v>
      </c>
      <c r="BS31" s="45">
        <f t="shared" si="21"/>
        <v>107.1161</v>
      </c>
      <c r="BT31" s="46">
        <f t="shared" si="58"/>
        <v>-115500.00000000083</v>
      </c>
      <c r="BU31" s="46">
        <f t="shared" si="59"/>
        <v>79861.111111111109</v>
      </c>
      <c r="BV31" s="45">
        <f t="shared" si="60"/>
        <v>50.768000000000001</v>
      </c>
      <c r="BW31" s="46">
        <f t="shared" si="61"/>
        <v>-31162.500000000113</v>
      </c>
      <c r="BX31" s="47">
        <f t="shared" si="62"/>
        <v>79861.111111111109</v>
      </c>
      <c r="BY31" s="45">
        <f t="shared" si="63"/>
        <v>-84337.500000000713</v>
      </c>
      <c r="CA31" s="126">
        <v>45811.625</v>
      </c>
      <c r="CB31" s="54">
        <v>106.4064</v>
      </c>
      <c r="CC31" s="126">
        <v>45811.625</v>
      </c>
      <c r="CD31" s="54">
        <v>54.945999999999998</v>
      </c>
      <c r="CF31" s="128">
        <v>45889.625</v>
      </c>
      <c r="CG31" s="45">
        <f t="shared" si="22"/>
        <v>265.99299999999999</v>
      </c>
      <c r="CH31" s="46">
        <f t="shared" si="64"/>
        <v>10921.680000000151</v>
      </c>
      <c r="CI31" s="46">
        <f t="shared" si="65"/>
        <v>67083.333333333328</v>
      </c>
      <c r="CJ31" s="45">
        <f t="shared" si="66"/>
        <v>52.55</v>
      </c>
      <c r="CK31" s="46">
        <f t="shared" si="67"/>
        <v>10345.859999999981</v>
      </c>
      <c r="CL31" s="47">
        <f t="shared" si="68"/>
        <v>60374.999999999993</v>
      </c>
      <c r="CM31" s="45">
        <f t="shared" si="69"/>
        <v>7284.1533333335028</v>
      </c>
      <c r="CO31" s="126">
        <v>45812.625</v>
      </c>
      <c r="CP31" s="54">
        <v>293.44900000000001</v>
      </c>
      <c r="CQ31" s="126">
        <v>45812.625</v>
      </c>
      <c r="CR31" s="54">
        <v>56.475999999999999</v>
      </c>
      <c r="CS31" s="54"/>
      <c r="CT31" s="54"/>
      <c r="CU31" s="54"/>
      <c r="CV31" s="54"/>
      <c r="CW31" s="54"/>
      <c r="CX31" s="54"/>
      <c r="CY31" s="54"/>
      <c r="DF31" s="137">
        <v>45890.625</v>
      </c>
      <c r="DG31" s="56">
        <f t="shared" si="4"/>
        <v>58334.289548870642</v>
      </c>
      <c r="DH31" s="56">
        <f t="shared" si="5"/>
        <v>-154149.1577847756</v>
      </c>
      <c r="DI31" s="56">
        <f t="shared" si="6"/>
        <v>-77325.000000001251</v>
      </c>
      <c r="DJ31" s="56">
        <f t="shared" si="7"/>
        <v>11414.83000000022</v>
      </c>
      <c r="DK31" s="56">
        <f t="shared" si="23"/>
        <v>496.88813576800749</v>
      </c>
      <c r="DL31" s="56">
        <f t="shared" si="23"/>
        <v>4127.6416834968841</v>
      </c>
      <c r="DM31" s="56">
        <f t="shared" si="23"/>
        <v>7012.4999999994616</v>
      </c>
      <c r="DN31" s="56">
        <f t="shared" si="23"/>
        <v>4130.6766666667172</v>
      </c>
      <c r="DO31" s="56">
        <f t="shared" si="8"/>
        <v>496.88813576800749</v>
      </c>
      <c r="DP31" s="56">
        <f t="shared" si="8"/>
        <v>4127.6416834968841</v>
      </c>
      <c r="DQ31" s="56">
        <f t="shared" si="8"/>
        <v>7012.4999999994616</v>
      </c>
      <c r="DR31" s="56">
        <f t="shared" si="8"/>
        <v>4130.6766666667172</v>
      </c>
      <c r="DS31" s="56">
        <f>SUM(DO$15:DO31)</f>
        <v>49939.961628334248</v>
      </c>
      <c r="DT31" s="56">
        <f>SUM(DP$15:DP31)</f>
        <v>-146539.53736395919</v>
      </c>
      <c r="DU31" s="56">
        <f>SUM(DQ$15:DQ31)</f>
        <v>-62643.749999998559</v>
      </c>
      <c r="DV31" s="56">
        <f>SUM(DR$15:DR31)</f>
        <v>-6098.9366666666465</v>
      </c>
      <c r="DZ31" s="130">
        <v>45890.625</v>
      </c>
      <c r="EA31" s="147">
        <f t="shared" si="70"/>
        <v>49939.961628334248</v>
      </c>
      <c r="EB31" s="147">
        <f t="shared" si="24"/>
        <v>-146539.53736395919</v>
      </c>
      <c r="EC31" s="147">
        <f t="shared" si="25"/>
        <v>-6098.9366666666465</v>
      </c>
      <c r="ED31" s="147">
        <f t="shared" si="26"/>
        <v>-62643.749999998559</v>
      </c>
    </row>
    <row r="32" spans="1:134" x14ac:dyDescent="0.3">
      <c r="A32" s="134">
        <v>45870.625</v>
      </c>
      <c r="B32" s="73">
        <f t="shared" si="27"/>
        <v>94.32</v>
      </c>
      <c r="C32" s="31">
        <f t="shared" si="28"/>
        <v>93929.712460059993</v>
      </c>
      <c r="D32" s="32">
        <f t="shared" si="29"/>
        <v>-59219.999999999993</v>
      </c>
      <c r="E32" s="73">
        <f t="shared" si="30"/>
        <v>101.155</v>
      </c>
      <c r="F32" s="31">
        <f t="shared" si="31"/>
        <v>-14447.999999999753</v>
      </c>
      <c r="G32" s="32">
        <f t="shared" si="32"/>
        <v>-21083.936159999997</v>
      </c>
      <c r="H32" s="73">
        <f t="shared" si="33"/>
        <v>120.22</v>
      </c>
      <c r="I32" s="31">
        <f t="shared" si="34"/>
        <v>-497798.19524200464</v>
      </c>
      <c r="J32" s="32">
        <f t="shared" si="35"/>
        <v>-101858.39999999998</v>
      </c>
      <c r="K32" s="73">
        <f t="shared" si="36"/>
        <v>99.751000000000005</v>
      </c>
      <c r="L32" s="31">
        <f t="shared" si="37"/>
        <v>-3099.6000000001172</v>
      </c>
      <c r="M32" s="32">
        <f t="shared" si="38"/>
        <v>-46375.710079999997</v>
      </c>
      <c r="N32" s="79">
        <f t="shared" si="17"/>
        <v>620422.93378206436</v>
      </c>
      <c r="O32" s="79"/>
      <c r="P32" s="79"/>
      <c r="Q32" s="79">
        <f>$G$5*SUM($O$14:O32)-$H$5*SUM($P$14:P32)</f>
        <v>-576200.5368</v>
      </c>
      <c r="R32" s="79">
        <f t="shared" si="18"/>
        <v>44222.396982064354</v>
      </c>
      <c r="S32" s="138"/>
      <c r="U32" s="72">
        <v>45813.625</v>
      </c>
      <c r="V32" s="54">
        <v>93.55</v>
      </c>
      <c r="W32" s="72">
        <v>45811.625</v>
      </c>
      <c r="X32" s="54">
        <v>101.60599999999999</v>
      </c>
      <c r="Y32" s="122">
        <v>45817.625</v>
      </c>
      <c r="Z32" s="54">
        <v>121.32</v>
      </c>
      <c r="AA32" s="72">
        <v>45887.625</v>
      </c>
      <c r="AB32" s="54">
        <v>99.388999999999996</v>
      </c>
      <c r="AF32" s="128">
        <v>45890.625</v>
      </c>
      <c r="AG32" s="45">
        <f t="shared" si="39"/>
        <v>80.2</v>
      </c>
      <c r="AH32" s="46">
        <f t="shared" si="40"/>
        <v>-77688.004972031878</v>
      </c>
      <c r="AI32" s="46">
        <f t="shared" si="41"/>
        <v>-70500</v>
      </c>
      <c r="AJ32" s="45">
        <f t="shared" si="42"/>
        <v>100.09375</v>
      </c>
      <c r="AK32" s="46">
        <f t="shared" si="43"/>
        <v>72907.36607142858</v>
      </c>
      <c r="AL32" s="47">
        <f t="shared" si="44"/>
        <v>-3127.6534598214275</v>
      </c>
      <c r="AM32" s="45">
        <f t="shared" si="45"/>
        <v>109.34</v>
      </c>
      <c r="AN32" s="46">
        <f t="shared" si="46"/>
        <v>134753.54286239838</v>
      </c>
      <c r="AO32" s="47">
        <f t="shared" si="47"/>
        <v>-72514.28571428571</v>
      </c>
      <c r="AP32" s="45">
        <f t="shared" si="48"/>
        <v>100.09375</v>
      </c>
      <c r="AQ32" s="46">
        <f t="shared" si="49"/>
        <v>63560.267857142862</v>
      </c>
      <c r="AR32" s="47">
        <f t="shared" si="50"/>
        <v>-2726.6722470238128</v>
      </c>
      <c r="AS32" s="45">
        <f t="shared" si="51"/>
        <v>102.5625</v>
      </c>
      <c r="AT32" s="46">
        <f t="shared" si="52"/>
        <v>41852.678571428572</v>
      </c>
      <c r="AU32" s="47">
        <f t="shared" si="53"/>
        <v>1141.6183035714312</v>
      </c>
      <c r="AV32" s="45">
        <f t="shared" si="54"/>
        <v>95.3125</v>
      </c>
      <c r="AW32" s="46">
        <f t="shared" si="55"/>
        <v>39843.75</v>
      </c>
      <c r="AX32" s="47">
        <f t="shared" si="56"/>
        <v>3078.765625</v>
      </c>
      <c r="AY32" s="79">
        <f t="shared" si="57"/>
        <v>-133456.56662163266</v>
      </c>
      <c r="AZ32" s="79"/>
      <c r="BA32" s="79"/>
      <c r="BB32" s="79">
        <f>$AO$4*SUM($AZ$14:AZ32)-$AP$4*SUM($BA$14:BA32)</f>
        <v>20692.591163142919</v>
      </c>
      <c r="BC32" s="79">
        <f t="shared" si="19"/>
        <v>-154149.1577847756</v>
      </c>
      <c r="BE32" s="72">
        <v>45810.625</v>
      </c>
      <c r="BF32" s="54">
        <v>79.180000000000007</v>
      </c>
      <c r="BG32" s="72">
        <v>45905.625</v>
      </c>
      <c r="BH32" s="54">
        <v>101.25</v>
      </c>
      <c r="BI32" s="72">
        <v>45810.625</v>
      </c>
      <c r="BJ32" s="54">
        <v>107.07</v>
      </c>
      <c r="BK32" s="72">
        <v>45905.625</v>
      </c>
      <c r="BL32" s="54">
        <v>101.25</v>
      </c>
      <c r="BM32" s="72">
        <v>45811.625</v>
      </c>
      <c r="BN32" s="54">
        <v>101.375</v>
      </c>
      <c r="BO32" s="72">
        <v>45811.625</v>
      </c>
      <c r="BP32" s="54">
        <v>94.359375</v>
      </c>
      <c r="BR32" s="128">
        <f t="shared" si="20"/>
        <v>45890.625</v>
      </c>
      <c r="BS32" s="45">
        <f t="shared" si="21"/>
        <v>106.9358</v>
      </c>
      <c r="BT32" s="46">
        <f t="shared" si="58"/>
        <v>-160575.00000000148</v>
      </c>
      <c r="BU32" s="46">
        <f t="shared" si="59"/>
        <v>83333.333333333343</v>
      </c>
      <c r="BV32" s="45">
        <f t="shared" si="60"/>
        <v>51.694000000000003</v>
      </c>
      <c r="BW32" s="46">
        <f t="shared" si="61"/>
        <v>-83250.000000000218</v>
      </c>
      <c r="BX32" s="47">
        <f t="shared" si="62"/>
        <v>83333.333333333328</v>
      </c>
      <c r="BY32" s="45">
        <f t="shared" si="63"/>
        <v>-77325.000000001251</v>
      </c>
      <c r="CA32" s="126">
        <v>45812.625</v>
      </c>
      <c r="CB32" s="54">
        <v>106.3698</v>
      </c>
      <c r="CC32" s="126">
        <v>45812.625</v>
      </c>
      <c r="CD32" s="54">
        <v>55.19</v>
      </c>
      <c r="CF32" s="128">
        <v>45890.625</v>
      </c>
      <c r="CG32" s="45">
        <f t="shared" si="22"/>
        <v>266.79599999999999</v>
      </c>
      <c r="CH32" s="46">
        <f t="shared" si="64"/>
        <v>3501.9600000001765</v>
      </c>
      <c r="CI32" s="46">
        <f t="shared" si="65"/>
        <v>70000</v>
      </c>
      <c r="CJ32" s="45">
        <f t="shared" si="66"/>
        <v>52.808999999999997</v>
      </c>
      <c r="CK32" s="46">
        <f t="shared" si="67"/>
        <v>-912.87000000003468</v>
      </c>
      <c r="CL32" s="47">
        <f t="shared" si="68"/>
        <v>63000</v>
      </c>
      <c r="CM32" s="45">
        <f t="shared" si="69"/>
        <v>11414.83000000022</v>
      </c>
      <c r="CO32" s="126">
        <v>45813.625</v>
      </c>
      <c r="CP32" s="54">
        <v>293.76400000000001</v>
      </c>
      <c r="CQ32" s="126">
        <v>45813.625</v>
      </c>
      <c r="CR32" s="54">
        <v>56.481999999999999</v>
      </c>
      <c r="CS32" s="54"/>
      <c r="CT32" s="54"/>
      <c r="CU32" s="54"/>
      <c r="CV32" s="54"/>
      <c r="CW32" s="54"/>
      <c r="CX32" s="54"/>
      <c r="CY32" s="54"/>
      <c r="DF32" s="137">
        <v>45891.625</v>
      </c>
      <c r="DG32" s="56">
        <f t="shared" si="4"/>
        <v>108146.74373968039</v>
      </c>
      <c r="DH32" s="56">
        <f t="shared" si="5"/>
        <v>-85720.775891802739</v>
      </c>
      <c r="DI32" s="56">
        <f t="shared" si="6"/>
        <v>-59200.000000002452</v>
      </c>
      <c r="DJ32" s="56">
        <f t="shared" si="7"/>
        <v>9054.6166666669305</v>
      </c>
      <c r="DK32" s="56">
        <f t="shared" si="23"/>
        <v>49812.454190809745</v>
      </c>
      <c r="DL32" s="56">
        <f t="shared" si="23"/>
        <v>68428.381892972859</v>
      </c>
      <c r="DM32" s="56">
        <f t="shared" si="23"/>
        <v>18124.999999998799</v>
      </c>
      <c r="DN32" s="56">
        <f t="shared" si="23"/>
        <v>-2360.2133333332895</v>
      </c>
      <c r="DO32" s="56">
        <f t="shared" si="8"/>
        <v>49812.454190809745</v>
      </c>
      <c r="DP32" s="56">
        <f t="shared" si="8"/>
        <v>68428.381892972859</v>
      </c>
      <c r="DQ32" s="56">
        <f t="shared" si="8"/>
        <v>18124.999999998799</v>
      </c>
      <c r="DR32" s="56">
        <f t="shared" si="8"/>
        <v>-2360.2133333332895</v>
      </c>
      <c r="DS32" s="56">
        <f>SUM(DO$15:DO32)</f>
        <v>99752.415819143993</v>
      </c>
      <c r="DT32" s="56">
        <f>SUM(DP$15:DP32)</f>
        <v>-78111.155470986327</v>
      </c>
      <c r="DU32" s="56">
        <f>SUM(DQ$15:DQ32)</f>
        <v>-44518.74999999976</v>
      </c>
      <c r="DV32" s="56">
        <f>SUM(DR$15:DR32)</f>
        <v>-8459.149999999936</v>
      </c>
      <c r="DZ32" s="130">
        <v>45891.625</v>
      </c>
      <c r="EA32" s="147">
        <f t="shared" si="70"/>
        <v>99752.415819143993</v>
      </c>
      <c r="EB32" s="147">
        <f t="shared" si="24"/>
        <v>-78111.155470986327</v>
      </c>
      <c r="EC32" s="147">
        <f t="shared" si="25"/>
        <v>-8459.149999999936</v>
      </c>
      <c r="ED32" s="147">
        <f t="shared" si="26"/>
        <v>-44518.74999999976</v>
      </c>
    </row>
    <row r="33" spans="1:134" x14ac:dyDescent="0.3">
      <c r="A33" s="134">
        <v>45873.625</v>
      </c>
      <c r="B33" s="73">
        <f t="shared" si="27"/>
        <v>94.38</v>
      </c>
      <c r="C33" s="31">
        <f t="shared" si="28"/>
        <v>107348.24281150113</v>
      </c>
      <c r="D33" s="32">
        <f t="shared" si="29"/>
        <v>-66622.499999999985</v>
      </c>
      <c r="E33" s="73">
        <f t="shared" si="30"/>
        <v>101.214</v>
      </c>
      <c r="F33" s="31">
        <f t="shared" si="31"/>
        <v>-4536.0000000001719</v>
      </c>
      <c r="G33" s="32">
        <f t="shared" si="32"/>
        <v>-23719.428179999988</v>
      </c>
      <c r="H33" s="73">
        <f t="shared" si="33"/>
        <v>120.41</v>
      </c>
      <c r="I33" s="31">
        <f t="shared" si="34"/>
        <v>-441499.58982773189</v>
      </c>
      <c r="J33" s="32">
        <f t="shared" si="35"/>
        <v>-114590.69999999998</v>
      </c>
      <c r="K33" s="73">
        <f t="shared" si="36"/>
        <v>99.884</v>
      </c>
      <c r="L33" s="31">
        <f t="shared" si="37"/>
        <v>42705.599999998354</v>
      </c>
      <c r="M33" s="32">
        <f t="shared" si="38"/>
        <v>-52172.673839999981</v>
      </c>
      <c r="N33" s="79">
        <f t="shared" si="17"/>
        <v>615604.38697923161</v>
      </c>
      <c r="O33" s="79"/>
      <c r="P33" s="79"/>
      <c r="Q33" s="79">
        <f>$G$5*SUM($O$14:O33)-$H$5*SUM($P$14:P33)</f>
        <v>-576200.5368</v>
      </c>
      <c r="R33" s="79">
        <f t="shared" si="18"/>
        <v>39403.850179231609</v>
      </c>
      <c r="S33" s="138"/>
      <c r="U33" s="72">
        <v>45814.625</v>
      </c>
      <c r="V33" s="54">
        <v>93.7</v>
      </c>
      <c r="W33" s="72">
        <v>45812.625</v>
      </c>
      <c r="X33" s="54">
        <v>101.54</v>
      </c>
      <c r="Y33" s="122">
        <v>45818.625</v>
      </c>
      <c r="Z33" s="54">
        <v>121.52</v>
      </c>
      <c r="AA33" s="72">
        <v>45888.625</v>
      </c>
      <c r="AB33" s="54">
        <v>99.484999999999999</v>
      </c>
      <c r="AF33" s="128">
        <v>45891.625</v>
      </c>
      <c r="AG33" s="45">
        <f t="shared" si="39"/>
        <v>80.849999999999994</v>
      </c>
      <c r="AH33" s="46">
        <f t="shared" si="40"/>
        <v>124300.80795524656</v>
      </c>
      <c r="AI33" s="46">
        <f t="shared" si="41"/>
        <v>-73437.5</v>
      </c>
      <c r="AJ33" s="45">
        <f t="shared" si="42"/>
        <v>100.515625</v>
      </c>
      <c r="AK33" s="46">
        <f t="shared" si="43"/>
        <v>131668.52678571429</v>
      </c>
      <c r="AL33" s="47">
        <f t="shared" si="44"/>
        <v>-3257.972353980651</v>
      </c>
      <c r="AM33" s="45">
        <f t="shared" si="45"/>
        <v>110.2</v>
      </c>
      <c r="AN33" s="46">
        <f t="shared" si="46"/>
        <v>338065.90577759431</v>
      </c>
      <c r="AO33" s="47">
        <f t="shared" si="47"/>
        <v>-75535.71428571429</v>
      </c>
      <c r="AP33" s="45">
        <f t="shared" si="48"/>
        <v>100.515625</v>
      </c>
      <c r="AQ33" s="46">
        <f t="shared" si="49"/>
        <v>114787.94642857143</v>
      </c>
      <c r="AR33" s="47">
        <f t="shared" si="50"/>
        <v>-2840.283590649804</v>
      </c>
      <c r="AS33" s="45">
        <f t="shared" si="51"/>
        <v>103.125</v>
      </c>
      <c r="AT33" s="46">
        <f t="shared" si="52"/>
        <v>71986.607142857145</v>
      </c>
      <c r="AU33" s="47">
        <f t="shared" si="53"/>
        <v>1189.1857328869064</v>
      </c>
      <c r="AV33" s="45">
        <f t="shared" si="54"/>
        <v>95.9375</v>
      </c>
      <c r="AW33" s="46">
        <f t="shared" si="55"/>
        <v>86718.75</v>
      </c>
      <c r="AX33" s="47">
        <f t="shared" si="56"/>
        <v>3207.0475260416679</v>
      </c>
      <c r="AY33" s="79">
        <f t="shared" si="57"/>
        <v>-65028.18472865982</v>
      </c>
      <c r="AZ33" s="79"/>
      <c r="BA33" s="79"/>
      <c r="BB33" s="79">
        <f>$AO$4*SUM($AZ$14:AZ33)-$AP$4*SUM($BA$14:BA33)</f>
        <v>20692.591163142919</v>
      </c>
      <c r="BC33" s="79">
        <f t="shared" si="19"/>
        <v>-85720.775891802739</v>
      </c>
      <c r="BE33" s="72">
        <v>45811.625</v>
      </c>
      <c r="BF33" s="54">
        <v>79.33</v>
      </c>
      <c r="BG33" s="72">
        <v>45908.625</v>
      </c>
      <c r="BH33" s="54">
        <v>101.3828125</v>
      </c>
      <c r="BI33" s="72">
        <v>45811.625</v>
      </c>
      <c r="BJ33" s="54">
        <v>107.12</v>
      </c>
      <c r="BK33" s="72">
        <v>45908.625</v>
      </c>
      <c r="BL33" s="54">
        <v>101.3828125</v>
      </c>
      <c r="BM33" s="72">
        <v>45812.625</v>
      </c>
      <c r="BN33" s="54">
        <v>102.15625</v>
      </c>
      <c r="BO33" s="72">
        <v>45812.625</v>
      </c>
      <c r="BP33" s="54">
        <v>95.84375</v>
      </c>
      <c r="BR33" s="128">
        <f t="shared" si="20"/>
        <v>45891.625</v>
      </c>
      <c r="BS33" s="45">
        <f t="shared" si="21"/>
        <v>107.5735</v>
      </c>
      <c r="BT33" s="46">
        <f t="shared" si="58"/>
        <v>-1150.0000000026489</v>
      </c>
      <c r="BU33" s="46">
        <f t="shared" si="59"/>
        <v>86805.555555555562</v>
      </c>
      <c r="BV33" s="45">
        <f t="shared" si="60"/>
        <v>49.182000000000002</v>
      </c>
      <c r="BW33" s="46">
        <f t="shared" si="61"/>
        <v>58049.999999999804</v>
      </c>
      <c r="BX33" s="47">
        <f t="shared" si="62"/>
        <v>86805.555555555562</v>
      </c>
      <c r="BY33" s="45">
        <f t="shared" si="63"/>
        <v>-59200.000000002452</v>
      </c>
      <c r="CA33" s="126">
        <v>45813.625</v>
      </c>
      <c r="CB33" s="54">
        <v>106.2727</v>
      </c>
      <c r="CC33" s="126">
        <v>45813.625</v>
      </c>
      <c r="CD33" s="54">
        <v>55.59</v>
      </c>
      <c r="CF33" s="128">
        <v>45891.625</v>
      </c>
      <c r="CG33" s="45">
        <f t="shared" si="22"/>
        <v>261.90800000000002</v>
      </c>
      <c r="CH33" s="46">
        <f t="shared" si="64"/>
        <v>48667.079999999965</v>
      </c>
      <c r="CI33" s="46">
        <f t="shared" si="65"/>
        <v>72916.666666666672</v>
      </c>
      <c r="CJ33" s="45">
        <f t="shared" si="66"/>
        <v>51.709000000000003</v>
      </c>
      <c r="CK33" s="46">
        <f t="shared" si="67"/>
        <v>46904.129999999721</v>
      </c>
      <c r="CL33" s="47">
        <f t="shared" si="68"/>
        <v>65625</v>
      </c>
      <c r="CM33" s="45">
        <f t="shared" si="69"/>
        <v>9054.6166666669305</v>
      </c>
      <c r="CO33" s="126">
        <v>45814.625</v>
      </c>
      <c r="CP33" s="54">
        <v>289.697</v>
      </c>
      <c r="CQ33" s="126">
        <v>45814.625</v>
      </c>
      <c r="CR33" s="54">
        <v>55.588999999999999</v>
      </c>
      <c r="CS33" s="54"/>
      <c r="CT33" s="54"/>
      <c r="CU33" s="54"/>
      <c r="CV33" s="54"/>
      <c r="CW33" s="54"/>
      <c r="CX33" s="54"/>
      <c r="CY33" s="54"/>
      <c r="DF33" s="137">
        <v>45894.625</v>
      </c>
      <c r="DG33" s="56">
        <f t="shared" si="4"/>
        <v>59738.671999678598</v>
      </c>
      <c r="DH33" s="56">
        <f t="shared" si="5"/>
        <v>-90132.063735566393</v>
      </c>
      <c r="DI33" s="56">
        <f t="shared" si="6"/>
        <v>-65012.500000002794</v>
      </c>
      <c r="DJ33" s="56">
        <f t="shared" si="7"/>
        <v>9929.6166666669305</v>
      </c>
      <c r="DK33" s="56">
        <f t="shared" si="23"/>
        <v>-48408.071740001789</v>
      </c>
      <c r="DL33" s="56">
        <f t="shared" si="23"/>
        <v>-4411.2878437636537</v>
      </c>
      <c r="DM33" s="56">
        <f t="shared" si="23"/>
        <v>-5812.500000000342</v>
      </c>
      <c r="DN33" s="56">
        <f t="shared" si="23"/>
        <v>875</v>
      </c>
      <c r="DO33" s="56">
        <f t="shared" si="8"/>
        <v>-48408.071740001789</v>
      </c>
      <c r="DP33" s="56">
        <f t="shared" si="8"/>
        <v>-4411.2878437636537</v>
      </c>
      <c r="DQ33" s="56">
        <f t="shared" si="8"/>
        <v>-5812.500000000342</v>
      </c>
      <c r="DR33" s="56">
        <f t="shared" si="8"/>
        <v>875</v>
      </c>
      <c r="DS33" s="56">
        <f>SUM(DO$15:DO33)</f>
        <v>51344.344079142204</v>
      </c>
      <c r="DT33" s="56">
        <f>SUM(DP$15:DP33)</f>
        <v>-82522.44331474998</v>
      </c>
      <c r="DU33" s="56">
        <f>SUM(DQ$15:DQ33)</f>
        <v>-50331.250000000102</v>
      </c>
      <c r="DV33" s="56">
        <f>SUM(DR$15:DR33)</f>
        <v>-7584.149999999936</v>
      </c>
      <c r="DZ33" s="130">
        <v>45894.625</v>
      </c>
      <c r="EA33" s="147">
        <f t="shared" si="70"/>
        <v>51344.344079142204</v>
      </c>
      <c r="EB33" s="147">
        <f t="shared" si="24"/>
        <v>-82522.44331474998</v>
      </c>
      <c r="EC33" s="147">
        <f t="shared" si="25"/>
        <v>-7584.149999999936</v>
      </c>
      <c r="ED33" s="147">
        <f t="shared" si="26"/>
        <v>-50331.250000000102</v>
      </c>
    </row>
    <row r="34" spans="1:134" x14ac:dyDescent="0.3">
      <c r="A34" s="134">
        <v>45874.625</v>
      </c>
      <c r="B34" s="73">
        <f t="shared" si="27"/>
        <v>94.45</v>
      </c>
      <c r="C34" s="31">
        <f t="shared" si="28"/>
        <v>123003.19488817779</v>
      </c>
      <c r="D34" s="32">
        <f t="shared" si="29"/>
        <v>-69090</v>
      </c>
      <c r="E34" s="73">
        <f t="shared" si="30"/>
        <v>101.217</v>
      </c>
      <c r="F34" s="31">
        <f t="shared" si="31"/>
        <v>-4032.0000000001528</v>
      </c>
      <c r="G34" s="32">
        <f t="shared" si="32"/>
        <v>-24597.925520000004</v>
      </c>
      <c r="H34" s="73">
        <f t="shared" si="33"/>
        <v>120.52</v>
      </c>
      <c r="I34" s="31">
        <f t="shared" si="34"/>
        <v>-408905.66037736239</v>
      </c>
      <c r="J34" s="32">
        <f t="shared" si="35"/>
        <v>-118834.8</v>
      </c>
      <c r="K34" s="73">
        <f t="shared" si="36"/>
        <v>99.923000000000002</v>
      </c>
      <c r="L34" s="31">
        <f t="shared" si="37"/>
        <v>56137.199999998862</v>
      </c>
      <c r="M34" s="32">
        <f t="shared" si="38"/>
        <v>-54104.995093333324</v>
      </c>
      <c r="N34" s="79">
        <f t="shared" si="17"/>
        <v>612315.785692206</v>
      </c>
      <c r="O34" s="79"/>
      <c r="P34" s="79"/>
      <c r="Q34" s="79">
        <f>$G$5*SUM($O$14:O34)-$H$5*SUM($P$14:P34)</f>
        <v>-576200.5368</v>
      </c>
      <c r="R34" s="79">
        <f t="shared" si="18"/>
        <v>36115.248892206</v>
      </c>
      <c r="S34" s="138"/>
      <c r="U34" s="72">
        <v>45817.625</v>
      </c>
      <c r="V34" s="54">
        <v>93.62</v>
      </c>
      <c r="W34" s="72">
        <v>45813.625</v>
      </c>
      <c r="X34" s="54">
        <v>101.26</v>
      </c>
      <c r="Y34" s="122">
        <v>45819.625</v>
      </c>
      <c r="Z34" s="54">
        <v>121.56</v>
      </c>
      <c r="AA34" s="72">
        <v>45889.625</v>
      </c>
      <c r="AB34" s="54">
        <v>99.653999999999996</v>
      </c>
      <c r="AF34" s="128">
        <v>45894.625</v>
      </c>
      <c r="AG34" s="45">
        <f t="shared" si="39"/>
        <v>80.69</v>
      </c>
      <c r="AH34" s="46">
        <f t="shared" si="40"/>
        <v>74580.484773151271</v>
      </c>
      <c r="AI34" s="46">
        <f t="shared" si="41"/>
        <v>-82250</v>
      </c>
      <c r="AJ34" s="45">
        <f t="shared" si="42"/>
        <v>100.3828125</v>
      </c>
      <c r="AK34" s="46">
        <f t="shared" si="43"/>
        <v>113169.64285714287</v>
      </c>
      <c r="AL34" s="47">
        <f t="shared" si="44"/>
        <v>-3648.9290364583358</v>
      </c>
      <c r="AM34" s="45">
        <f t="shared" si="45"/>
        <v>109.91</v>
      </c>
      <c r="AN34" s="46">
        <f t="shared" si="46"/>
        <v>269507.08572479105</v>
      </c>
      <c r="AO34" s="47">
        <f t="shared" si="47"/>
        <v>-84600</v>
      </c>
      <c r="AP34" s="45">
        <f t="shared" si="48"/>
        <v>100.3828125</v>
      </c>
      <c r="AQ34" s="46">
        <f t="shared" si="49"/>
        <v>98660.71428571429</v>
      </c>
      <c r="AR34" s="47">
        <f t="shared" si="50"/>
        <v>-3181.1176215277737</v>
      </c>
      <c r="AS34" s="45">
        <f t="shared" si="51"/>
        <v>102.9375</v>
      </c>
      <c r="AT34" s="46">
        <f t="shared" si="52"/>
        <v>61941.96428571429</v>
      </c>
      <c r="AU34" s="47">
        <f t="shared" si="53"/>
        <v>1331.8880208333358</v>
      </c>
      <c r="AV34" s="45">
        <f t="shared" si="54"/>
        <v>95.71875</v>
      </c>
      <c r="AW34" s="46">
        <f t="shared" si="55"/>
        <v>70312.5</v>
      </c>
      <c r="AX34" s="47">
        <f t="shared" si="56"/>
        <v>3591.8932291666679</v>
      </c>
      <c r="AY34" s="79">
        <f t="shared" si="57"/>
        <v>-69439.472572423474</v>
      </c>
      <c r="AZ34" s="79"/>
      <c r="BA34" s="79"/>
      <c r="BB34" s="79">
        <f>$AO$4*SUM($AZ$14:AZ34)-$AP$4*SUM($BA$14:BA34)</f>
        <v>20692.591163142919</v>
      </c>
      <c r="BC34" s="79">
        <f t="shared" si="19"/>
        <v>-90132.063735566393</v>
      </c>
      <c r="BE34" s="72">
        <v>45812.625</v>
      </c>
      <c r="BF34" s="54">
        <v>79.48</v>
      </c>
      <c r="BG34" s="72">
        <v>45909.625</v>
      </c>
      <c r="BH34" s="54">
        <v>101.203125</v>
      </c>
      <c r="BI34" s="72">
        <v>45812.625</v>
      </c>
      <c r="BJ34" s="54">
        <v>107.9</v>
      </c>
      <c r="BK34" s="72">
        <v>45909.625</v>
      </c>
      <c r="BL34" s="54">
        <v>101.203125</v>
      </c>
      <c r="BM34" s="72">
        <v>45813.625</v>
      </c>
      <c r="BN34" s="54">
        <v>101.890625</v>
      </c>
      <c r="BO34" s="72">
        <v>45813.625</v>
      </c>
      <c r="BP34" s="54">
        <v>95.90625</v>
      </c>
      <c r="BR34" s="128">
        <f t="shared" si="20"/>
        <v>45894.625</v>
      </c>
      <c r="BS34" s="45">
        <f t="shared" si="21"/>
        <v>107.43819999999999</v>
      </c>
      <c r="BT34" s="46">
        <f t="shared" si="58"/>
        <v>-34975.000000002867</v>
      </c>
      <c r="BU34" s="46">
        <f t="shared" si="59"/>
        <v>97222.222222222234</v>
      </c>
      <c r="BV34" s="45">
        <f t="shared" si="60"/>
        <v>49.68</v>
      </c>
      <c r="BW34" s="46">
        <f t="shared" si="61"/>
        <v>30037.499999999942</v>
      </c>
      <c r="BX34" s="47">
        <f t="shared" si="62"/>
        <v>97222.222222222219</v>
      </c>
      <c r="BY34" s="45">
        <f t="shared" si="63"/>
        <v>-65012.500000002794</v>
      </c>
      <c r="CA34" s="126">
        <v>45814.625</v>
      </c>
      <c r="CB34" s="54">
        <v>106.61709999999999</v>
      </c>
      <c r="CC34" s="126">
        <v>45814.625</v>
      </c>
      <c r="CD34" s="54">
        <v>54.094999999999999</v>
      </c>
      <c r="CF34" s="128">
        <v>45894.625</v>
      </c>
      <c r="CG34" s="45">
        <f t="shared" si="22"/>
        <v>261.90800000000002</v>
      </c>
      <c r="CH34" s="46">
        <f t="shared" si="64"/>
        <v>48667.079999999965</v>
      </c>
      <c r="CI34" s="46">
        <f t="shared" si="65"/>
        <v>81666.666666666672</v>
      </c>
      <c r="CJ34" s="45">
        <f t="shared" si="66"/>
        <v>51.709000000000003</v>
      </c>
      <c r="CK34" s="46">
        <f t="shared" si="67"/>
        <v>46904.129999999721</v>
      </c>
      <c r="CL34" s="47">
        <f t="shared" si="68"/>
        <v>73500</v>
      </c>
      <c r="CM34" s="45">
        <f t="shared" si="69"/>
        <v>9929.6166666669305</v>
      </c>
      <c r="CO34" s="126">
        <v>45817.625</v>
      </c>
      <c r="CP34" s="54">
        <v>288.13</v>
      </c>
      <c r="CQ34" s="126">
        <v>45817.625</v>
      </c>
      <c r="CR34" s="54">
        <v>55.499000000000002</v>
      </c>
      <c r="CS34" s="54"/>
      <c r="CT34" s="54"/>
      <c r="CU34" s="54"/>
      <c r="CV34" s="54"/>
      <c r="CW34" s="54"/>
      <c r="CX34" s="54"/>
      <c r="CY34" s="54"/>
      <c r="DF34" s="137">
        <v>45895.625</v>
      </c>
      <c r="DG34" s="56">
        <f t="shared" si="4"/>
        <v>85173.478757272125</v>
      </c>
      <c r="DH34" s="56">
        <f t="shared" si="5"/>
        <v>-52386.564077559517</v>
      </c>
      <c r="DI34" s="56">
        <f t="shared" si="6"/>
        <v>-51393.750000002765</v>
      </c>
      <c r="DJ34" s="56">
        <f t="shared" si="7"/>
        <v>13932.823333333639</v>
      </c>
      <c r="DK34" s="56">
        <f t="shared" si="23"/>
        <v>25434.806757593527</v>
      </c>
      <c r="DL34" s="56">
        <f t="shared" si="23"/>
        <v>37745.499658006876</v>
      </c>
      <c r="DM34" s="56">
        <f t="shared" si="23"/>
        <v>13618.750000000029</v>
      </c>
      <c r="DN34" s="56">
        <f t="shared" si="23"/>
        <v>4003.2066666667088</v>
      </c>
      <c r="DO34" s="56">
        <f t="shared" si="8"/>
        <v>25434.806757593527</v>
      </c>
      <c r="DP34" s="56">
        <f t="shared" si="8"/>
        <v>37745.499658006876</v>
      </c>
      <c r="DQ34" s="56">
        <f t="shared" si="8"/>
        <v>13618.750000000029</v>
      </c>
      <c r="DR34" s="56">
        <f t="shared" si="8"/>
        <v>4003.2066666667088</v>
      </c>
      <c r="DS34" s="56">
        <f>SUM(DO$15:DO34)</f>
        <v>76779.150836735731</v>
      </c>
      <c r="DT34" s="56">
        <f>SUM(DP$15:DP34)</f>
        <v>-44776.943656743104</v>
      </c>
      <c r="DU34" s="56">
        <f>SUM(DQ$15:DQ34)</f>
        <v>-36712.500000000073</v>
      </c>
      <c r="DV34" s="56">
        <f>SUM(DR$15:DR34)</f>
        <v>-3580.9433333332272</v>
      </c>
      <c r="DZ34" s="130">
        <v>45895.625</v>
      </c>
      <c r="EA34" s="147">
        <f t="shared" si="70"/>
        <v>76779.150836735731</v>
      </c>
      <c r="EB34" s="147">
        <f t="shared" si="24"/>
        <v>-44776.943656743104</v>
      </c>
      <c r="EC34" s="147">
        <f t="shared" si="25"/>
        <v>-3580.9433333332272</v>
      </c>
      <c r="ED34" s="147">
        <f t="shared" si="26"/>
        <v>-36712.500000000073</v>
      </c>
    </row>
    <row r="35" spans="1:134" x14ac:dyDescent="0.3">
      <c r="A35" s="134">
        <v>45875.625</v>
      </c>
      <c r="B35" s="73">
        <f t="shared" si="27"/>
        <v>94.47</v>
      </c>
      <c r="C35" s="31">
        <f t="shared" si="28"/>
        <v>127476.03833865817</v>
      </c>
      <c r="D35" s="32">
        <f t="shared" si="29"/>
        <v>-71557.5</v>
      </c>
      <c r="E35" s="73">
        <f t="shared" si="30"/>
        <v>101.197</v>
      </c>
      <c r="F35" s="31">
        <f t="shared" si="31"/>
        <v>-7391.9999999994843</v>
      </c>
      <c r="G35" s="32">
        <f t="shared" si="32"/>
        <v>-25476.422860000002</v>
      </c>
      <c r="H35" s="73">
        <f t="shared" si="33"/>
        <v>120.41</v>
      </c>
      <c r="I35" s="31">
        <f t="shared" si="34"/>
        <v>-441499.58982773189</v>
      </c>
      <c r="J35" s="32">
        <f t="shared" si="35"/>
        <v>-123078.9</v>
      </c>
      <c r="K35" s="73">
        <f t="shared" si="36"/>
        <v>99.869</v>
      </c>
      <c r="L35" s="31">
        <f t="shared" si="37"/>
        <v>37539.599999998158</v>
      </c>
      <c r="M35" s="32">
        <f t="shared" si="38"/>
        <v>-56037.316346666667</v>
      </c>
      <c r="N35" s="79">
        <f t="shared" si="17"/>
        <v>634867.73467972106</v>
      </c>
      <c r="O35" s="79"/>
      <c r="P35" s="79"/>
      <c r="Q35" s="79">
        <f>$G$5*SUM($O$14:O35)-$H$5*SUM($P$14:P35)</f>
        <v>-576200.5368</v>
      </c>
      <c r="R35" s="79">
        <f t="shared" si="18"/>
        <v>58667.197879721061</v>
      </c>
      <c r="S35" s="138"/>
      <c r="U35" s="72">
        <v>45818.625</v>
      </c>
      <c r="V35" s="54">
        <v>93.67</v>
      </c>
      <c r="W35" s="72">
        <v>45814.625</v>
      </c>
      <c r="X35" s="54">
        <v>101.29900000000001</v>
      </c>
      <c r="Y35" s="122">
        <v>45820.625</v>
      </c>
      <c r="Z35" s="54">
        <v>121.7</v>
      </c>
      <c r="AA35" s="72">
        <v>45890.625</v>
      </c>
      <c r="AB35" s="54">
        <v>99.468999999999994</v>
      </c>
      <c r="AF35" s="128">
        <v>45895.625</v>
      </c>
      <c r="AG35" s="45">
        <f t="shared" si="39"/>
        <v>80.87</v>
      </c>
      <c r="AH35" s="46">
        <f t="shared" si="40"/>
        <v>130515.84835301332</v>
      </c>
      <c r="AI35" s="46">
        <f t="shared" si="41"/>
        <v>-85187.5</v>
      </c>
      <c r="AJ35" s="45">
        <f t="shared" si="42"/>
        <v>100.6015625</v>
      </c>
      <c r="AK35" s="46">
        <f t="shared" si="43"/>
        <v>143638.39285714287</v>
      </c>
      <c r="AL35" s="47">
        <f t="shared" si="44"/>
        <v>-3779.2479306175519</v>
      </c>
      <c r="AM35" s="45">
        <f t="shared" si="45"/>
        <v>109.99</v>
      </c>
      <c r="AN35" s="46">
        <f t="shared" si="46"/>
        <v>288419.86367039371</v>
      </c>
      <c r="AO35" s="47">
        <f t="shared" si="47"/>
        <v>-87621.42857142858</v>
      </c>
      <c r="AP35" s="45">
        <f t="shared" si="48"/>
        <v>100.6015625</v>
      </c>
      <c r="AQ35" s="46">
        <f t="shared" si="49"/>
        <v>125223.2142857143</v>
      </c>
      <c r="AR35" s="47">
        <f t="shared" si="50"/>
        <v>-3294.7289651537649</v>
      </c>
      <c r="AS35" s="45">
        <f t="shared" si="51"/>
        <v>103.171875</v>
      </c>
      <c r="AT35" s="46">
        <f t="shared" si="52"/>
        <v>74497.767857142855</v>
      </c>
      <c r="AU35" s="47">
        <f t="shared" si="53"/>
        <v>1379.4554501488128</v>
      </c>
      <c r="AV35" s="45">
        <f t="shared" si="54"/>
        <v>95.609375</v>
      </c>
      <c r="AW35" s="46">
        <f t="shared" si="55"/>
        <v>62109.375</v>
      </c>
      <c r="AX35" s="47">
        <f t="shared" si="56"/>
        <v>3720.1751302083358</v>
      </c>
      <c r="AY35" s="79">
        <f t="shared" si="57"/>
        <v>-31693.972914416598</v>
      </c>
      <c r="AZ35" s="79"/>
      <c r="BA35" s="79"/>
      <c r="BB35" s="79">
        <f>$AO$4*SUM($AZ$14:AZ35)-$AP$4*SUM($BA$14:BA35)</f>
        <v>20692.591163142919</v>
      </c>
      <c r="BC35" s="79">
        <f t="shared" si="19"/>
        <v>-52386.564077559517</v>
      </c>
      <c r="BE35" s="72">
        <v>45813.625</v>
      </c>
      <c r="BF35" s="54">
        <v>79.31</v>
      </c>
      <c r="BG35" s="72">
        <v>45910.625</v>
      </c>
      <c r="BH35" s="54">
        <v>101.2734375</v>
      </c>
      <c r="BI35" s="72">
        <v>45813.625</v>
      </c>
      <c r="BJ35" s="54">
        <v>107.57</v>
      </c>
      <c r="BK35" s="72">
        <v>45910.625</v>
      </c>
      <c r="BL35" s="54">
        <v>101.2734375</v>
      </c>
      <c r="BM35" s="72">
        <v>45814.625</v>
      </c>
      <c r="BN35" s="54">
        <v>101</v>
      </c>
      <c r="BO35" s="72">
        <v>45814.625</v>
      </c>
      <c r="BP35" s="54">
        <v>94.703125</v>
      </c>
      <c r="BR35" s="128">
        <f t="shared" si="20"/>
        <v>45895.625</v>
      </c>
      <c r="BS35" s="45">
        <f t="shared" si="21"/>
        <v>107.50369999999999</v>
      </c>
      <c r="BT35" s="46">
        <f t="shared" si="58"/>
        <v>-18600.000000002838</v>
      </c>
      <c r="BU35" s="46">
        <f t="shared" si="59"/>
        <v>100694.44444444445</v>
      </c>
      <c r="BV35" s="45">
        <f t="shared" si="60"/>
        <v>49.631</v>
      </c>
      <c r="BW35" s="46">
        <f t="shared" si="61"/>
        <v>32793.749999999913</v>
      </c>
      <c r="BX35" s="47">
        <f t="shared" si="62"/>
        <v>100694.44444444447</v>
      </c>
      <c r="BY35" s="45">
        <f t="shared" si="63"/>
        <v>-51393.750000002765</v>
      </c>
      <c r="CA35" s="126">
        <v>45817.625</v>
      </c>
      <c r="CB35" s="54">
        <v>106.6589</v>
      </c>
      <c r="CC35" s="126">
        <v>45817.625</v>
      </c>
      <c r="CD35" s="54">
        <v>53.728999999999999</v>
      </c>
      <c r="CF35" s="128">
        <v>45895.625</v>
      </c>
      <c r="CG35" s="45">
        <f t="shared" si="22"/>
        <v>267.59399999999999</v>
      </c>
      <c r="CH35" s="46">
        <f t="shared" si="64"/>
        <v>-3871.5599999998412</v>
      </c>
      <c r="CI35" s="46">
        <f t="shared" si="65"/>
        <v>84583.333333333343</v>
      </c>
      <c r="CJ35" s="45">
        <f t="shared" si="66"/>
        <v>53.003</v>
      </c>
      <c r="CK35" s="46">
        <f t="shared" si="67"/>
        <v>-9346.0500000001484</v>
      </c>
      <c r="CL35" s="47">
        <f t="shared" si="68"/>
        <v>76125.000000000015</v>
      </c>
      <c r="CM35" s="45">
        <f t="shared" si="69"/>
        <v>13932.823333333639</v>
      </c>
      <c r="CO35" s="126">
        <v>45818.625</v>
      </c>
      <c r="CP35" s="54">
        <v>288.601</v>
      </c>
      <c r="CQ35" s="126">
        <v>45818.625</v>
      </c>
      <c r="CR35" s="54">
        <v>55.426000000000002</v>
      </c>
      <c r="CS35" s="54"/>
      <c r="CT35" s="54"/>
      <c r="CU35" s="54"/>
      <c r="CV35" s="54"/>
      <c r="CW35" s="54"/>
      <c r="CX35" s="54"/>
      <c r="CY35" s="54"/>
      <c r="DF35" s="137">
        <v>45896.625</v>
      </c>
      <c r="DG35" s="56">
        <f t="shared" si="4"/>
        <v>118314.18966822419</v>
      </c>
      <c r="DH35" s="56">
        <f t="shared" si="5"/>
        <v>-34760.238823513122</v>
      </c>
      <c r="DI35" s="56">
        <f t="shared" si="6"/>
        <v>-54181.25000000227</v>
      </c>
      <c r="DJ35" s="56">
        <f t="shared" si="7"/>
        <v>29940.47000000051</v>
      </c>
      <c r="DK35" s="56">
        <f t="shared" si="23"/>
        <v>33140.710910952068</v>
      </c>
      <c r="DL35" s="56">
        <f t="shared" si="23"/>
        <v>17626.325254046395</v>
      </c>
      <c r="DM35" s="56">
        <f t="shared" si="23"/>
        <v>-2787.4999999995052</v>
      </c>
      <c r="DN35" s="56">
        <f t="shared" si="23"/>
        <v>16007.646666666871</v>
      </c>
      <c r="DO35" s="56">
        <f t="shared" si="8"/>
        <v>33140.710910952068</v>
      </c>
      <c r="DP35" s="56">
        <f t="shared" si="8"/>
        <v>17626.325254046395</v>
      </c>
      <c r="DQ35" s="56">
        <f t="shared" si="8"/>
        <v>-2787.4999999995052</v>
      </c>
      <c r="DR35" s="56">
        <f t="shared" si="8"/>
        <v>16007.646666666871</v>
      </c>
      <c r="DS35" s="56">
        <f>SUM(DO$15:DO35)</f>
        <v>109919.8617476878</v>
      </c>
      <c r="DT35" s="56">
        <f>SUM(DP$15:DP35)</f>
        <v>-27150.618402696709</v>
      </c>
      <c r="DU35" s="56">
        <f>SUM(DQ$15:DQ35)</f>
        <v>-39499.999999999578</v>
      </c>
      <c r="DV35" s="56">
        <f>SUM(DR$15:DR35)</f>
        <v>12426.703333333644</v>
      </c>
      <c r="DZ35" s="130">
        <v>45896.625</v>
      </c>
      <c r="EA35" s="147">
        <f t="shared" si="70"/>
        <v>109919.8617476878</v>
      </c>
      <c r="EB35" s="147">
        <f t="shared" si="24"/>
        <v>-27150.618402696709</v>
      </c>
      <c r="EC35" s="147">
        <f t="shared" si="25"/>
        <v>12426.703333333644</v>
      </c>
      <c r="ED35" s="147">
        <f t="shared" si="26"/>
        <v>-39499.999999999578</v>
      </c>
    </row>
    <row r="36" spans="1:134" x14ac:dyDescent="0.3">
      <c r="A36" s="134">
        <v>45876.625</v>
      </c>
      <c r="B36" s="73">
        <f t="shared" si="27"/>
        <v>94.64</v>
      </c>
      <c r="C36" s="31">
        <f t="shared" si="28"/>
        <v>165495.20766773206</v>
      </c>
      <c r="D36" s="32">
        <f t="shared" si="29"/>
        <v>-74024.999999999985</v>
      </c>
      <c r="E36" s="73">
        <f t="shared" si="30"/>
        <v>101.16500000000001</v>
      </c>
      <c r="F36" s="31">
        <f t="shared" si="31"/>
        <v>-12767.999999998892</v>
      </c>
      <c r="G36" s="32">
        <f t="shared" si="32"/>
        <v>-26354.920199999993</v>
      </c>
      <c r="H36" s="73">
        <f t="shared" si="33"/>
        <v>120.52</v>
      </c>
      <c r="I36" s="31">
        <f t="shared" si="34"/>
        <v>-408905.66037736239</v>
      </c>
      <c r="J36" s="32">
        <f t="shared" si="35"/>
        <v>-127322.99999999999</v>
      </c>
      <c r="K36" s="73">
        <f t="shared" si="36"/>
        <v>99.838999999999999</v>
      </c>
      <c r="L36" s="31">
        <f t="shared" si="37"/>
        <v>27207.599999997768</v>
      </c>
      <c r="M36" s="32">
        <f t="shared" si="38"/>
        <v>-57969.637600000009</v>
      </c>
      <c r="N36" s="79">
        <f t="shared" si="17"/>
        <v>636059.75064509106</v>
      </c>
      <c r="O36" s="79"/>
      <c r="P36" s="79"/>
      <c r="Q36" s="79">
        <f>$G$5*SUM($O$14:O36)-$H$5*SUM($P$14:P36)</f>
        <v>-576200.5368</v>
      </c>
      <c r="R36" s="79">
        <f t="shared" si="18"/>
        <v>59859.213845091057</v>
      </c>
      <c r="S36" s="138"/>
      <c r="U36" s="72">
        <v>45819.625</v>
      </c>
      <c r="V36" s="54">
        <v>93.76</v>
      </c>
      <c r="W36" s="72">
        <v>45817.625</v>
      </c>
      <c r="X36" s="54">
        <v>101.297</v>
      </c>
      <c r="Y36" s="122">
        <v>45821.625</v>
      </c>
      <c r="Z36" s="54">
        <v>121.38</v>
      </c>
      <c r="AA36" s="72">
        <v>45891.625</v>
      </c>
      <c r="AB36" s="54">
        <v>99.596000000000004</v>
      </c>
      <c r="AF36" s="128">
        <v>45896.625</v>
      </c>
      <c r="AG36" s="45">
        <f t="shared" si="39"/>
        <v>80.97</v>
      </c>
      <c r="AH36" s="46">
        <f t="shared" si="40"/>
        <v>161591.05034182497</v>
      </c>
      <c r="AI36" s="46">
        <f t="shared" si="41"/>
        <v>-88124.999999999985</v>
      </c>
      <c r="AJ36" s="45">
        <f t="shared" si="42"/>
        <v>100.765625</v>
      </c>
      <c r="AK36" s="46">
        <f t="shared" si="43"/>
        <v>166489.95535714287</v>
      </c>
      <c r="AL36" s="47">
        <f t="shared" si="44"/>
        <v>-3909.5668247767826</v>
      </c>
      <c r="AM36" s="45">
        <f t="shared" si="45"/>
        <v>110.03</v>
      </c>
      <c r="AN36" s="46">
        <f t="shared" si="46"/>
        <v>297876.25264319219</v>
      </c>
      <c r="AO36" s="47">
        <f t="shared" si="47"/>
        <v>-90642.85714285713</v>
      </c>
      <c r="AP36" s="45">
        <f t="shared" si="48"/>
        <v>100.765625</v>
      </c>
      <c r="AQ36" s="46">
        <f t="shared" si="49"/>
        <v>145145.08928571429</v>
      </c>
      <c r="AR36" s="47">
        <f t="shared" si="50"/>
        <v>-3408.340308779756</v>
      </c>
      <c r="AS36" s="45">
        <f t="shared" si="51"/>
        <v>103.34375</v>
      </c>
      <c r="AT36" s="46">
        <f t="shared" si="52"/>
        <v>83705.357142857145</v>
      </c>
      <c r="AU36" s="47">
        <f t="shared" si="53"/>
        <v>1427.0228794642862</v>
      </c>
      <c r="AV36" s="45">
        <f t="shared" si="54"/>
        <v>95.46875</v>
      </c>
      <c r="AW36" s="46">
        <f t="shared" si="55"/>
        <v>51562.5</v>
      </c>
      <c r="AX36" s="47">
        <f t="shared" si="56"/>
        <v>3848.45703125</v>
      </c>
      <c r="AY36" s="79">
        <f t="shared" si="57"/>
        <v>-14067.647660370203</v>
      </c>
      <c r="AZ36" s="79"/>
      <c r="BA36" s="79"/>
      <c r="BB36" s="79">
        <f>$AO$4*SUM($AZ$14:AZ36)-$AP$4*SUM($BA$14:BA36)</f>
        <v>20692.591163142919</v>
      </c>
      <c r="BC36" s="79">
        <f t="shared" si="19"/>
        <v>-34760.238823513122</v>
      </c>
      <c r="BE36" s="72">
        <v>45814.625</v>
      </c>
      <c r="BF36" s="54">
        <v>79.3</v>
      </c>
      <c r="BG36" s="72">
        <v>45911.625</v>
      </c>
      <c r="BH36" s="54">
        <v>101.2734375</v>
      </c>
      <c r="BI36" s="72">
        <v>45814.625</v>
      </c>
      <c r="BJ36" s="54">
        <v>106.92</v>
      </c>
      <c r="BK36" s="72">
        <v>45911.625</v>
      </c>
      <c r="BL36" s="54">
        <v>101.2734375</v>
      </c>
      <c r="BM36" s="72">
        <v>45817.625</v>
      </c>
      <c r="BN36" s="54">
        <v>101.140625</v>
      </c>
      <c r="BO36" s="72">
        <v>45817.625</v>
      </c>
      <c r="BP36" s="54">
        <v>94.796875</v>
      </c>
      <c r="BR36" s="128">
        <f t="shared" si="20"/>
        <v>45896.625</v>
      </c>
      <c r="BS36" s="45">
        <f t="shared" si="21"/>
        <v>107.3715</v>
      </c>
      <c r="BT36" s="46">
        <f t="shared" si="58"/>
        <v>-51650.00000000219</v>
      </c>
      <c r="BU36" s="46">
        <f t="shared" si="59"/>
        <v>104166.66666666667</v>
      </c>
      <c r="BV36" s="45">
        <f t="shared" si="60"/>
        <v>50.168999999999997</v>
      </c>
      <c r="BW36" s="46">
        <f t="shared" si="61"/>
        <v>2531.250000000096</v>
      </c>
      <c r="BX36" s="47">
        <f t="shared" si="62"/>
        <v>104166.66666666666</v>
      </c>
      <c r="BY36" s="45">
        <f t="shared" si="63"/>
        <v>-54181.25000000227</v>
      </c>
      <c r="CA36" s="126">
        <v>45818.625</v>
      </c>
      <c r="CB36" s="54">
        <v>106.8021</v>
      </c>
      <c r="CC36" s="126">
        <v>45818.625</v>
      </c>
      <c r="CD36" s="54">
        <v>53.005000000000003</v>
      </c>
      <c r="CF36" s="128">
        <v>45896.625</v>
      </c>
      <c r="CG36" s="45">
        <f t="shared" si="22"/>
        <v>274.23899999999998</v>
      </c>
      <c r="CH36" s="46">
        <f t="shared" si="64"/>
        <v>-65271.35999999968</v>
      </c>
      <c r="CI36" s="46">
        <f t="shared" si="65"/>
        <v>87500</v>
      </c>
      <c r="CJ36" s="45">
        <f t="shared" si="66"/>
        <v>54.777000000000001</v>
      </c>
      <c r="CK36" s="46">
        <f t="shared" si="67"/>
        <v>-86461.830000000191</v>
      </c>
      <c r="CL36" s="47">
        <f t="shared" si="68"/>
        <v>78750</v>
      </c>
      <c r="CM36" s="45">
        <f t="shared" si="69"/>
        <v>29940.47000000051</v>
      </c>
      <c r="CO36" s="126">
        <v>45819.625</v>
      </c>
      <c r="CP36" s="54">
        <v>284.75799999999998</v>
      </c>
      <c r="CQ36" s="126">
        <v>45819.625</v>
      </c>
      <c r="CR36" s="54">
        <v>54.582999999999998</v>
      </c>
      <c r="CS36" s="54"/>
      <c r="CT36" s="54"/>
      <c r="CU36" s="54"/>
      <c r="CV36" s="54"/>
      <c r="CW36" s="54"/>
      <c r="CX36" s="54"/>
      <c r="CY36" s="54"/>
      <c r="DF36" s="137">
        <v>45897.625</v>
      </c>
      <c r="DG36" s="56">
        <f t="shared" si="4"/>
        <v>91989.905052010901</v>
      </c>
      <c r="DH36" s="56">
        <f t="shared" si="5"/>
        <v>-5295.7810672111409</v>
      </c>
      <c r="DI36" s="56">
        <f t="shared" si="6"/>
        <v>-53037.500000003376</v>
      </c>
      <c r="DJ36" s="56">
        <f t="shared" si="7"/>
        <v>117141.47666666674</v>
      </c>
      <c r="DK36" s="56">
        <f t="shared" si="23"/>
        <v>-26324.284616213292</v>
      </c>
      <c r="DL36" s="56">
        <f t="shared" si="23"/>
        <v>29464.457756301981</v>
      </c>
      <c r="DM36" s="56">
        <f t="shared" si="23"/>
        <v>1143.7499999988941</v>
      </c>
      <c r="DN36" s="56">
        <f t="shared" si="23"/>
        <v>87201.006666666231</v>
      </c>
      <c r="DO36" s="56">
        <f t="shared" si="8"/>
        <v>-26324.284616213292</v>
      </c>
      <c r="DP36" s="56">
        <f t="shared" si="8"/>
        <v>29464.457756301981</v>
      </c>
      <c r="DQ36" s="56">
        <f t="shared" si="8"/>
        <v>1143.7499999988941</v>
      </c>
      <c r="DR36" s="56">
        <f t="shared" si="8"/>
        <v>87201.006666666231</v>
      </c>
      <c r="DS36" s="56">
        <f>SUM(DO$15:DO36)</f>
        <v>83595.577131474507</v>
      </c>
      <c r="DT36" s="56">
        <f>SUM(DP$15:DP36)</f>
        <v>2313.8393536052718</v>
      </c>
      <c r="DU36" s="56">
        <f>SUM(DQ$15:DQ36)</f>
        <v>-38356.250000000684</v>
      </c>
      <c r="DV36" s="56">
        <f>SUM(DR$15:DR36)</f>
        <v>99627.709999999875</v>
      </c>
      <c r="DZ36" s="130">
        <v>45897.625</v>
      </c>
      <c r="EA36" s="147">
        <f t="shared" si="70"/>
        <v>83595.577131474507</v>
      </c>
      <c r="EB36" s="147">
        <f t="shared" si="24"/>
        <v>2313.8393536052718</v>
      </c>
      <c r="EC36" s="147">
        <f t="shared" si="25"/>
        <v>99627.709999999875</v>
      </c>
      <c r="ED36" s="147">
        <f t="shared" si="26"/>
        <v>-38356.250000000684</v>
      </c>
    </row>
    <row r="37" spans="1:134" x14ac:dyDescent="0.3">
      <c r="A37" s="134">
        <v>45877.625</v>
      </c>
      <c r="B37" s="73">
        <f t="shared" si="27"/>
        <v>94.67</v>
      </c>
      <c r="C37" s="31">
        <f t="shared" si="28"/>
        <v>172204.47284344796</v>
      </c>
      <c r="D37" s="32">
        <f t="shared" si="29"/>
        <v>-76492.5</v>
      </c>
      <c r="E37" s="73">
        <f t="shared" si="30"/>
        <v>101.039</v>
      </c>
      <c r="F37" s="31">
        <f t="shared" si="31"/>
        <v>-33935.999999999694</v>
      </c>
      <c r="G37" s="32">
        <f t="shared" si="32"/>
        <v>-27233.417539999995</v>
      </c>
      <c r="H37" s="73">
        <f t="shared" si="33"/>
        <v>120.29</v>
      </c>
      <c r="I37" s="31">
        <f t="shared" si="34"/>
        <v>-477056.60377358482</v>
      </c>
      <c r="J37" s="32">
        <f t="shared" si="35"/>
        <v>-131567.1</v>
      </c>
      <c r="K37" s="73">
        <f t="shared" si="36"/>
        <v>99.611000000000004</v>
      </c>
      <c r="L37" s="31">
        <f t="shared" si="37"/>
        <v>-51315.600000000311</v>
      </c>
      <c r="M37" s="32">
        <f t="shared" si="38"/>
        <v>-59901.958853333359</v>
      </c>
      <c r="N37" s="79">
        <f t="shared" si="17"/>
        <v>654287.53530369874</v>
      </c>
      <c r="O37" s="79"/>
      <c r="P37" s="79"/>
      <c r="Q37" s="79">
        <f>$G$5*SUM($O$14:O37)-$H$5*SUM($P$14:P37)</f>
        <v>-576200.5368</v>
      </c>
      <c r="R37" s="79">
        <f t="shared" si="18"/>
        <v>78086.998503698735</v>
      </c>
      <c r="S37" s="138"/>
      <c r="U37" s="72">
        <v>45820.625</v>
      </c>
      <c r="V37" s="54">
        <v>93.76</v>
      </c>
      <c r="W37" s="72">
        <v>45818.625</v>
      </c>
      <c r="X37" s="54">
        <v>101.38500000000001</v>
      </c>
      <c r="Y37" s="122">
        <v>45825.625</v>
      </c>
      <c r="Z37" s="54">
        <v>121.5</v>
      </c>
      <c r="AA37" s="72">
        <v>45894.625</v>
      </c>
      <c r="AB37" s="54">
        <v>99.394999999999996</v>
      </c>
      <c r="AF37" s="128">
        <v>45897.625</v>
      </c>
      <c r="AG37" s="45">
        <f t="shared" si="39"/>
        <v>81.010000000000005</v>
      </c>
      <c r="AH37" s="46">
        <f t="shared" si="40"/>
        <v>174021.13113735296</v>
      </c>
      <c r="AI37" s="46">
        <f t="shared" si="41"/>
        <v>-91062.5</v>
      </c>
      <c r="AJ37" s="45">
        <f t="shared" si="42"/>
        <v>100.8203125</v>
      </c>
      <c r="AK37" s="46">
        <f t="shared" si="43"/>
        <v>174107.14285714287</v>
      </c>
      <c r="AL37" s="47">
        <f t="shared" si="44"/>
        <v>-4039.885718936006</v>
      </c>
      <c r="AM37" s="45">
        <f t="shared" si="45"/>
        <v>110.2</v>
      </c>
      <c r="AN37" s="46">
        <f t="shared" si="46"/>
        <v>338065.90577759431</v>
      </c>
      <c r="AO37" s="47">
        <f t="shared" si="47"/>
        <v>-93664.285714285725</v>
      </c>
      <c r="AP37" s="45">
        <f t="shared" si="48"/>
        <v>100.8203125</v>
      </c>
      <c r="AQ37" s="46">
        <f t="shared" si="49"/>
        <v>151785.71428571429</v>
      </c>
      <c r="AR37" s="47">
        <f t="shared" si="50"/>
        <v>-3521.9516524057472</v>
      </c>
      <c r="AS37" s="45">
        <f t="shared" si="51"/>
        <v>103.59375</v>
      </c>
      <c r="AT37" s="46">
        <f t="shared" si="52"/>
        <v>97098.214285714275</v>
      </c>
      <c r="AU37" s="47">
        <f t="shared" si="53"/>
        <v>1474.5903087797597</v>
      </c>
      <c r="AV37" s="45">
        <f t="shared" si="54"/>
        <v>96.0625</v>
      </c>
      <c r="AW37" s="46">
        <f t="shared" si="55"/>
        <v>96093.75</v>
      </c>
      <c r="AX37" s="47">
        <f t="shared" si="56"/>
        <v>3976.7389322916679</v>
      </c>
      <c r="AY37" s="79">
        <f t="shared" si="57"/>
        <v>15396.810095931778</v>
      </c>
      <c r="AZ37" s="79"/>
      <c r="BA37" s="79"/>
      <c r="BB37" s="79">
        <f>$AO$4*SUM($AZ$14:AZ37)-$AP$4*SUM($BA$14:BA37)</f>
        <v>20692.591163142919</v>
      </c>
      <c r="BC37" s="79">
        <f t="shared" si="19"/>
        <v>-5295.7810672111409</v>
      </c>
      <c r="BE37" s="72">
        <v>45817.625</v>
      </c>
      <c r="BF37" s="54">
        <v>79.34</v>
      </c>
      <c r="BG37" s="72">
        <v>45912.625</v>
      </c>
      <c r="BH37" s="54">
        <v>101.1015625</v>
      </c>
      <c r="BI37" s="72">
        <v>45817.625</v>
      </c>
      <c r="BJ37" s="54">
        <v>107.24</v>
      </c>
      <c r="BK37" s="72">
        <v>45912.625</v>
      </c>
      <c r="BL37" s="54">
        <v>101.1015625</v>
      </c>
      <c r="BM37" s="72">
        <v>45818.625</v>
      </c>
      <c r="BN37" s="54">
        <v>101.3125</v>
      </c>
      <c r="BO37" s="72">
        <v>45818.625</v>
      </c>
      <c r="BP37" s="54">
        <v>95.234375</v>
      </c>
      <c r="BR37" s="128">
        <f t="shared" si="20"/>
        <v>45897.625</v>
      </c>
      <c r="BS37" s="45">
        <f t="shared" si="21"/>
        <v>107.40689999999999</v>
      </c>
      <c r="BT37" s="46">
        <f t="shared" si="58"/>
        <v>-42800.000000003281</v>
      </c>
      <c r="BU37" s="46">
        <f t="shared" si="59"/>
        <v>107638.88888888891</v>
      </c>
      <c r="BV37" s="45">
        <f t="shared" si="60"/>
        <v>50.031999999999996</v>
      </c>
      <c r="BW37" s="46">
        <f t="shared" si="61"/>
        <v>10237.500000000122</v>
      </c>
      <c r="BX37" s="47">
        <f t="shared" si="62"/>
        <v>107638.88888888888</v>
      </c>
      <c r="BY37" s="45">
        <f t="shared" si="63"/>
        <v>-53037.500000003376</v>
      </c>
      <c r="CA37" s="126">
        <v>45819.625</v>
      </c>
      <c r="CB37" s="54">
        <v>106.7745</v>
      </c>
      <c r="CC37" s="126">
        <v>45819.625</v>
      </c>
      <c r="CD37" s="54">
        <v>53.15</v>
      </c>
      <c r="CF37" s="128">
        <v>45897.625</v>
      </c>
      <c r="CG37" s="45">
        <f t="shared" si="22"/>
        <v>264.39100000000002</v>
      </c>
      <c r="CH37" s="46">
        <f t="shared" si="64"/>
        <v>25724.159999999927</v>
      </c>
      <c r="CI37" s="46">
        <f t="shared" si="65"/>
        <v>90416.666666666672</v>
      </c>
      <c r="CJ37" s="45">
        <f t="shared" si="66"/>
        <v>54.683</v>
      </c>
      <c r="CK37" s="46">
        <f t="shared" si="67"/>
        <v>-82375.65000000014</v>
      </c>
      <c r="CL37" s="47">
        <f t="shared" si="68"/>
        <v>81375</v>
      </c>
      <c r="CM37" s="45">
        <f t="shared" si="69"/>
        <v>117141.47666666674</v>
      </c>
      <c r="CO37" s="126">
        <v>45820.625</v>
      </c>
      <c r="CP37" s="54">
        <v>289.94499999999999</v>
      </c>
      <c r="CQ37" s="126">
        <v>45820.625</v>
      </c>
      <c r="CR37" s="54">
        <v>55.628</v>
      </c>
      <c r="CS37" s="54"/>
      <c r="CT37" s="54"/>
      <c r="CU37" s="54"/>
      <c r="CV37" s="54"/>
      <c r="CW37" s="54"/>
      <c r="CX37" s="54"/>
      <c r="CY37" s="54"/>
      <c r="DF37" s="137">
        <v>45898.625</v>
      </c>
      <c r="DG37" s="56">
        <f t="shared" si="4"/>
        <v>103340.73462514067</v>
      </c>
      <c r="DH37" s="56">
        <f t="shared" si="5"/>
        <v>-23535.50059971217</v>
      </c>
      <c r="DI37" s="56">
        <f t="shared" si="6"/>
        <v>-53081.250000002627</v>
      </c>
      <c r="DJ37" s="56">
        <f t="shared" si="7"/>
        <v>119408.82333333394</v>
      </c>
      <c r="DK37" s="56">
        <f t="shared" si="23"/>
        <v>11350.829573129769</v>
      </c>
      <c r="DL37" s="56">
        <f t="shared" si="23"/>
        <v>-18239.719532501029</v>
      </c>
      <c r="DM37" s="56">
        <f t="shared" si="23"/>
        <v>-43.749999999250576</v>
      </c>
      <c r="DN37" s="56">
        <f t="shared" si="23"/>
        <v>2267.346666667203</v>
      </c>
      <c r="DO37" s="56">
        <f t="shared" si="8"/>
        <v>11350.829573129769</v>
      </c>
      <c r="DP37" s="56">
        <f t="shared" si="8"/>
        <v>-18239.719532501029</v>
      </c>
      <c r="DQ37" s="56">
        <f t="shared" si="8"/>
        <v>-43.749999999250576</v>
      </c>
      <c r="DR37" s="56">
        <f t="shared" si="8"/>
        <v>2267.346666667203</v>
      </c>
      <c r="DS37" s="56">
        <f>SUM(DO$15:DO37)</f>
        <v>94946.406704604276</v>
      </c>
      <c r="DT37" s="56">
        <f>SUM(DP$15:DP37)</f>
        <v>-15925.880178895757</v>
      </c>
      <c r="DU37" s="56">
        <f>SUM(DQ$15:DQ37)</f>
        <v>-38399.999999999935</v>
      </c>
      <c r="DV37" s="56">
        <f>SUM(DR$15:DR37)</f>
        <v>101895.05666666708</v>
      </c>
      <c r="DZ37" s="130">
        <v>45898.625</v>
      </c>
      <c r="EA37" s="147">
        <f t="shared" si="70"/>
        <v>94946.406704604276</v>
      </c>
      <c r="EB37" s="147">
        <f t="shared" si="24"/>
        <v>-15925.880178895757</v>
      </c>
      <c r="EC37" s="147">
        <f t="shared" si="25"/>
        <v>101895.05666666708</v>
      </c>
      <c r="ED37" s="147">
        <f t="shared" si="26"/>
        <v>-38399.999999999935</v>
      </c>
    </row>
    <row r="38" spans="1:134" x14ac:dyDescent="0.3">
      <c r="A38" s="134">
        <v>45880.625</v>
      </c>
      <c r="B38" s="73">
        <f t="shared" si="27"/>
        <v>94.66</v>
      </c>
      <c r="C38" s="31">
        <f t="shared" si="28"/>
        <v>169968.05111820778</v>
      </c>
      <c r="D38" s="32">
        <f t="shared" si="29"/>
        <v>-83894.999999999985</v>
      </c>
      <c r="E38" s="73">
        <f t="shared" si="30"/>
        <v>101.004</v>
      </c>
      <c r="F38" s="31">
        <f t="shared" si="31"/>
        <v>-39815.99999999912</v>
      </c>
      <c r="G38" s="32">
        <f t="shared" si="32"/>
        <v>-29868.909559999986</v>
      </c>
      <c r="H38" s="73">
        <f t="shared" si="33"/>
        <v>120.27</v>
      </c>
      <c r="I38" s="31">
        <f t="shared" si="34"/>
        <v>-482982.77276456362</v>
      </c>
      <c r="J38" s="32">
        <f t="shared" si="35"/>
        <v>-144299.39999999997</v>
      </c>
      <c r="K38" s="73">
        <f t="shared" si="36"/>
        <v>99.561999999999998</v>
      </c>
      <c r="L38" s="31">
        <f t="shared" si="37"/>
        <v>-68191.200000002587</v>
      </c>
      <c r="M38" s="32">
        <f t="shared" si="38"/>
        <v>-65698.922613333314</v>
      </c>
      <c r="N38" s="79">
        <f t="shared" si="17"/>
        <v>649150.0108294345</v>
      </c>
      <c r="O38" s="79"/>
      <c r="P38" s="79"/>
      <c r="Q38" s="79">
        <f>$G$5*SUM($O$14:O38)-$H$5*SUM($P$14:P38)</f>
        <v>-576200.5368</v>
      </c>
      <c r="R38" s="79">
        <f t="shared" si="18"/>
        <v>72949.474029434496</v>
      </c>
      <c r="S38" s="138"/>
      <c r="U38" s="72">
        <v>45821.625</v>
      </c>
      <c r="V38" s="54">
        <v>93.42</v>
      </c>
      <c r="W38" s="72">
        <v>45819.625</v>
      </c>
      <c r="X38" s="54">
        <v>101.398</v>
      </c>
      <c r="Y38" s="122">
        <v>45826.625</v>
      </c>
      <c r="Z38" s="54">
        <v>121.52</v>
      </c>
      <c r="AA38" s="72">
        <v>45895.625</v>
      </c>
      <c r="AB38" s="54">
        <v>99.643000000000001</v>
      </c>
      <c r="AF38" s="128">
        <v>45898.625</v>
      </c>
      <c r="AG38" s="45">
        <f t="shared" si="39"/>
        <v>80.86</v>
      </c>
      <c r="AH38" s="46">
        <f t="shared" si="40"/>
        <v>127408.32815413272</v>
      </c>
      <c r="AI38" s="46">
        <f t="shared" si="41"/>
        <v>-94000</v>
      </c>
      <c r="AJ38" s="45">
        <f t="shared" si="42"/>
        <v>100.8359375</v>
      </c>
      <c r="AK38" s="46">
        <f t="shared" si="43"/>
        <v>176283.48214285716</v>
      </c>
      <c r="AL38" s="47">
        <f t="shared" si="44"/>
        <v>-4170.2046130952367</v>
      </c>
      <c r="AM38" s="45">
        <f t="shared" si="45"/>
        <v>109.83</v>
      </c>
      <c r="AN38" s="46">
        <f t="shared" si="46"/>
        <v>250594.30777919406</v>
      </c>
      <c r="AO38" s="47">
        <f t="shared" si="47"/>
        <v>-96685.71428571429</v>
      </c>
      <c r="AP38" s="45">
        <f t="shared" si="48"/>
        <v>100.8359375</v>
      </c>
      <c r="AQ38" s="46">
        <f t="shared" si="49"/>
        <v>153683.03571428574</v>
      </c>
      <c r="AR38" s="47">
        <f t="shared" si="50"/>
        <v>-3635.5629960317383</v>
      </c>
      <c r="AS38" s="45">
        <f t="shared" si="51"/>
        <v>103.453125</v>
      </c>
      <c r="AT38" s="46">
        <f t="shared" si="52"/>
        <v>89564.732142857145</v>
      </c>
      <c r="AU38" s="47">
        <f t="shared" si="53"/>
        <v>1522.1577380952403</v>
      </c>
      <c r="AV38" s="45">
        <f t="shared" si="54"/>
        <v>95.375</v>
      </c>
      <c r="AW38" s="46">
        <f t="shared" si="55"/>
        <v>44531.25</v>
      </c>
      <c r="AX38" s="47">
        <f t="shared" si="56"/>
        <v>4105.0208333333358</v>
      </c>
      <c r="AY38" s="79">
        <f t="shared" si="57"/>
        <v>-2842.9094365692508</v>
      </c>
      <c r="AZ38" s="79"/>
      <c r="BA38" s="79"/>
      <c r="BB38" s="79">
        <f>$AO$4*SUM($AZ$14:AZ38)-$AP$4*SUM($BA$14:BA38)</f>
        <v>20692.591163142919</v>
      </c>
      <c r="BC38" s="79">
        <f t="shared" si="19"/>
        <v>-23535.50059971217</v>
      </c>
      <c r="BE38" s="72">
        <v>45818.625</v>
      </c>
      <c r="BF38" s="54">
        <v>79.53</v>
      </c>
      <c r="BG38" s="72">
        <v>45915.625</v>
      </c>
      <c r="BH38" s="54">
        <v>101.1953125</v>
      </c>
      <c r="BI38" s="72">
        <v>45818.625</v>
      </c>
      <c r="BJ38" s="54">
        <v>107.5</v>
      </c>
      <c r="BK38" s="72">
        <v>45915.625</v>
      </c>
      <c r="BL38" s="54">
        <v>101.1953125</v>
      </c>
      <c r="BM38" s="72">
        <v>45819.625</v>
      </c>
      <c r="BN38" s="54">
        <v>101.71875</v>
      </c>
      <c r="BO38" s="72">
        <v>45819.625</v>
      </c>
      <c r="BP38" s="54">
        <v>95.46875</v>
      </c>
      <c r="BR38" s="128">
        <f t="shared" si="20"/>
        <v>45898.625</v>
      </c>
      <c r="BS38" s="45">
        <f t="shared" si="21"/>
        <v>107.20489999999999</v>
      </c>
      <c r="BT38" s="46">
        <f t="shared" si="58"/>
        <v>-93300.000000002823</v>
      </c>
      <c r="BU38" s="46">
        <f t="shared" si="59"/>
        <v>111111.11111111112</v>
      </c>
      <c r="BV38" s="45">
        <f t="shared" si="60"/>
        <v>50.929000000000002</v>
      </c>
      <c r="BW38" s="46">
        <f t="shared" si="61"/>
        <v>-40218.750000000196</v>
      </c>
      <c r="BX38" s="47">
        <f t="shared" si="62"/>
        <v>111111.11111111112</v>
      </c>
      <c r="BY38" s="45">
        <f t="shared" si="63"/>
        <v>-53081.250000002627</v>
      </c>
      <c r="CA38" s="126">
        <v>45820.625</v>
      </c>
      <c r="CB38" s="54">
        <v>106.71720000000001</v>
      </c>
      <c r="CC38" s="126">
        <v>45820.625</v>
      </c>
      <c r="CD38" s="54">
        <v>53.576999999999998</v>
      </c>
      <c r="CF38" s="128">
        <v>45898.625</v>
      </c>
      <c r="CG38" s="45">
        <f t="shared" si="22"/>
        <v>267.71499999999997</v>
      </c>
      <c r="CH38" s="46">
        <f t="shared" si="64"/>
        <v>-4989.5999999996639</v>
      </c>
      <c r="CI38" s="46">
        <f t="shared" si="65"/>
        <v>93333.333333333343</v>
      </c>
      <c r="CJ38" s="45">
        <f t="shared" si="66"/>
        <v>55.435000000000002</v>
      </c>
      <c r="CK38" s="46">
        <f t="shared" si="67"/>
        <v>-115065.09000000024</v>
      </c>
      <c r="CL38" s="47">
        <f t="shared" si="68"/>
        <v>84000</v>
      </c>
      <c r="CM38" s="45">
        <f t="shared" si="69"/>
        <v>119408.82333333394</v>
      </c>
      <c r="CO38" s="126">
        <v>45821.625</v>
      </c>
      <c r="CP38" s="54">
        <v>299.64600000000002</v>
      </c>
      <c r="CQ38" s="126">
        <v>45821.625</v>
      </c>
      <c r="CR38" s="54">
        <v>57.968000000000004</v>
      </c>
      <c r="CS38" s="54"/>
      <c r="CT38" s="54"/>
      <c r="CU38" s="54"/>
      <c r="CV38" s="54"/>
      <c r="CW38" s="54"/>
      <c r="CX38" s="54"/>
      <c r="CY38" s="54"/>
      <c r="DF38" s="137">
        <v>45901.625</v>
      </c>
      <c r="DG38" s="56">
        <f t="shared" si="4"/>
        <v>101941.24341650866</v>
      </c>
      <c r="DH38" s="56">
        <f t="shared" si="5"/>
        <v>-31690.419242755361</v>
      </c>
      <c r="DI38" s="56">
        <f t="shared" si="6"/>
        <v>-53081.250000002619</v>
      </c>
      <c r="DJ38" s="56">
        <f t="shared" si="7"/>
        <v>119576.96333333373</v>
      </c>
      <c r="DK38" s="56">
        <f t="shared" si="23"/>
        <v>-1399.491208632011</v>
      </c>
      <c r="DL38" s="56">
        <f t="shared" si="23"/>
        <v>-8154.918643043191</v>
      </c>
      <c r="DM38" s="56">
        <f t="shared" si="23"/>
        <v>0</v>
      </c>
      <c r="DN38" s="56">
        <f t="shared" si="23"/>
        <v>168.13999999978114</v>
      </c>
      <c r="DO38" s="56">
        <f t="shared" si="8"/>
        <v>-1399.491208632011</v>
      </c>
      <c r="DP38" s="56">
        <f t="shared" si="8"/>
        <v>-8154.918643043191</v>
      </c>
      <c r="DQ38" s="56">
        <f t="shared" si="8"/>
        <v>0</v>
      </c>
      <c r="DR38" s="56">
        <f t="shared" si="8"/>
        <v>168.13999999978114</v>
      </c>
      <c r="DS38" s="56">
        <f>SUM(DO$15:DO38)</f>
        <v>93546.915495972265</v>
      </c>
      <c r="DT38" s="56">
        <f>SUM(DP$15:DP38)</f>
        <v>-24080.798821938948</v>
      </c>
      <c r="DU38" s="56">
        <f>SUM(DQ$15:DQ38)</f>
        <v>-38399.999999999935</v>
      </c>
      <c r="DV38" s="56">
        <f>SUM(DR$15:DR38)</f>
        <v>102063.19666666686</v>
      </c>
      <c r="DZ38" s="130">
        <v>45901.625</v>
      </c>
      <c r="EA38" s="147">
        <f t="shared" si="70"/>
        <v>93546.915495972265</v>
      </c>
      <c r="EB38" s="147">
        <f t="shared" si="24"/>
        <v>-24080.798821938948</v>
      </c>
      <c r="EC38" s="147">
        <f t="shared" si="25"/>
        <v>102063.19666666686</v>
      </c>
      <c r="ED38" s="147">
        <f t="shared" si="26"/>
        <v>-38399.999999999935</v>
      </c>
    </row>
    <row r="39" spans="1:134" x14ac:dyDescent="0.3">
      <c r="A39" s="134">
        <v>45881.625</v>
      </c>
      <c r="B39" s="73">
        <f t="shared" si="27"/>
        <v>94.75</v>
      </c>
      <c r="C39" s="31">
        <f t="shared" si="28"/>
        <v>190095.84664536483</v>
      </c>
      <c r="D39" s="32">
        <f t="shared" si="29"/>
        <v>-86362.5</v>
      </c>
      <c r="E39" s="73">
        <f t="shared" si="30"/>
        <v>100.947</v>
      </c>
      <c r="F39" s="31">
        <f t="shared" si="31"/>
        <v>-49391.999999999483</v>
      </c>
      <c r="G39" s="32">
        <f t="shared" si="32"/>
        <v>-30747.406900000002</v>
      </c>
      <c r="H39" s="73">
        <f t="shared" si="33"/>
        <v>120.15</v>
      </c>
      <c r="I39" s="31">
        <f t="shared" si="34"/>
        <v>-518539.78671041649</v>
      </c>
      <c r="J39" s="32">
        <f t="shared" si="35"/>
        <v>-148543.5</v>
      </c>
      <c r="K39" s="73">
        <f t="shared" si="36"/>
        <v>99.405000000000001</v>
      </c>
      <c r="L39" s="31">
        <f t="shared" si="37"/>
        <v>-122262.00000000137</v>
      </c>
      <c r="M39" s="32">
        <f t="shared" si="38"/>
        <v>-67631.243866666671</v>
      </c>
      <c r="N39" s="79">
        <f t="shared" si="17"/>
        <v>661062.79638911271</v>
      </c>
      <c r="O39" s="79"/>
      <c r="P39" s="79"/>
      <c r="Q39" s="79">
        <f>$G$5*SUM($O$14:O39)-$H$5*SUM($P$14:P39)</f>
        <v>-576200.5368</v>
      </c>
      <c r="R39" s="79">
        <f t="shared" si="18"/>
        <v>84862.259589112713</v>
      </c>
      <c r="S39" s="138"/>
      <c r="U39" s="72">
        <v>45824.625</v>
      </c>
      <c r="V39" s="54">
        <v>93.76</v>
      </c>
      <c r="W39" s="72">
        <v>45820.625</v>
      </c>
      <c r="X39" s="54">
        <v>101.509</v>
      </c>
      <c r="Y39" s="122">
        <v>45827.625</v>
      </c>
      <c r="Z39" s="54">
        <v>121.37</v>
      </c>
      <c r="AA39" s="72">
        <v>45896.625</v>
      </c>
      <c r="AB39" s="54">
        <v>99.801000000000002</v>
      </c>
      <c r="AF39" s="128">
        <v>45901.625</v>
      </c>
      <c r="AG39" s="45">
        <f t="shared" si="39"/>
        <v>80.86</v>
      </c>
      <c r="AH39" s="46">
        <f t="shared" si="40"/>
        <v>127408.32815413272</v>
      </c>
      <c r="AI39" s="46">
        <f t="shared" si="41"/>
        <v>-102812.49999999999</v>
      </c>
      <c r="AJ39" s="45">
        <f t="shared" si="42"/>
        <v>100.8046875</v>
      </c>
      <c r="AK39" s="46">
        <f t="shared" si="43"/>
        <v>171930.80357142858</v>
      </c>
      <c r="AL39" s="47">
        <f t="shared" si="44"/>
        <v>-4561.1612955729142</v>
      </c>
      <c r="AM39" s="45">
        <f t="shared" si="45"/>
        <v>109.83</v>
      </c>
      <c r="AN39" s="46">
        <f t="shared" si="46"/>
        <v>250594.30777919406</v>
      </c>
      <c r="AO39" s="47">
        <f t="shared" si="47"/>
        <v>-105750.00000000001</v>
      </c>
      <c r="AP39" s="45">
        <f t="shared" si="48"/>
        <v>100.8046875</v>
      </c>
      <c r="AQ39" s="46">
        <f t="shared" si="49"/>
        <v>149888.39285714287</v>
      </c>
      <c r="AR39" s="47">
        <f t="shared" si="50"/>
        <v>-3976.3970269097263</v>
      </c>
      <c r="AS39" s="45">
        <f t="shared" si="51"/>
        <v>103.40625</v>
      </c>
      <c r="AT39" s="46">
        <f t="shared" si="52"/>
        <v>87053.571428571435</v>
      </c>
      <c r="AU39" s="47">
        <f t="shared" si="53"/>
        <v>1664.8600260416679</v>
      </c>
      <c r="AV39" s="45">
        <f t="shared" si="54"/>
        <v>95.28125</v>
      </c>
      <c r="AW39" s="46">
        <f t="shared" si="55"/>
        <v>37500</v>
      </c>
      <c r="AX39" s="47">
        <f t="shared" si="56"/>
        <v>4489.8665364583321</v>
      </c>
      <c r="AY39" s="79">
        <f>AH39+AI39-AK39-AL39-AN39-AO39+AQ39+AR39+AT39+AU39+AW39+AX39</f>
        <v>-10997.828079612442</v>
      </c>
      <c r="AZ39" s="79"/>
      <c r="BA39" s="79"/>
      <c r="BB39" s="79">
        <f>$AO$4*SUM($AZ$14:AZ39)-$AP$4*SUM($BA$14:BA39)</f>
        <v>20692.591163142919</v>
      </c>
      <c r="BC39" s="79">
        <f t="shared" si="19"/>
        <v>-31690.419242755361</v>
      </c>
      <c r="BE39" s="72">
        <v>45819.625</v>
      </c>
      <c r="BF39" s="54">
        <v>79.510000000000005</v>
      </c>
      <c r="BG39" s="72">
        <v>45916.625</v>
      </c>
      <c r="BH39" s="54">
        <v>101.2578125</v>
      </c>
      <c r="BI39" s="72">
        <v>45819.625</v>
      </c>
      <c r="BJ39" s="54">
        <v>107.84</v>
      </c>
      <c r="BK39" s="72">
        <v>45916.625</v>
      </c>
      <c r="BL39" s="54">
        <v>101.2578125</v>
      </c>
      <c r="BM39" s="72">
        <v>45820.625</v>
      </c>
      <c r="BN39" s="54">
        <v>102.203125</v>
      </c>
      <c r="BO39" s="72">
        <v>45820.625</v>
      </c>
      <c r="BP39" s="54">
        <v>96.578125</v>
      </c>
      <c r="BR39" s="128">
        <f t="shared" si="20"/>
        <v>45901.625</v>
      </c>
      <c r="BS39" s="45">
        <f t="shared" si="21"/>
        <v>107.20489999999999</v>
      </c>
      <c r="BT39" s="46">
        <f t="shared" si="58"/>
        <v>-93300.000000002823</v>
      </c>
      <c r="BU39" s="46">
        <f t="shared" si="59"/>
        <v>121527.77777777778</v>
      </c>
      <c r="BV39" s="45">
        <f t="shared" si="60"/>
        <v>50.929000000000002</v>
      </c>
      <c r="BW39" s="46">
        <f t="shared" si="61"/>
        <v>-40218.750000000196</v>
      </c>
      <c r="BX39" s="47">
        <f t="shared" si="62"/>
        <v>121527.77777777778</v>
      </c>
      <c r="BY39" s="45">
        <f t="shared" si="63"/>
        <v>-53081.250000002619</v>
      </c>
      <c r="CA39" s="126">
        <v>45821.625</v>
      </c>
      <c r="CB39" s="54">
        <v>106.2491</v>
      </c>
      <c r="CC39" s="126">
        <v>45821.625</v>
      </c>
      <c r="CD39" s="54">
        <v>56.162999999999997</v>
      </c>
      <c r="CF39" s="128">
        <v>45901.625</v>
      </c>
      <c r="CG39" s="45">
        <f t="shared" si="22"/>
        <v>268.10199999999998</v>
      </c>
      <c r="CH39" s="46">
        <f t="shared" si="64"/>
        <v>-8565.4799999996685</v>
      </c>
      <c r="CI39" s="46">
        <f t="shared" si="65"/>
        <v>102083.33333333334</v>
      </c>
      <c r="CJ39" s="45">
        <f t="shared" si="66"/>
        <v>55.500999999999998</v>
      </c>
      <c r="CK39" s="46">
        <f t="shared" si="67"/>
        <v>-117934.11000000003</v>
      </c>
      <c r="CL39" s="47">
        <f t="shared" si="68"/>
        <v>91875</v>
      </c>
      <c r="CM39" s="45">
        <f t="shared" si="69"/>
        <v>119576.96333333373</v>
      </c>
      <c r="CO39" s="126">
        <v>45824.625</v>
      </c>
      <c r="CP39" s="54">
        <v>290.31200000000001</v>
      </c>
      <c r="CQ39" s="126">
        <v>45824.625</v>
      </c>
      <c r="CR39" s="54">
        <v>55.962000000000003</v>
      </c>
      <c r="CS39" s="54"/>
      <c r="CT39" s="54"/>
      <c r="CU39" s="54"/>
      <c r="CV39" s="54"/>
      <c r="CW39" s="54"/>
      <c r="CX39" s="54"/>
      <c r="CY39" s="54"/>
      <c r="DF39" s="137">
        <v>45902.625</v>
      </c>
      <c r="DG39" s="56">
        <f t="shared" si="4"/>
        <v>108374.72226849105</v>
      </c>
      <c r="DH39" s="56">
        <f t="shared" si="5"/>
        <v>-79923.289010284454</v>
      </c>
      <c r="DI39" s="56">
        <f t="shared" si="6"/>
        <v>-49256.250000000582</v>
      </c>
      <c r="DJ39" s="56">
        <f t="shared" si="7"/>
        <v>125080.41000000009</v>
      </c>
      <c r="DK39" s="56">
        <f t="shared" si="23"/>
        <v>6433.4788519823924</v>
      </c>
      <c r="DL39" s="56">
        <f t="shared" si="23"/>
        <v>-48232.86976752909</v>
      </c>
      <c r="DM39" s="56">
        <f t="shared" si="23"/>
        <v>3825.0000000020373</v>
      </c>
      <c r="DN39" s="56">
        <f t="shared" si="23"/>
        <v>5503.4466666663648</v>
      </c>
      <c r="DO39" s="56">
        <f t="shared" si="8"/>
        <v>6433.4788519823924</v>
      </c>
      <c r="DP39" s="56">
        <f t="shared" si="8"/>
        <v>-48232.86976752909</v>
      </c>
      <c r="DQ39" s="56">
        <f t="shared" si="8"/>
        <v>3825.0000000020373</v>
      </c>
      <c r="DR39" s="56">
        <f t="shared" si="8"/>
        <v>5503.4466666663648</v>
      </c>
      <c r="DS39" s="56">
        <f>SUM(DO$15:DO39)</f>
        <v>99980.394347954658</v>
      </c>
      <c r="DT39" s="56">
        <f>SUM(DP$15:DP39)</f>
        <v>-72313.668589468041</v>
      </c>
      <c r="DU39" s="56">
        <f>SUM(DQ$15:DQ39)</f>
        <v>-34574.999999997897</v>
      </c>
      <c r="DV39" s="56">
        <f>SUM(DR$15:DR39)</f>
        <v>107566.64333333322</v>
      </c>
      <c r="DZ39" s="130">
        <v>45902.625</v>
      </c>
      <c r="EA39" s="147">
        <f t="shared" si="70"/>
        <v>99980.394347954658</v>
      </c>
      <c r="EB39" s="147">
        <f t="shared" si="24"/>
        <v>-72313.668589468041</v>
      </c>
      <c r="EC39" s="147">
        <f t="shared" si="25"/>
        <v>107566.64333333322</v>
      </c>
      <c r="ED39" s="147">
        <f t="shared" si="26"/>
        <v>-34574.999999997897</v>
      </c>
    </row>
    <row r="40" spans="1:134" x14ac:dyDescent="0.3">
      <c r="A40" s="134">
        <v>45882.625</v>
      </c>
      <c r="B40" s="73">
        <f t="shared" si="27"/>
        <v>94.88</v>
      </c>
      <c r="C40" s="31">
        <f t="shared" si="28"/>
        <v>219169.32907347797</v>
      </c>
      <c r="D40" s="32">
        <f t="shared" si="29"/>
        <v>-88830</v>
      </c>
      <c r="E40" s="73">
        <f t="shared" si="30"/>
        <v>101.11799999999999</v>
      </c>
      <c r="F40" s="31">
        <f t="shared" si="31"/>
        <v>-20664.000000000782</v>
      </c>
      <c r="G40" s="32">
        <f t="shared" si="32"/>
        <v>-31625.904239999996</v>
      </c>
      <c r="H40" s="73">
        <f t="shared" si="33"/>
        <v>120.52</v>
      </c>
      <c r="I40" s="31">
        <f t="shared" si="34"/>
        <v>-408905.66037736239</v>
      </c>
      <c r="J40" s="32">
        <f t="shared" si="35"/>
        <v>-152787.6</v>
      </c>
      <c r="K40" s="73">
        <f t="shared" si="36"/>
        <v>99.745000000000005</v>
      </c>
      <c r="L40" s="31">
        <f t="shared" si="37"/>
        <v>-5166.0000000001955</v>
      </c>
      <c r="M40" s="32">
        <f t="shared" si="38"/>
        <v>-69563.565120000014</v>
      </c>
      <c r="N40" s="79">
        <f t="shared" si="17"/>
        <v>669592.92857084086</v>
      </c>
      <c r="O40" s="79"/>
      <c r="P40" s="79"/>
      <c r="Q40" s="79">
        <f>$G$5*SUM($O$14:O40)-$H$5*SUM($P$14:P40)</f>
        <v>-576200.5368</v>
      </c>
      <c r="R40" s="79">
        <f t="shared" si="18"/>
        <v>93392.391770840855</v>
      </c>
      <c r="S40" s="138"/>
      <c r="U40" s="72">
        <v>45825.625</v>
      </c>
      <c r="V40" s="54">
        <v>93.56</v>
      </c>
      <c r="W40" s="72">
        <v>45821.625</v>
      </c>
      <c r="X40" s="54">
        <v>101.375</v>
      </c>
      <c r="Y40" s="122">
        <v>45828.625</v>
      </c>
      <c r="Z40" s="54">
        <v>121.48</v>
      </c>
      <c r="AA40" s="72">
        <v>45897.625</v>
      </c>
      <c r="AB40" s="54">
        <v>99.775999999999996</v>
      </c>
      <c r="AF40" s="128">
        <v>45902.625</v>
      </c>
      <c r="AG40" s="45">
        <f t="shared" si="39"/>
        <v>80.39</v>
      </c>
      <c r="AH40" s="46">
        <f t="shared" si="40"/>
        <v>-18645.121193289204</v>
      </c>
      <c r="AI40" s="46">
        <f t="shared" si="41"/>
        <v>-105750</v>
      </c>
      <c r="AJ40" s="45">
        <f t="shared" si="42"/>
        <v>100.65625</v>
      </c>
      <c r="AK40" s="46">
        <f t="shared" si="43"/>
        <v>151255.58035714284</v>
      </c>
      <c r="AL40" s="47">
        <f t="shared" si="44"/>
        <v>-4691.4801897321377</v>
      </c>
      <c r="AM40" s="45">
        <f t="shared" si="45"/>
        <v>109.05</v>
      </c>
      <c r="AN40" s="46">
        <f t="shared" si="46"/>
        <v>66194.722809600804</v>
      </c>
      <c r="AO40" s="47">
        <f t="shared" si="47"/>
        <v>-108771.42857142858</v>
      </c>
      <c r="AP40" s="45">
        <f t="shared" si="48"/>
        <v>100.65625</v>
      </c>
      <c r="AQ40" s="46">
        <f t="shared" si="49"/>
        <v>131863.83928571429</v>
      </c>
      <c r="AR40" s="47">
        <f t="shared" si="50"/>
        <v>-4090.0083705357101</v>
      </c>
      <c r="AS40" s="45">
        <f t="shared" si="51"/>
        <v>103.09375</v>
      </c>
      <c r="AT40" s="46">
        <f t="shared" si="52"/>
        <v>70312.5</v>
      </c>
      <c r="AU40" s="47">
        <f t="shared" si="53"/>
        <v>1712.4274553571449</v>
      </c>
      <c r="AV40" s="45">
        <f t="shared" si="54"/>
        <v>94.6875</v>
      </c>
      <c r="AW40" s="46">
        <f t="shared" si="55"/>
        <v>-7031.25</v>
      </c>
      <c r="AX40" s="47">
        <f t="shared" si="56"/>
        <v>4618.1484375000036</v>
      </c>
      <c r="AY40" s="79">
        <f t="shared" ref="AY40:AY50" si="71">AH40+AI40-AK40-AL40-AN40-AO40+AQ40+AR40+AT40+AU40+AW40+AX40</f>
        <v>-30996.858790836366</v>
      </c>
      <c r="AZ40" s="79">
        <v>0.38332100000000002</v>
      </c>
      <c r="BA40" s="79">
        <v>0.384434</v>
      </c>
      <c r="BB40" s="79">
        <f>$AO$4*SUM($AZ$14:AZ40)-$AP$4*SUM($BA$14:BA40)</f>
        <v>48926.430219448084</v>
      </c>
      <c r="BC40" s="79">
        <f t="shared" si="19"/>
        <v>-79923.289010284454</v>
      </c>
      <c r="BE40" s="72">
        <v>45820.625</v>
      </c>
      <c r="BF40" s="54">
        <v>79.599999999999994</v>
      </c>
      <c r="BG40" s="72">
        <v>45917.625</v>
      </c>
      <c r="BH40" s="54">
        <v>101.0546875</v>
      </c>
      <c r="BI40" s="72">
        <v>45820.625</v>
      </c>
      <c r="BJ40" s="54">
        <v>108.44</v>
      </c>
      <c r="BK40" s="72">
        <v>45917.625</v>
      </c>
      <c r="BL40" s="54">
        <v>101.0546875</v>
      </c>
      <c r="BM40" s="72">
        <v>45821.625</v>
      </c>
      <c r="BN40" s="54">
        <v>101.75</v>
      </c>
      <c r="BO40" s="72">
        <v>45821.625</v>
      </c>
      <c r="BP40" s="54">
        <v>95.5625</v>
      </c>
      <c r="BR40" s="128">
        <f t="shared" si="20"/>
        <v>45902.625</v>
      </c>
      <c r="BS40" s="45">
        <f t="shared" si="21"/>
        <v>107.1491</v>
      </c>
      <c r="BT40" s="46">
        <f t="shared" si="58"/>
        <v>-107250.00000000051</v>
      </c>
      <c r="BU40" s="46">
        <f t="shared" si="59"/>
        <v>125000</v>
      </c>
      <c r="BV40" s="45">
        <f t="shared" si="60"/>
        <v>51.244999999999997</v>
      </c>
      <c r="BW40" s="46">
        <f t="shared" si="61"/>
        <v>-57993.749999999935</v>
      </c>
      <c r="BX40" s="47">
        <f t="shared" si="62"/>
        <v>125000</v>
      </c>
      <c r="BY40" s="45">
        <f t="shared" si="63"/>
        <v>-49256.250000000582</v>
      </c>
      <c r="CA40" s="126">
        <v>45824.625</v>
      </c>
      <c r="CB40" s="54">
        <v>106.6006</v>
      </c>
      <c r="CC40" s="126">
        <v>45824.625</v>
      </c>
      <c r="CD40" s="54">
        <v>54.46</v>
      </c>
      <c r="CF40" s="128">
        <v>45902.625</v>
      </c>
      <c r="CG40" s="45">
        <f t="shared" si="22"/>
        <v>274.209</v>
      </c>
      <c r="CH40" s="46">
        <f t="shared" si="64"/>
        <v>-64994.159999999931</v>
      </c>
      <c r="CI40" s="46">
        <f t="shared" si="65"/>
        <v>105000</v>
      </c>
      <c r="CJ40" s="45">
        <f t="shared" si="66"/>
        <v>56.918999999999997</v>
      </c>
      <c r="CK40" s="46">
        <f t="shared" si="67"/>
        <v>-179574.57</v>
      </c>
      <c r="CL40" s="47">
        <f t="shared" si="68"/>
        <v>94500</v>
      </c>
      <c r="CM40" s="45">
        <f t="shared" si="69"/>
        <v>125080.41000000009</v>
      </c>
      <c r="CO40" s="126">
        <v>45825.625</v>
      </c>
      <c r="CP40" s="54">
        <v>296.12900000000002</v>
      </c>
      <c r="CQ40" s="126">
        <v>45825.625</v>
      </c>
      <c r="CR40" s="54">
        <v>57.487000000000002</v>
      </c>
      <c r="CS40" s="54"/>
      <c r="CT40" s="54"/>
      <c r="CU40" s="54"/>
      <c r="CV40" s="54"/>
      <c r="CW40" s="54"/>
      <c r="CX40" s="54"/>
      <c r="CY40" s="54"/>
      <c r="DF40" s="137">
        <v>45903.625</v>
      </c>
      <c r="DG40" s="56">
        <f t="shared" si="4"/>
        <v>89249.721130337333</v>
      </c>
      <c r="DH40" s="56">
        <f t="shared" si="5"/>
        <v>-72648.57284771376</v>
      </c>
      <c r="DI40" s="56">
        <f t="shared" si="6"/>
        <v>-65387.499999999905</v>
      </c>
      <c r="DJ40" s="56">
        <f t="shared" si="7"/>
        <v>118790.25666666706</v>
      </c>
      <c r="DK40" s="56">
        <f t="shared" si="23"/>
        <v>-19125.001138153719</v>
      </c>
      <c r="DL40" s="56">
        <f t="shared" si="23"/>
        <v>7274.716162570694</v>
      </c>
      <c r="DM40" s="56">
        <f t="shared" si="23"/>
        <v>-16131.249999999323</v>
      </c>
      <c r="DN40" s="56">
        <f t="shared" si="23"/>
        <v>-6290.1533333330299</v>
      </c>
      <c r="DO40" s="56">
        <f t="shared" si="8"/>
        <v>-19125.001138153719</v>
      </c>
      <c r="DP40" s="56">
        <f t="shared" si="8"/>
        <v>7274.716162570694</v>
      </c>
      <c r="DQ40" s="56">
        <f t="shared" si="8"/>
        <v>-16131.249999999323</v>
      </c>
      <c r="DR40" s="56">
        <f t="shared" si="8"/>
        <v>-6290.1533333330299</v>
      </c>
      <c r="DS40" s="56">
        <f>SUM(DO$15:DO40)</f>
        <v>80855.393209800939</v>
      </c>
      <c r="DT40" s="56">
        <f>SUM(DP$15:DP40)</f>
        <v>-65038.952426897347</v>
      </c>
      <c r="DU40" s="56">
        <f>SUM(DQ$15:DQ40)</f>
        <v>-50706.249999997221</v>
      </c>
      <c r="DV40" s="56">
        <f>SUM(DR$15:DR40)</f>
        <v>101276.49000000019</v>
      </c>
      <c r="DZ40" s="130">
        <v>45903.625</v>
      </c>
      <c r="EA40" s="147">
        <f t="shared" si="70"/>
        <v>80855.393209800939</v>
      </c>
      <c r="EB40" s="147">
        <f t="shared" si="24"/>
        <v>-65038.952426897347</v>
      </c>
      <c r="EC40" s="147">
        <f t="shared" si="25"/>
        <v>101276.49000000019</v>
      </c>
      <c r="ED40" s="147">
        <f t="shared" si="26"/>
        <v>-50706.249999997221</v>
      </c>
    </row>
    <row r="41" spans="1:134" ht="15" thickBot="1" x14ac:dyDescent="0.35">
      <c r="A41" s="136">
        <v>45883.625</v>
      </c>
      <c r="B41" s="73">
        <f t="shared" si="27"/>
        <v>94.94</v>
      </c>
      <c r="C41" s="31">
        <f t="shared" si="28"/>
        <v>232587.85942491909</v>
      </c>
      <c r="D41" s="32">
        <f t="shared" si="29"/>
        <v>-91297.5</v>
      </c>
      <c r="E41" s="73">
        <f t="shared" si="30"/>
        <v>101.057</v>
      </c>
      <c r="F41" s="31">
        <f t="shared" si="31"/>
        <v>-30911.999999999578</v>
      </c>
      <c r="G41" s="32">
        <f t="shared" si="32"/>
        <v>-32504.401580000005</v>
      </c>
      <c r="H41" s="73">
        <f t="shared" si="33"/>
        <v>120.46</v>
      </c>
      <c r="I41" s="31">
        <f t="shared" si="34"/>
        <v>-426684.16735029087</v>
      </c>
      <c r="J41" s="32">
        <f t="shared" si="35"/>
        <v>-157031.69999999998</v>
      </c>
      <c r="K41" s="73">
        <f t="shared" si="36"/>
        <v>99.620999999999995</v>
      </c>
      <c r="L41" s="31">
        <f t="shared" si="37"/>
        <v>-47871.600000003447</v>
      </c>
      <c r="M41" s="32">
        <f t="shared" si="38"/>
        <v>-71495.886373333342</v>
      </c>
      <c r="N41" s="79">
        <f t="shared" si="17"/>
        <v>669055.14198187273</v>
      </c>
      <c r="O41" s="79"/>
      <c r="P41" s="79"/>
      <c r="Q41" s="79">
        <f>$G$5*SUM($O$14:O41)-$H$5*SUM($P$14:P41)</f>
        <v>-576200.5368</v>
      </c>
      <c r="R41" s="79">
        <f t="shared" si="18"/>
        <v>92854.605181872728</v>
      </c>
      <c r="S41" s="138"/>
      <c r="U41" s="72">
        <v>45826.625</v>
      </c>
      <c r="V41" s="54">
        <v>93.37</v>
      </c>
      <c r="W41" s="72">
        <v>45824.625</v>
      </c>
      <c r="X41" s="54">
        <v>101.402</v>
      </c>
      <c r="Y41" s="122">
        <v>45831.625</v>
      </c>
      <c r="Z41" s="54">
        <v>121.56</v>
      </c>
      <c r="AA41" s="72">
        <v>45898.625</v>
      </c>
      <c r="AB41" s="54">
        <v>99.783000000000001</v>
      </c>
      <c r="AF41" s="128">
        <v>45903.625</v>
      </c>
      <c r="AG41" s="45">
        <f t="shared" si="39"/>
        <v>80.61</v>
      </c>
      <c r="AH41" s="46">
        <f t="shared" si="40"/>
        <v>49720.323182100845</v>
      </c>
      <c r="AI41" s="46">
        <f t="shared" si="41"/>
        <v>-108687.5</v>
      </c>
      <c r="AJ41" s="45">
        <f t="shared" si="42"/>
        <v>100.8125</v>
      </c>
      <c r="AK41" s="46">
        <f t="shared" si="43"/>
        <v>173018.97321428574</v>
      </c>
      <c r="AL41" s="47">
        <f t="shared" si="44"/>
        <v>-4821.7990838913611</v>
      </c>
      <c r="AM41" s="45">
        <f t="shared" si="45"/>
        <v>109.7</v>
      </c>
      <c r="AN41" s="46">
        <f t="shared" si="46"/>
        <v>219861.04361759615</v>
      </c>
      <c r="AO41" s="47">
        <f t="shared" si="47"/>
        <v>-111792.85714285714</v>
      </c>
      <c r="AP41" s="45">
        <f t="shared" si="48"/>
        <v>100.8125</v>
      </c>
      <c r="AQ41" s="46">
        <f t="shared" si="49"/>
        <v>150837.05357142858</v>
      </c>
      <c r="AR41" s="47">
        <f t="shared" si="50"/>
        <v>-4203.6197141617013</v>
      </c>
      <c r="AS41" s="45">
        <f t="shared" si="51"/>
        <v>103.46875</v>
      </c>
      <c r="AT41" s="46">
        <f t="shared" si="52"/>
        <v>90401.785714285725</v>
      </c>
      <c r="AU41" s="47">
        <f t="shared" si="53"/>
        <v>1759.994884672622</v>
      </c>
      <c r="AV41" s="45">
        <f t="shared" si="54"/>
        <v>95.6875</v>
      </c>
      <c r="AW41" s="46">
        <f t="shared" si="55"/>
        <v>67968.75</v>
      </c>
      <c r="AX41" s="47">
        <f t="shared" si="56"/>
        <v>4746.4303385416679</v>
      </c>
      <c r="AY41" s="79">
        <f t="shared" si="71"/>
        <v>-23722.142628265679</v>
      </c>
      <c r="AZ41" s="79"/>
      <c r="BA41" s="79"/>
      <c r="BB41" s="79">
        <f>$AO$4*SUM($AZ$14:AZ41)-$AP$4*SUM($BA$14:BA41)</f>
        <v>48926.430219448084</v>
      </c>
      <c r="BC41" s="79">
        <f t="shared" si="19"/>
        <v>-72648.57284771376</v>
      </c>
      <c r="BE41" s="72">
        <v>45821.625</v>
      </c>
      <c r="BF41" s="54">
        <v>79.36</v>
      </c>
      <c r="BG41" s="72">
        <v>45918.625</v>
      </c>
      <c r="BH41" s="54">
        <v>100.90625</v>
      </c>
      <c r="BI41" s="72">
        <v>45821.625</v>
      </c>
      <c r="BJ41" s="54">
        <v>107.79</v>
      </c>
      <c r="BK41" s="72">
        <v>45918.625</v>
      </c>
      <c r="BL41" s="54">
        <v>100.90625</v>
      </c>
      <c r="BM41" s="72">
        <v>45824.625</v>
      </c>
      <c r="BN41" s="54">
        <v>101.390625</v>
      </c>
      <c r="BO41" s="72">
        <v>45824.625</v>
      </c>
      <c r="BP41" s="54">
        <v>94.671875</v>
      </c>
      <c r="BR41" s="128">
        <f t="shared" si="20"/>
        <v>45903.625</v>
      </c>
      <c r="BS41" s="45">
        <f t="shared" si="21"/>
        <v>107.15860000000001</v>
      </c>
      <c r="BT41" s="46">
        <f t="shared" si="58"/>
        <v>-104874.99999999983</v>
      </c>
      <c r="BU41" s="46">
        <f t="shared" si="59"/>
        <v>128472.22222222223</v>
      </c>
      <c r="BV41" s="45">
        <f t="shared" si="60"/>
        <v>50.915999999999997</v>
      </c>
      <c r="BW41" s="46">
        <f t="shared" si="61"/>
        <v>-39487.499999999905</v>
      </c>
      <c r="BX41" s="47">
        <f t="shared" si="62"/>
        <v>128472.22222222222</v>
      </c>
      <c r="BY41" s="45">
        <f t="shared" si="63"/>
        <v>-65387.499999999905</v>
      </c>
      <c r="CA41" s="126">
        <v>45825.625</v>
      </c>
      <c r="CB41" s="54">
        <v>106.1914</v>
      </c>
      <c r="CC41" s="126">
        <v>45825.625</v>
      </c>
      <c r="CD41" s="54">
        <v>56.384</v>
      </c>
      <c r="CF41" s="128">
        <v>45903.625</v>
      </c>
      <c r="CG41" s="45">
        <f t="shared" si="22"/>
        <v>267.14</v>
      </c>
      <c r="CH41" s="46">
        <f t="shared" si="64"/>
        <v>323.40000000023116</v>
      </c>
      <c r="CI41" s="46">
        <f t="shared" si="65"/>
        <v>107916.66666666666</v>
      </c>
      <c r="CJ41" s="45">
        <f t="shared" si="66"/>
        <v>55.265000000000001</v>
      </c>
      <c r="CK41" s="46">
        <f t="shared" si="67"/>
        <v>-107675.19000000016</v>
      </c>
      <c r="CL41" s="47">
        <f t="shared" si="68"/>
        <v>97125</v>
      </c>
      <c r="CM41" s="45">
        <f t="shared" si="69"/>
        <v>118790.25666666706</v>
      </c>
      <c r="CO41" s="126">
        <v>45826.625</v>
      </c>
      <c r="CP41" s="54">
        <v>299.76400000000001</v>
      </c>
      <c r="CQ41" s="126">
        <v>45826.625</v>
      </c>
      <c r="CR41" s="54">
        <v>58.424999999999997</v>
      </c>
      <c r="CS41" s="54"/>
      <c r="CT41" s="54"/>
      <c r="CU41" s="54"/>
      <c r="CV41" s="54"/>
      <c r="CW41" s="54"/>
      <c r="CX41" s="54"/>
      <c r="CY41" s="54"/>
      <c r="DF41" s="137">
        <v>45904.625</v>
      </c>
      <c r="DG41" s="56">
        <f t="shared" si="4"/>
        <v>76174.585920097074</v>
      </c>
      <c r="DH41" s="56">
        <f t="shared" si="5"/>
        <v>-115308.73324460247</v>
      </c>
      <c r="DI41" s="56">
        <f t="shared" si="6"/>
        <v>-83256.250000000669</v>
      </c>
      <c r="DJ41" s="56">
        <f t="shared" si="7"/>
        <v>102473.44333333359</v>
      </c>
      <c r="DK41" s="56">
        <f t="shared" si="23"/>
        <v>-13075.13521024026</v>
      </c>
      <c r="DL41" s="56">
        <f t="shared" si="23"/>
        <v>-42660.160396888707</v>
      </c>
      <c r="DM41" s="56">
        <f t="shared" si="23"/>
        <v>-17868.750000000764</v>
      </c>
      <c r="DN41" s="56">
        <f t="shared" si="23"/>
        <v>-16316.81333333347</v>
      </c>
      <c r="DO41" s="56">
        <f t="shared" si="8"/>
        <v>-13075.13521024026</v>
      </c>
      <c r="DP41" s="56">
        <f t="shared" si="8"/>
        <v>-42660.160396888707</v>
      </c>
      <c r="DQ41" s="56">
        <f t="shared" si="8"/>
        <v>-17868.750000000764</v>
      </c>
      <c r="DR41" s="56">
        <f t="shared" si="8"/>
        <v>-16316.81333333347</v>
      </c>
      <c r="DS41" s="56">
        <f>SUM(DO$15:DO41)</f>
        <v>67780.257999560679</v>
      </c>
      <c r="DT41" s="56">
        <f>SUM(DP$15:DP41)</f>
        <v>-107699.11282378605</v>
      </c>
      <c r="DU41" s="56">
        <f>SUM(DQ$15:DQ41)</f>
        <v>-68574.999999997992</v>
      </c>
      <c r="DV41" s="56">
        <f>SUM(DR$15:DR41)</f>
        <v>84959.676666666724</v>
      </c>
      <c r="DZ41" s="130">
        <v>45904.625</v>
      </c>
      <c r="EA41" s="147">
        <f t="shared" si="70"/>
        <v>67780.257999560679</v>
      </c>
      <c r="EB41" s="147">
        <f t="shared" si="24"/>
        <v>-107699.11282378605</v>
      </c>
      <c r="EC41" s="147">
        <f t="shared" si="25"/>
        <v>84959.676666666724</v>
      </c>
      <c r="ED41" s="147">
        <f t="shared" si="26"/>
        <v>-68574.999999997992</v>
      </c>
    </row>
    <row r="42" spans="1:134" x14ac:dyDescent="0.3">
      <c r="A42" s="137">
        <v>45884.625</v>
      </c>
      <c r="B42" s="73">
        <f t="shared" si="27"/>
        <v>94.87</v>
      </c>
      <c r="C42" s="31">
        <f t="shared" si="28"/>
        <v>216932.90734824244</v>
      </c>
      <c r="D42" s="32">
        <f t="shared" si="29"/>
        <v>-93764.999999999985</v>
      </c>
      <c r="E42" s="73">
        <f t="shared" si="30"/>
        <v>100.946</v>
      </c>
      <c r="F42" s="31">
        <f t="shared" si="31"/>
        <v>-49560.000000000284</v>
      </c>
      <c r="G42" s="32">
        <f t="shared" si="32"/>
        <v>-33382.898919999978</v>
      </c>
      <c r="H42" s="73">
        <f t="shared" si="33"/>
        <v>120.46</v>
      </c>
      <c r="I42" s="31">
        <f t="shared" si="34"/>
        <v>-426684.16735029087</v>
      </c>
      <c r="J42" s="32">
        <f t="shared" si="35"/>
        <v>-161275.79999999999</v>
      </c>
      <c r="K42" s="73">
        <f t="shared" si="36"/>
        <v>99.375</v>
      </c>
      <c r="L42" s="31">
        <f t="shared" si="37"/>
        <v>-132594.00000000178</v>
      </c>
      <c r="M42" s="32">
        <f t="shared" si="38"/>
        <v>-73428.207626666655</v>
      </c>
      <c r="N42" s="79">
        <f t="shared" si="17"/>
        <v>588048.56599186512</v>
      </c>
      <c r="O42" s="79"/>
      <c r="P42" s="79"/>
      <c r="Q42" s="79">
        <f>$G$5*SUM($O$14:O42)-$H$5*SUM($P$14:P42)</f>
        <v>-576200.5368</v>
      </c>
      <c r="R42" s="79">
        <f t="shared" si="18"/>
        <v>11848.02919186512</v>
      </c>
      <c r="S42" s="138"/>
      <c r="U42" s="72">
        <v>45827.625</v>
      </c>
      <c r="V42" s="54">
        <v>93.19</v>
      </c>
      <c r="W42" s="72">
        <v>45825.625</v>
      </c>
      <c r="X42" s="54">
        <v>101.369</v>
      </c>
      <c r="Y42" s="122">
        <v>45832.625</v>
      </c>
      <c r="Z42" s="54">
        <v>121.66</v>
      </c>
      <c r="AA42" s="72">
        <v>45901.625</v>
      </c>
      <c r="AB42" s="54">
        <v>99.632000000000005</v>
      </c>
      <c r="AF42" s="128">
        <v>45904.625</v>
      </c>
      <c r="AG42" s="45">
        <f t="shared" si="39"/>
        <v>80.819999999999993</v>
      </c>
      <c r="AH42" s="46">
        <f t="shared" si="40"/>
        <v>114978.24735860474</v>
      </c>
      <c r="AI42" s="46">
        <f t="shared" si="41"/>
        <v>-111625</v>
      </c>
      <c r="AJ42" s="45">
        <f t="shared" si="42"/>
        <v>101.0390625</v>
      </c>
      <c r="AK42" s="46">
        <f t="shared" si="43"/>
        <v>204575.89285714284</v>
      </c>
      <c r="AL42" s="47">
        <f t="shared" si="44"/>
        <v>-4952.1179780505845</v>
      </c>
      <c r="AM42" s="45">
        <f t="shared" si="45"/>
        <v>110.45</v>
      </c>
      <c r="AN42" s="46">
        <f t="shared" si="46"/>
        <v>397168.33685759339</v>
      </c>
      <c r="AO42" s="47">
        <f t="shared" si="47"/>
        <v>-114814.28571428572</v>
      </c>
      <c r="AP42" s="45">
        <f t="shared" si="48"/>
        <v>101.0390625</v>
      </c>
      <c r="AQ42" s="46">
        <f t="shared" si="49"/>
        <v>178348.21428571429</v>
      </c>
      <c r="AR42" s="47">
        <f t="shared" si="50"/>
        <v>-4317.2310577876997</v>
      </c>
      <c r="AS42" s="45">
        <f t="shared" si="51"/>
        <v>103.9375</v>
      </c>
      <c r="AT42" s="46">
        <f t="shared" si="52"/>
        <v>115513.39285714286</v>
      </c>
      <c r="AU42" s="47">
        <f t="shared" si="53"/>
        <v>1807.562313988099</v>
      </c>
      <c r="AV42" s="45">
        <f t="shared" si="54"/>
        <v>96.328125</v>
      </c>
      <c r="AW42" s="46">
        <f t="shared" si="55"/>
        <v>116015.625</v>
      </c>
      <c r="AX42" s="47">
        <f t="shared" si="56"/>
        <v>4874.7122395833321</v>
      </c>
      <c r="AY42" s="79">
        <f t="shared" si="71"/>
        <v>-66382.303025154382</v>
      </c>
      <c r="AZ42" s="79"/>
      <c r="BA42" s="79"/>
      <c r="BB42" s="79">
        <f>$AO$4*SUM($AZ$14:AZ42)-$AP$4*SUM($BA$14:BA42)</f>
        <v>48926.430219448084</v>
      </c>
      <c r="BC42" s="79">
        <f t="shared" si="19"/>
        <v>-115308.73324460247</v>
      </c>
      <c r="BE42" s="72">
        <v>45824.625</v>
      </c>
      <c r="BF42" s="54">
        <v>79.52</v>
      </c>
      <c r="BG42" s="72">
        <v>45919.625</v>
      </c>
      <c r="BH42" s="54">
        <v>100.890625</v>
      </c>
      <c r="BI42" s="72">
        <v>45824.625</v>
      </c>
      <c r="BJ42" s="54">
        <v>107.6</v>
      </c>
      <c r="BK42" s="72">
        <v>45919.625</v>
      </c>
      <c r="BL42" s="54">
        <v>100.890625</v>
      </c>
      <c r="BM42" s="72">
        <v>45825.625</v>
      </c>
      <c r="BN42" s="54">
        <v>101.953125</v>
      </c>
      <c r="BO42" s="72">
        <v>45825.625</v>
      </c>
      <c r="BP42" s="54">
        <v>95.78125</v>
      </c>
      <c r="BR42" s="128">
        <f t="shared" si="20"/>
        <v>45904.625</v>
      </c>
      <c r="BS42" s="45">
        <f t="shared" si="21"/>
        <v>107.4136</v>
      </c>
      <c r="BT42" s="46">
        <f t="shared" si="58"/>
        <v>-41125.000000000968</v>
      </c>
      <c r="BU42" s="46">
        <f t="shared" si="59"/>
        <v>131944.44444444447</v>
      </c>
      <c r="BV42" s="45">
        <f t="shared" si="60"/>
        <v>49.465000000000003</v>
      </c>
      <c r="BW42" s="46">
        <f t="shared" si="61"/>
        <v>42131.249999999731</v>
      </c>
      <c r="BX42" s="47">
        <f t="shared" si="62"/>
        <v>131944.44444444444</v>
      </c>
      <c r="BY42" s="45">
        <f t="shared" si="63"/>
        <v>-83256.250000000669</v>
      </c>
      <c r="CA42" s="126">
        <v>45826.625</v>
      </c>
      <c r="CB42" s="54">
        <v>106.2077</v>
      </c>
      <c r="CC42" s="126">
        <v>45826.625</v>
      </c>
      <c r="CD42" s="54">
        <v>56.225000000000001</v>
      </c>
      <c r="CF42" s="128">
        <v>45904.625</v>
      </c>
      <c r="CG42" s="45">
        <f t="shared" si="22"/>
        <v>264.74099999999999</v>
      </c>
      <c r="CH42" s="46">
        <f t="shared" si="64"/>
        <v>22490.160000000244</v>
      </c>
      <c r="CI42" s="46">
        <f t="shared" si="65"/>
        <v>110833.33333333333</v>
      </c>
      <c r="CJ42" s="45">
        <f t="shared" si="66"/>
        <v>54.372999999999998</v>
      </c>
      <c r="CK42" s="46">
        <f t="shared" si="67"/>
        <v>-68899.950000000026</v>
      </c>
      <c r="CL42" s="47">
        <f t="shared" si="68"/>
        <v>99750</v>
      </c>
      <c r="CM42" s="45">
        <f t="shared" si="69"/>
        <v>102473.44333333359</v>
      </c>
      <c r="CO42" s="126">
        <v>45827.625</v>
      </c>
      <c r="CP42" s="54">
        <v>309.26900000000001</v>
      </c>
      <c r="CQ42" s="126">
        <v>45827.625</v>
      </c>
      <c r="CR42" s="54">
        <v>60.579000000000001</v>
      </c>
      <c r="CS42" s="54"/>
      <c r="CT42" s="54"/>
      <c r="CU42" s="54"/>
      <c r="CV42" s="54"/>
      <c r="CW42" s="54"/>
      <c r="CX42" s="54"/>
      <c r="CY42" s="54"/>
      <c r="DF42" s="137">
        <v>45905.625</v>
      </c>
      <c r="DG42" s="56">
        <f t="shared" si="4"/>
        <v>62415.506412564195</v>
      </c>
      <c r="DH42" s="56">
        <f t="shared" si="5"/>
        <v>-140217.46080827035</v>
      </c>
      <c r="DI42" s="56">
        <f t="shared" si="6"/>
        <v>-86331.250000000728</v>
      </c>
      <c r="DJ42" s="56">
        <f t="shared" si="7"/>
        <v>101580.92000000033</v>
      </c>
      <c r="DK42" s="56">
        <f t="shared" si="23"/>
        <v>-13759.079507532879</v>
      </c>
      <c r="DL42" s="56">
        <f t="shared" si="23"/>
        <v>-24908.727563667882</v>
      </c>
      <c r="DM42" s="56">
        <f t="shared" si="23"/>
        <v>-3075.0000000000582</v>
      </c>
      <c r="DN42" s="56">
        <f t="shared" si="23"/>
        <v>-892.52333333325805</v>
      </c>
      <c r="DO42" s="56">
        <f t="shared" si="8"/>
        <v>-13759.079507532879</v>
      </c>
      <c r="DP42" s="56">
        <f t="shared" si="8"/>
        <v>-24908.727563667882</v>
      </c>
      <c r="DQ42" s="56">
        <f t="shared" si="8"/>
        <v>-3075.0000000000582</v>
      </c>
      <c r="DR42" s="56">
        <f t="shared" si="8"/>
        <v>-892.52333333325805</v>
      </c>
      <c r="DS42" s="56">
        <f>SUM(DO$15:DO42)</f>
        <v>54021.178492027801</v>
      </c>
      <c r="DT42" s="56">
        <f>SUM(DP$15:DP42)</f>
        <v>-132607.84038745394</v>
      </c>
      <c r="DU42" s="56">
        <f>SUM(DQ$15:DQ42)</f>
        <v>-71649.99999999805</v>
      </c>
      <c r="DV42" s="56">
        <f>SUM(DR$15:DR42)</f>
        <v>84067.153333333466</v>
      </c>
      <c r="DZ42" s="130">
        <v>45905.625</v>
      </c>
      <c r="EA42" s="147">
        <f t="shared" si="70"/>
        <v>54021.178492027801</v>
      </c>
      <c r="EB42" s="147">
        <f t="shared" si="24"/>
        <v>-132607.84038745394</v>
      </c>
      <c r="EC42" s="147">
        <f t="shared" si="25"/>
        <v>84067.153333333466</v>
      </c>
      <c r="ED42" s="147">
        <f t="shared" si="26"/>
        <v>-71649.99999999805</v>
      </c>
    </row>
    <row r="43" spans="1:134" x14ac:dyDescent="0.3">
      <c r="A43" s="137">
        <v>45887.625</v>
      </c>
      <c r="B43" s="73">
        <f t="shared" si="27"/>
        <v>94.83</v>
      </c>
      <c r="C43" s="31">
        <f t="shared" si="28"/>
        <v>207987.2204472817</v>
      </c>
      <c r="D43" s="32">
        <f t="shared" si="29"/>
        <v>-101167.5</v>
      </c>
      <c r="E43" s="73">
        <f t="shared" si="30"/>
        <v>100.953</v>
      </c>
      <c r="F43" s="31">
        <f t="shared" si="31"/>
        <v>-48383.999999999447</v>
      </c>
      <c r="G43" s="32">
        <f t="shared" si="32"/>
        <v>-36018.390939999997</v>
      </c>
      <c r="H43" s="73">
        <f t="shared" si="33"/>
        <v>120.14</v>
      </c>
      <c r="I43" s="31">
        <f t="shared" si="34"/>
        <v>-521502.87120590796</v>
      </c>
      <c r="J43" s="32">
        <f t="shared" si="35"/>
        <v>-174008.09999999998</v>
      </c>
      <c r="K43" s="73">
        <f t="shared" si="36"/>
        <v>99.388999999999996</v>
      </c>
      <c r="L43" s="31">
        <f t="shared" si="37"/>
        <v>-127772.40000000322</v>
      </c>
      <c r="M43" s="32">
        <f t="shared" si="38"/>
        <v>-79225.171386666669</v>
      </c>
      <c r="N43" s="79">
        <f t="shared" si="17"/>
        <v>679735.51120651921</v>
      </c>
      <c r="O43" s="79"/>
      <c r="P43" s="79"/>
      <c r="Q43" s="79">
        <f>$G$5*SUM($O$14:O43)-$H$5*SUM($P$14:P43)</f>
        <v>-576200.5368</v>
      </c>
      <c r="R43" s="79">
        <f t="shared" si="18"/>
        <v>103534.97440651921</v>
      </c>
      <c r="S43" s="138"/>
      <c r="U43" s="72">
        <v>45828.625</v>
      </c>
      <c r="V43" s="54">
        <v>93.4</v>
      </c>
      <c r="W43" s="72">
        <v>45826.625</v>
      </c>
      <c r="X43" s="54">
        <v>101.449</v>
      </c>
      <c r="Y43" s="122">
        <v>45833.625</v>
      </c>
      <c r="Z43" s="54">
        <v>121.62</v>
      </c>
      <c r="AA43" s="72">
        <v>45902.625</v>
      </c>
      <c r="AB43" s="54">
        <v>99.481999999999999</v>
      </c>
      <c r="AF43" s="128">
        <v>45905.625</v>
      </c>
      <c r="AG43" s="45">
        <f t="shared" si="39"/>
        <v>80.87</v>
      </c>
      <c r="AH43" s="46">
        <f t="shared" si="40"/>
        <v>130515.84835301332</v>
      </c>
      <c r="AI43" s="46">
        <f t="shared" si="41"/>
        <v>-114562.5</v>
      </c>
      <c r="AJ43" s="45">
        <f t="shared" si="42"/>
        <v>101.25</v>
      </c>
      <c r="AK43" s="46">
        <f t="shared" si="43"/>
        <v>233956.47321428571</v>
      </c>
      <c r="AL43" s="47">
        <f t="shared" si="44"/>
        <v>-5082.4368722098152</v>
      </c>
      <c r="AM43" s="45">
        <f t="shared" si="45"/>
        <v>111.17</v>
      </c>
      <c r="AN43" s="46">
        <f t="shared" si="46"/>
        <v>567383.33836798894</v>
      </c>
      <c r="AO43" s="47">
        <f t="shared" si="47"/>
        <v>-117835.71428571429</v>
      </c>
      <c r="AP43" s="45">
        <f t="shared" si="48"/>
        <v>101.25</v>
      </c>
      <c r="AQ43" s="46">
        <f t="shared" si="49"/>
        <v>203962.05357142858</v>
      </c>
      <c r="AR43" s="47">
        <f t="shared" si="50"/>
        <v>-4430.8424014136908</v>
      </c>
      <c r="AS43" s="45">
        <f t="shared" si="51"/>
        <v>104.5</v>
      </c>
      <c r="AT43" s="46">
        <f t="shared" si="52"/>
        <v>145647.32142857142</v>
      </c>
      <c r="AU43" s="47">
        <f t="shared" si="53"/>
        <v>1855.1297433035688</v>
      </c>
      <c r="AV43" s="45">
        <f t="shared" si="54"/>
        <v>97.703125</v>
      </c>
      <c r="AW43" s="46">
        <f t="shared" si="55"/>
        <v>219140.625</v>
      </c>
      <c r="AX43" s="47">
        <f t="shared" si="56"/>
        <v>5002.994140625</v>
      </c>
      <c r="AY43" s="79">
        <f t="shared" si="71"/>
        <v>-91291.030588822265</v>
      </c>
      <c r="AZ43" s="79"/>
      <c r="BA43" s="79"/>
      <c r="BB43" s="79">
        <f>$AO$4*SUM($AZ$14:AZ43)-$AP$4*SUM($BA$14:BA43)</f>
        <v>48926.430219448084</v>
      </c>
      <c r="BC43" s="79">
        <f t="shared" si="19"/>
        <v>-140217.46080827035</v>
      </c>
      <c r="BE43" s="72">
        <v>45825.625</v>
      </c>
      <c r="BF43" s="54">
        <v>79.430000000000007</v>
      </c>
      <c r="BG43" s="72">
        <v>45922.625</v>
      </c>
      <c r="BH43" s="54">
        <v>100.7734375</v>
      </c>
      <c r="BI43" s="72">
        <v>45825.625</v>
      </c>
      <c r="BJ43" s="54">
        <v>107.97</v>
      </c>
      <c r="BK43" s="72">
        <v>45922.625</v>
      </c>
      <c r="BL43" s="54">
        <v>100.7734375</v>
      </c>
      <c r="BM43" s="72">
        <v>45826.625</v>
      </c>
      <c r="BN43" s="54">
        <v>102</v>
      </c>
      <c r="BO43" s="72">
        <v>45826.625</v>
      </c>
      <c r="BP43" s="54">
        <v>95.921875</v>
      </c>
      <c r="BR43" s="128">
        <f t="shared" si="20"/>
        <v>45905.625</v>
      </c>
      <c r="BS43" s="45">
        <f t="shared" si="21"/>
        <v>107.2762</v>
      </c>
      <c r="BT43" s="46">
        <f t="shared" si="58"/>
        <v>-75475.000000000844</v>
      </c>
      <c r="BU43" s="46">
        <f t="shared" si="59"/>
        <v>135416.66666666669</v>
      </c>
      <c r="BV43" s="45">
        <f t="shared" si="60"/>
        <v>50.021000000000001</v>
      </c>
      <c r="BW43" s="46">
        <f t="shared" si="61"/>
        <v>10856.24999999988</v>
      </c>
      <c r="BX43" s="47">
        <f t="shared" si="62"/>
        <v>135416.66666666669</v>
      </c>
      <c r="BY43" s="45">
        <f t="shared" si="63"/>
        <v>-86331.250000000728</v>
      </c>
      <c r="CA43" s="126">
        <v>45828.625</v>
      </c>
      <c r="CB43" s="54">
        <v>106.2469</v>
      </c>
      <c r="CC43" s="126">
        <v>45828.625</v>
      </c>
      <c r="CD43" s="54">
        <v>56.116999999999997</v>
      </c>
      <c r="CF43" s="128">
        <v>45905.625</v>
      </c>
      <c r="CG43" s="45">
        <f t="shared" si="22"/>
        <v>263.56599999999997</v>
      </c>
      <c r="CH43" s="46">
        <f t="shared" si="64"/>
        <v>33347.160000000345</v>
      </c>
      <c r="CI43" s="46">
        <f t="shared" si="65"/>
        <v>113750</v>
      </c>
      <c r="CJ43" s="45">
        <f t="shared" si="66"/>
        <v>54.095999999999997</v>
      </c>
      <c r="CK43" s="46">
        <f t="shared" si="67"/>
        <v>-56858.759999999987</v>
      </c>
      <c r="CL43" s="47">
        <f t="shared" si="68"/>
        <v>102375</v>
      </c>
      <c r="CM43" s="45">
        <f t="shared" si="69"/>
        <v>101580.92000000033</v>
      </c>
      <c r="CO43" s="126">
        <v>45828.625</v>
      </c>
      <c r="CP43" s="54">
        <v>304.85700000000003</v>
      </c>
      <c r="CQ43" s="126">
        <v>45828.625</v>
      </c>
      <c r="CR43" s="54">
        <v>59.311</v>
      </c>
      <c r="CS43" s="54"/>
      <c r="CT43" s="54"/>
      <c r="CU43" s="54"/>
      <c r="CV43" s="54"/>
      <c r="CW43" s="54"/>
      <c r="CX43" s="54"/>
      <c r="CY43" s="54"/>
      <c r="DF43" s="137">
        <v>45908.625</v>
      </c>
      <c r="DG43" s="56">
        <f t="shared" si="4"/>
        <v>55098.211442927597</v>
      </c>
      <c r="DH43" s="56">
        <f t="shared" si="5"/>
        <v>-122631.32372182162</v>
      </c>
      <c r="DI43" s="56">
        <f t="shared" si="6"/>
        <v>-97068.750000000873</v>
      </c>
      <c r="DJ43" s="56">
        <f t="shared" si="7"/>
        <v>92132.320000000444</v>
      </c>
      <c r="DK43" s="56">
        <f t="shared" si="23"/>
        <v>-7317.2949696365977</v>
      </c>
      <c r="DL43" s="56">
        <f t="shared" si="23"/>
        <v>17586.137086448725</v>
      </c>
      <c r="DM43" s="56">
        <f t="shared" si="23"/>
        <v>-10737.500000000146</v>
      </c>
      <c r="DN43" s="56">
        <f t="shared" si="23"/>
        <v>-9448.5999999998894</v>
      </c>
      <c r="DO43" s="56">
        <f t="shared" si="8"/>
        <v>-7317.2949696365977</v>
      </c>
      <c r="DP43" s="56">
        <f t="shared" si="8"/>
        <v>17586.137086448725</v>
      </c>
      <c r="DQ43" s="56">
        <f t="shared" si="8"/>
        <v>-10737.500000000146</v>
      </c>
      <c r="DR43" s="56">
        <f t="shared" si="8"/>
        <v>-9448.5999999998894</v>
      </c>
      <c r="DS43" s="56">
        <f>SUM(DO$15:DO43)</f>
        <v>46703.883522391203</v>
      </c>
      <c r="DT43" s="56">
        <f>SUM(DP$15:DP43)</f>
        <v>-115021.70330100521</v>
      </c>
      <c r="DU43" s="56">
        <f>SUM(DQ$15:DQ43)</f>
        <v>-82387.499999998196</v>
      </c>
      <c r="DV43" s="56">
        <f>SUM(DR$15:DR43)</f>
        <v>74618.553333333577</v>
      </c>
      <c r="DZ43" s="130">
        <v>45908.625</v>
      </c>
      <c r="EA43" s="147">
        <f t="shared" si="70"/>
        <v>46703.883522391203</v>
      </c>
      <c r="EB43" s="147">
        <f t="shared" si="24"/>
        <v>-115021.70330100521</v>
      </c>
      <c r="EC43" s="147">
        <f t="shared" si="25"/>
        <v>74618.553333333577</v>
      </c>
      <c r="ED43" s="147">
        <f t="shared" si="26"/>
        <v>-82387.499999998196</v>
      </c>
    </row>
    <row r="44" spans="1:134" x14ac:dyDescent="0.3">
      <c r="A44" s="137">
        <v>45888.625</v>
      </c>
      <c r="B44" s="73">
        <f t="shared" si="27"/>
        <v>94.8</v>
      </c>
      <c r="C44" s="31">
        <f t="shared" si="28"/>
        <v>201277.95527156579</v>
      </c>
      <c r="D44" s="32">
        <f t="shared" si="29"/>
        <v>-103635</v>
      </c>
      <c r="E44" s="73">
        <f t="shared" si="30"/>
        <v>100.99</v>
      </c>
      <c r="F44" s="31">
        <f t="shared" si="31"/>
        <v>-42168.0000000008</v>
      </c>
      <c r="G44" s="32">
        <f t="shared" si="32"/>
        <v>-36896.888279999999</v>
      </c>
      <c r="H44" s="73">
        <f t="shared" si="33"/>
        <v>120.27</v>
      </c>
      <c r="I44" s="31">
        <f t="shared" si="34"/>
        <v>-482982.77276456362</v>
      </c>
      <c r="J44" s="32">
        <f t="shared" si="35"/>
        <v>-178252.2</v>
      </c>
      <c r="K44" s="73">
        <f t="shared" si="36"/>
        <v>99.484999999999999</v>
      </c>
      <c r="L44" s="31">
        <f t="shared" si="37"/>
        <v>-94710.00000000195</v>
      </c>
      <c r="M44" s="32">
        <f t="shared" si="38"/>
        <v>-81157.492639999982</v>
      </c>
      <c r="N44" s="79">
        <f t="shared" si="17"/>
        <v>662075.32367612817</v>
      </c>
      <c r="O44" s="79"/>
      <c r="P44" s="79"/>
      <c r="Q44" s="79">
        <f>$G$5*SUM($O$14:O44)-$H$5*SUM($P$14:P44)</f>
        <v>-576200.5368</v>
      </c>
      <c r="R44" s="79">
        <f t="shared" si="18"/>
        <v>85874.786876128172</v>
      </c>
      <c r="S44" s="138"/>
      <c r="U44" s="72">
        <v>45831.625</v>
      </c>
      <c r="V44" s="54">
        <v>93.3</v>
      </c>
      <c r="W44" s="72">
        <v>45827.625</v>
      </c>
      <c r="X44" s="54">
        <v>101.432</v>
      </c>
      <c r="Y44" s="122">
        <v>45834.625</v>
      </c>
      <c r="Z44" s="54">
        <v>121.66</v>
      </c>
      <c r="AA44" s="72">
        <v>45903.625</v>
      </c>
      <c r="AB44" s="54">
        <v>99.596000000000004</v>
      </c>
      <c r="AF44" s="128">
        <v>45908.625</v>
      </c>
      <c r="AG44" s="45">
        <f t="shared" si="39"/>
        <v>80.87</v>
      </c>
      <c r="AH44" s="46">
        <f t="shared" si="40"/>
        <v>130515.84835301332</v>
      </c>
      <c r="AI44" s="46">
        <f t="shared" si="41"/>
        <v>-123374.99999999999</v>
      </c>
      <c r="AJ44" s="45">
        <f t="shared" si="42"/>
        <v>101.3828125</v>
      </c>
      <c r="AK44" s="46">
        <f t="shared" si="43"/>
        <v>252455.35714285713</v>
      </c>
      <c r="AL44" s="47">
        <f t="shared" si="44"/>
        <v>-5473.3935546875</v>
      </c>
      <c r="AM44" s="45">
        <f t="shared" si="45"/>
        <v>111.56</v>
      </c>
      <c r="AN44" s="46">
        <f t="shared" si="46"/>
        <v>659583.13085278275</v>
      </c>
      <c r="AO44" s="47">
        <f t="shared" si="47"/>
        <v>-126900.00000000001</v>
      </c>
      <c r="AP44" s="45">
        <f t="shared" si="48"/>
        <v>101.3828125</v>
      </c>
      <c r="AQ44" s="46">
        <f t="shared" si="49"/>
        <v>220089.28571428571</v>
      </c>
      <c r="AR44" s="47">
        <f t="shared" si="50"/>
        <v>-4771.6764322916642</v>
      </c>
      <c r="AS44" s="45">
        <f t="shared" si="51"/>
        <v>104.828125</v>
      </c>
      <c r="AT44" s="46">
        <f t="shared" si="52"/>
        <v>163225.44642857142</v>
      </c>
      <c r="AU44" s="47">
        <f t="shared" si="53"/>
        <v>1997.83203125</v>
      </c>
      <c r="AV44" s="45">
        <f t="shared" si="54"/>
        <v>98.953125</v>
      </c>
      <c r="AW44" s="46">
        <f t="shared" si="55"/>
        <v>312890.625</v>
      </c>
      <c r="AX44" s="47">
        <f t="shared" si="56"/>
        <v>5387.83984375</v>
      </c>
      <c r="AY44" s="79">
        <f t="shared" si="71"/>
        <v>-73704.893502373539</v>
      </c>
      <c r="AZ44" s="79"/>
      <c r="BA44" s="79"/>
      <c r="BB44" s="79">
        <f>$AO$4*SUM($AZ$14:AZ44)-$AP$4*SUM($BA$14:BA44)</f>
        <v>48926.430219448084</v>
      </c>
      <c r="BC44" s="79">
        <f t="shared" si="19"/>
        <v>-122631.32372182162</v>
      </c>
      <c r="BE44" s="72">
        <v>45826.625</v>
      </c>
      <c r="BF44" s="54">
        <v>79.55</v>
      </c>
      <c r="BG44" s="72">
        <v>45923.625</v>
      </c>
      <c r="BH44" s="54">
        <v>100.9140625</v>
      </c>
      <c r="BI44" s="72">
        <v>45826.625</v>
      </c>
      <c r="BJ44" s="54">
        <v>108.05</v>
      </c>
      <c r="BK44" s="72">
        <v>45923.625</v>
      </c>
      <c r="BL44" s="54">
        <v>100.9140625</v>
      </c>
      <c r="BM44" s="72">
        <v>45827.625</v>
      </c>
      <c r="BN44" s="54">
        <v>101.921875</v>
      </c>
      <c r="BO44" s="72">
        <v>45827.625</v>
      </c>
      <c r="BP44" s="54">
        <v>95.765625</v>
      </c>
      <c r="BR44" s="128">
        <f t="shared" si="20"/>
        <v>45908.625</v>
      </c>
      <c r="BS44" s="45">
        <f t="shared" si="21"/>
        <v>107.2625</v>
      </c>
      <c r="BT44" s="46">
        <f t="shared" si="58"/>
        <v>-78900.000000000859</v>
      </c>
      <c r="BU44" s="46">
        <f t="shared" si="59"/>
        <v>145833.33333333334</v>
      </c>
      <c r="BV44" s="45">
        <f t="shared" si="60"/>
        <v>49.890999999999998</v>
      </c>
      <c r="BW44" s="46">
        <f t="shared" si="61"/>
        <v>18168.750000000022</v>
      </c>
      <c r="BX44" s="47">
        <f t="shared" si="62"/>
        <v>145833.33333333334</v>
      </c>
      <c r="BY44" s="45">
        <f t="shared" si="63"/>
        <v>-97068.750000000873</v>
      </c>
      <c r="CA44" s="126">
        <v>45831.625</v>
      </c>
      <c r="CB44" s="54">
        <v>106.4867</v>
      </c>
      <c r="CC44" s="126">
        <v>45831.625</v>
      </c>
      <c r="CD44" s="54">
        <v>54.783000000000001</v>
      </c>
      <c r="CF44" s="128">
        <v>45908.625</v>
      </c>
      <c r="CG44" s="45">
        <f t="shared" si="22"/>
        <v>261.50299999999999</v>
      </c>
      <c r="CH44" s="46">
        <f t="shared" si="64"/>
        <v>52409.280000000239</v>
      </c>
      <c r="CI44" s="46">
        <f t="shared" si="65"/>
        <v>122500</v>
      </c>
      <c r="CJ44" s="45">
        <f t="shared" si="66"/>
        <v>53.42</v>
      </c>
      <c r="CK44" s="46">
        <f t="shared" si="67"/>
        <v>-27473.040000000216</v>
      </c>
      <c r="CL44" s="47">
        <f t="shared" si="68"/>
        <v>110250</v>
      </c>
      <c r="CM44" s="45">
        <f t="shared" si="69"/>
        <v>92132.320000000444</v>
      </c>
      <c r="CO44" s="126">
        <v>45831.625</v>
      </c>
      <c r="CP44" s="54">
        <v>305.47399999999999</v>
      </c>
      <c r="CQ44" s="126">
        <v>45831.625</v>
      </c>
      <c r="CR44" s="54">
        <v>59.47</v>
      </c>
      <c r="CS44" s="54"/>
      <c r="CT44" s="54"/>
      <c r="CU44" s="54"/>
      <c r="CV44" s="54"/>
      <c r="CW44" s="54"/>
      <c r="CX44" s="54"/>
      <c r="CY44" s="54"/>
      <c r="DF44" s="137">
        <v>45909.625</v>
      </c>
      <c r="DG44" s="56">
        <f t="shared" si="4"/>
        <v>36386.224515858805</v>
      </c>
      <c r="DH44" s="56">
        <f t="shared" si="5"/>
        <v>-153905.53055257845</v>
      </c>
      <c r="DI44" s="56">
        <f t="shared" si="6"/>
        <v>-112968.75000000009</v>
      </c>
      <c r="DJ44" s="56">
        <f t="shared" si="7"/>
        <v>79303.186666667287</v>
      </c>
      <c r="DK44" s="56">
        <f t="shared" si="23"/>
        <v>-18711.986927068792</v>
      </c>
      <c r="DL44" s="56">
        <f t="shared" si="23"/>
        <v>-31274.206830756826</v>
      </c>
      <c r="DM44" s="56">
        <f t="shared" si="23"/>
        <v>-15899.999999999214</v>
      </c>
      <c r="DN44" s="56">
        <f t="shared" si="23"/>
        <v>-12829.133333333157</v>
      </c>
      <c r="DO44" s="56">
        <f t="shared" si="8"/>
        <v>-18711.986927068792</v>
      </c>
      <c r="DP44" s="56">
        <f t="shared" si="8"/>
        <v>-31274.206830756826</v>
      </c>
      <c r="DQ44" s="56">
        <f t="shared" si="8"/>
        <v>-15899.999999999214</v>
      </c>
      <c r="DR44" s="56">
        <f t="shared" si="8"/>
        <v>-12829.133333333157</v>
      </c>
      <c r="DS44" s="56">
        <f>SUM(DO$15:DO44)</f>
        <v>27991.896595322411</v>
      </c>
      <c r="DT44" s="56">
        <f>SUM(DP$15:DP44)</f>
        <v>-146295.91013176204</v>
      </c>
      <c r="DU44" s="56">
        <f>SUM(DQ$15:DQ44)</f>
        <v>-98287.49999999741</v>
      </c>
      <c r="DV44" s="56">
        <f>SUM(DR$15:DR44)</f>
        <v>61789.42000000042</v>
      </c>
      <c r="DZ44" s="130">
        <v>45909.625</v>
      </c>
      <c r="EA44" s="147">
        <f t="shared" si="70"/>
        <v>27991.896595322411</v>
      </c>
      <c r="EB44" s="147">
        <f t="shared" si="24"/>
        <v>-146295.91013176204</v>
      </c>
      <c r="EC44" s="147">
        <f t="shared" si="25"/>
        <v>61789.42000000042</v>
      </c>
      <c r="ED44" s="147">
        <f t="shared" si="26"/>
        <v>-98287.49999999741</v>
      </c>
    </row>
    <row r="45" spans="1:134" x14ac:dyDescent="0.3">
      <c r="A45" s="137">
        <v>45889.625</v>
      </c>
      <c r="B45" s="73">
        <f t="shared" si="27"/>
        <v>94.64</v>
      </c>
      <c r="C45" s="31">
        <f t="shared" si="28"/>
        <v>165495.20766773206</v>
      </c>
      <c r="D45" s="32">
        <f t="shared" si="29"/>
        <v>-106102.5</v>
      </c>
      <c r="E45" s="73">
        <f t="shared" si="30"/>
        <v>101.083</v>
      </c>
      <c r="F45" s="31">
        <f t="shared" si="31"/>
        <v>-26544.000000000211</v>
      </c>
      <c r="G45" s="32">
        <f t="shared" si="32"/>
        <v>-37775.385620000015</v>
      </c>
      <c r="H45" s="73">
        <f t="shared" si="33"/>
        <v>120.39</v>
      </c>
      <c r="I45" s="31">
        <f t="shared" si="34"/>
        <v>-447425.75881870673</v>
      </c>
      <c r="J45" s="32">
        <f t="shared" si="35"/>
        <v>-182496.3</v>
      </c>
      <c r="K45" s="73">
        <f t="shared" si="36"/>
        <v>99.653999999999996</v>
      </c>
      <c r="L45" s="31">
        <f t="shared" si="37"/>
        <v>-36506.400000003014</v>
      </c>
      <c r="M45" s="32">
        <f t="shared" si="38"/>
        <v>-83089.813893333296</v>
      </c>
      <c r="N45" s="79">
        <f t="shared" si="17"/>
        <v>634037.93821310264</v>
      </c>
      <c r="O45" s="79"/>
      <c r="P45" s="79"/>
      <c r="Q45" s="79">
        <f>$G$5*SUM($O$14:O45)-$H$5*SUM($P$14:P45)</f>
        <v>-576200.5368</v>
      </c>
      <c r="R45" s="79">
        <f t="shared" si="18"/>
        <v>57837.401413102634</v>
      </c>
      <c r="S45" s="138"/>
      <c r="U45" s="72">
        <v>45832.625</v>
      </c>
      <c r="V45" s="54">
        <v>93.63</v>
      </c>
      <c r="W45" s="72">
        <v>45828.625</v>
      </c>
      <c r="X45" s="54">
        <v>101.38200000000001</v>
      </c>
      <c r="Y45" s="122">
        <v>45835.625</v>
      </c>
      <c r="Z45" s="54">
        <v>121.55</v>
      </c>
      <c r="AA45" s="72">
        <v>45904.625</v>
      </c>
      <c r="AB45" s="54">
        <v>99.653999999999996</v>
      </c>
      <c r="AF45" s="128">
        <v>45909.625</v>
      </c>
      <c r="AG45" s="45">
        <f t="shared" si="39"/>
        <v>80.78</v>
      </c>
      <c r="AH45" s="46">
        <f t="shared" si="40"/>
        <v>102548.1665630823</v>
      </c>
      <c r="AI45" s="46">
        <f t="shared" si="41"/>
        <v>-126312.50000000001</v>
      </c>
      <c r="AJ45" s="45">
        <f t="shared" si="42"/>
        <v>101.203125</v>
      </c>
      <c r="AK45" s="46">
        <f t="shared" si="43"/>
        <v>227427.45535714284</v>
      </c>
      <c r="AL45" s="47">
        <f t="shared" si="44"/>
        <v>-5603.7124488467089</v>
      </c>
      <c r="AM45" s="45">
        <f t="shared" si="45"/>
        <v>111.36</v>
      </c>
      <c r="AN45" s="46">
        <f t="shared" si="46"/>
        <v>612301.18598878465</v>
      </c>
      <c r="AO45" s="47">
        <f t="shared" si="47"/>
        <v>-129921.42857142858</v>
      </c>
      <c r="AP45" s="45">
        <f t="shared" si="48"/>
        <v>101.203125</v>
      </c>
      <c r="AQ45" s="46">
        <f t="shared" si="49"/>
        <v>198270.08928571429</v>
      </c>
      <c r="AR45" s="47">
        <f t="shared" si="50"/>
        <v>-4885.2877759176554</v>
      </c>
      <c r="AS45" s="45">
        <f t="shared" si="51"/>
        <v>104.5625</v>
      </c>
      <c r="AT45" s="46">
        <f t="shared" si="52"/>
        <v>148995.53571428571</v>
      </c>
      <c r="AU45" s="47">
        <f t="shared" si="53"/>
        <v>2045.3994605654771</v>
      </c>
      <c r="AV45" s="45">
        <f t="shared" si="54"/>
        <v>98.421875</v>
      </c>
      <c r="AW45" s="46">
        <f t="shared" si="55"/>
        <v>273046.875</v>
      </c>
      <c r="AX45" s="47">
        <f t="shared" si="56"/>
        <v>5516.1217447916715</v>
      </c>
      <c r="AY45" s="79">
        <f t="shared" si="71"/>
        <v>-104979.10033313035</v>
      </c>
      <c r="AZ45" s="79"/>
      <c r="BA45" s="79"/>
      <c r="BB45" s="79">
        <f>$AO$4*SUM($AZ$14:AZ45)-$AP$4*SUM($BA$14:BA45)</f>
        <v>48926.430219448084</v>
      </c>
      <c r="BC45" s="79">
        <f t="shared" si="19"/>
        <v>-153905.53055257845</v>
      </c>
      <c r="BE45" s="72">
        <v>45828.625</v>
      </c>
      <c r="BF45" s="54">
        <v>79.790000000000006</v>
      </c>
      <c r="BG45" s="72">
        <v>45924.625</v>
      </c>
      <c r="BH45" s="54">
        <v>100.71875</v>
      </c>
      <c r="BI45" s="72">
        <v>45828.625</v>
      </c>
      <c r="BJ45" s="54">
        <v>108.15</v>
      </c>
      <c r="BK45" s="72">
        <v>45924.625</v>
      </c>
      <c r="BL45" s="54">
        <v>100.71875</v>
      </c>
      <c r="BM45" s="72">
        <v>45828.625</v>
      </c>
      <c r="BN45" s="54">
        <v>102.015625</v>
      </c>
      <c r="BO45" s="72">
        <v>45828.625</v>
      </c>
      <c r="BP45" s="54">
        <v>95.703125</v>
      </c>
      <c r="BR45" s="128">
        <f t="shared" si="20"/>
        <v>45909.625</v>
      </c>
      <c r="BS45" s="45">
        <f t="shared" si="21"/>
        <v>107.24930000000001</v>
      </c>
      <c r="BT45" s="46">
        <f t="shared" si="58"/>
        <v>-82200.000000000276</v>
      </c>
      <c r="BU45" s="46">
        <f t="shared" si="59"/>
        <v>149305.55555555559</v>
      </c>
      <c r="BV45" s="45">
        <f t="shared" si="60"/>
        <v>49.667000000000002</v>
      </c>
      <c r="BW45" s="46">
        <f t="shared" si="61"/>
        <v>30768.749999999836</v>
      </c>
      <c r="BX45" s="47">
        <f t="shared" si="62"/>
        <v>149305.55555555556</v>
      </c>
      <c r="BY45" s="45">
        <f t="shared" si="63"/>
        <v>-112968.75000000009</v>
      </c>
      <c r="CA45" s="126">
        <v>45832.625</v>
      </c>
      <c r="CB45" s="54">
        <v>106.926</v>
      </c>
      <c r="CC45" s="126">
        <v>45832.625</v>
      </c>
      <c r="CD45" s="54">
        <v>52.908999999999999</v>
      </c>
      <c r="CF45" s="128">
        <v>45909.625</v>
      </c>
      <c r="CG45" s="45">
        <f t="shared" si="22"/>
        <v>261.88799999999998</v>
      </c>
      <c r="CH45" s="46">
        <f t="shared" si="64"/>
        <v>48851.880000000325</v>
      </c>
      <c r="CI45" s="46">
        <f t="shared" si="65"/>
        <v>125416.66666666669</v>
      </c>
      <c r="CJ45" s="45">
        <f t="shared" si="66"/>
        <v>53.2</v>
      </c>
      <c r="CK45" s="46">
        <f t="shared" si="67"/>
        <v>-17909.640000000265</v>
      </c>
      <c r="CL45" s="47">
        <f t="shared" si="68"/>
        <v>112875</v>
      </c>
      <c r="CM45" s="45">
        <f t="shared" si="69"/>
        <v>79303.186666667287</v>
      </c>
      <c r="CO45" s="126">
        <v>45832.625</v>
      </c>
      <c r="CP45" s="54">
        <v>292.42599999999999</v>
      </c>
      <c r="CQ45" s="126">
        <v>45832.625</v>
      </c>
      <c r="CR45" s="54">
        <v>56.341999999999999</v>
      </c>
      <c r="CS45" s="54"/>
      <c r="CT45" s="54"/>
      <c r="CU45" s="54"/>
      <c r="CV45" s="54"/>
      <c r="CW45" s="54"/>
      <c r="CX45" s="54"/>
      <c r="CY45" s="54"/>
      <c r="DF45" s="137">
        <v>45910.625</v>
      </c>
      <c r="DG45" s="56">
        <f t="shared" si="4"/>
        <v>5466.4184178904397</v>
      </c>
      <c r="DH45" s="56">
        <f t="shared" si="5"/>
        <v>-160013.64186113776</v>
      </c>
      <c r="DI45" s="56">
        <f t="shared" si="6"/>
        <v>-116187.50000000153</v>
      </c>
      <c r="DJ45" s="56">
        <f t="shared" si="7"/>
        <v>75135.92333333366</v>
      </c>
      <c r="DK45" s="56">
        <f t="shared" si="23"/>
        <v>-30919.806097968365</v>
      </c>
      <c r="DL45" s="56">
        <f t="shared" si="23"/>
        <v>-6108.1113085593097</v>
      </c>
      <c r="DM45" s="56">
        <f t="shared" si="23"/>
        <v>-3218.7500000014406</v>
      </c>
      <c r="DN45" s="56">
        <f t="shared" si="23"/>
        <v>-4167.2633333336271</v>
      </c>
      <c r="DO45" s="56">
        <f t="shared" si="8"/>
        <v>-30919.806097968365</v>
      </c>
      <c r="DP45" s="56">
        <f t="shared" si="8"/>
        <v>-6108.1113085593097</v>
      </c>
      <c r="DQ45" s="56">
        <f t="shared" si="8"/>
        <v>-3218.7500000014406</v>
      </c>
      <c r="DR45" s="56">
        <f t="shared" si="8"/>
        <v>-4167.2633333336271</v>
      </c>
      <c r="DS45" s="56">
        <f>SUM(DO$15:DO45)</f>
        <v>-2927.9095026459545</v>
      </c>
      <c r="DT45" s="56">
        <f>SUM(DP$15:DP45)</f>
        <v>-152404.02144032135</v>
      </c>
      <c r="DU45" s="56">
        <f>SUM(DQ$15:DQ45)</f>
        <v>-101506.24999999885</v>
      </c>
      <c r="DV45" s="56">
        <f>SUM(DR$15:DR45)</f>
        <v>57622.156666666793</v>
      </c>
      <c r="DZ45" s="130">
        <v>45910.625</v>
      </c>
      <c r="EA45" s="147">
        <f t="shared" si="70"/>
        <v>-2927.9095026459545</v>
      </c>
      <c r="EB45" s="147">
        <f t="shared" si="24"/>
        <v>-152404.02144032135</v>
      </c>
      <c r="EC45" s="147">
        <f t="shared" si="25"/>
        <v>57622.156666666793</v>
      </c>
      <c r="ED45" s="147">
        <f t="shared" si="26"/>
        <v>-101506.24999999885</v>
      </c>
    </row>
    <row r="46" spans="1:134" x14ac:dyDescent="0.3">
      <c r="A46" s="137">
        <v>45890.625</v>
      </c>
      <c r="B46" s="73">
        <f t="shared" si="27"/>
        <v>94.47</v>
      </c>
      <c r="C46" s="31">
        <f t="shared" si="28"/>
        <v>127476.03833865817</v>
      </c>
      <c r="D46" s="32">
        <f t="shared" si="29"/>
        <v>-108569.99999999999</v>
      </c>
      <c r="E46" s="73">
        <f t="shared" si="30"/>
        <v>100.955</v>
      </c>
      <c r="F46" s="31">
        <f t="shared" si="31"/>
        <v>-48048.000000000226</v>
      </c>
      <c r="G46" s="32">
        <f t="shared" si="32"/>
        <v>-38653.882959999988</v>
      </c>
      <c r="H46" s="73">
        <f t="shared" si="33"/>
        <v>120.12</v>
      </c>
      <c r="I46" s="31">
        <f t="shared" si="34"/>
        <v>-527429.04019688279</v>
      </c>
      <c r="J46" s="32">
        <f t="shared" si="35"/>
        <v>-186740.39999999997</v>
      </c>
      <c r="K46" s="73">
        <f t="shared" si="36"/>
        <v>99.468999999999994</v>
      </c>
      <c r="L46" s="31">
        <f t="shared" si="37"/>
        <v>-100220.40000000381</v>
      </c>
      <c r="M46" s="32">
        <f t="shared" si="38"/>
        <v>-85022.135146666682</v>
      </c>
      <c r="N46" s="79">
        <f t="shared" si="17"/>
        <v>634534.82634887064</v>
      </c>
      <c r="O46" s="79"/>
      <c r="P46" s="79"/>
      <c r="Q46" s="79">
        <f>$G$5*SUM($O$14:O46)-$H$5*SUM($P$14:P46)</f>
        <v>-576200.5368</v>
      </c>
      <c r="R46" s="79">
        <f t="shared" si="18"/>
        <v>58334.289548870642</v>
      </c>
      <c r="S46" s="138"/>
      <c r="U46" s="72">
        <v>45833.625</v>
      </c>
      <c r="V46" s="54">
        <v>93.47</v>
      </c>
      <c r="W46" s="72">
        <v>45831.625</v>
      </c>
      <c r="X46" s="54">
        <v>101.441</v>
      </c>
      <c r="Y46" s="122">
        <v>45838.625</v>
      </c>
      <c r="Z46" s="54">
        <v>121.69</v>
      </c>
      <c r="AA46" s="72">
        <v>45905.625</v>
      </c>
      <c r="AB46" s="54">
        <v>99.900999999999996</v>
      </c>
      <c r="AF46" s="128">
        <v>45910.625</v>
      </c>
      <c r="AG46" s="45">
        <f t="shared" si="39"/>
        <v>80.84</v>
      </c>
      <c r="AH46" s="46">
        <f t="shared" si="40"/>
        <v>121193.2877563715</v>
      </c>
      <c r="AI46" s="46">
        <f t="shared" si="41"/>
        <v>-129249.99999999999</v>
      </c>
      <c r="AJ46" s="45">
        <f t="shared" si="42"/>
        <v>101.2734375</v>
      </c>
      <c r="AK46" s="46">
        <f t="shared" si="43"/>
        <v>237220.98214285716</v>
      </c>
      <c r="AL46" s="47">
        <f t="shared" si="44"/>
        <v>-5734.0313430059614</v>
      </c>
      <c r="AM46" s="45">
        <f t="shared" si="45"/>
        <v>111.69</v>
      </c>
      <c r="AN46" s="46">
        <f t="shared" si="46"/>
        <v>690316.39501438069</v>
      </c>
      <c r="AO46" s="47">
        <f t="shared" si="47"/>
        <v>-132942.85714285716</v>
      </c>
      <c r="AP46" s="45">
        <f t="shared" si="48"/>
        <v>101.2734375</v>
      </c>
      <c r="AQ46" s="46">
        <f t="shared" si="49"/>
        <v>206808.03571428574</v>
      </c>
      <c r="AR46" s="47">
        <f t="shared" si="50"/>
        <v>-4998.8991195436465</v>
      </c>
      <c r="AS46" s="45">
        <f t="shared" si="51"/>
        <v>104.875</v>
      </c>
      <c r="AT46" s="46">
        <f t="shared" si="52"/>
        <v>165736.60714285716</v>
      </c>
      <c r="AU46" s="47">
        <f t="shared" si="53"/>
        <v>2092.9668898809505</v>
      </c>
      <c r="AV46" s="45">
        <f t="shared" si="54"/>
        <v>98.921875</v>
      </c>
      <c r="AW46" s="46">
        <f t="shared" si="55"/>
        <v>310546.875</v>
      </c>
      <c r="AX46" s="47">
        <f t="shared" si="56"/>
        <v>5644.4036458333358</v>
      </c>
      <c r="AY46" s="79">
        <f t="shared" si="71"/>
        <v>-111087.21164168968</v>
      </c>
      <c r="AZ46" s="79"/>
      <c r="BA46" s="79"/>
      <c r="BB46" s="79">
        <f>$AO$4*SUM($AZ$14:AZ46)-$AP$4*SUM($BA$14:BA46)</f>
        <v>48926.430219448084</v>
      </c>
      <c r="BC46" s="79">
        <f t="shared" si="19"/>
        <v>-160013.64186113776</v>
      </c>
      <c r="BE46" s="72">
        <v>45831.625</v>
      </c>
      <c r="BF46" s="54">
        <v>79.95</v>
      </c>
      <c r="BG46" s="72">
        <v>45925.625</v>
      </c>
      <c r="BH46" s="54">
        <v>100.5</v>
      </c>
      <c r="BI46" s="72">
        <v>45831.625</v>
      </c>
      <c r="BJ46" s="54">
        <v>108.41</v>
      </c>
      <c r="BK46" s="72">
        <v>45925.625</v>
      </c>
      <c r="BL46" s="54">
        <v>100.5</v>
      </c>
      <c r="BM46" s="72">
        <v>45831.625</v>
      </c>
      <c r="BN46" s="54">
        <v>102.34375</v>
      </c>
      <c r="BO46" s="72">
        <v>45831.625</v>
      </c>
      <c r="BP46" s="54">
        <v>95.984375</v>
      </c>
      <c r="BR46" s="128">
        <f t="shared" si="20"/>
        <v>45910.625</v>
      </c>
      <c r="BS46" s="45">
        <f t="shared" si="21"/>
        <v>107.3793</v>
      </c>
      <c r="BT46" s="46">
        <f t="shared" si="58"/>
        <v>-49700.000000001412</v>
      </c>
      <c r="BU46" s="46">
        <f t="shared" si="59"/>
        <v>152777.77777777778</v>
      </c>
      <c r="BV46" s="45">
        <f t="shared" si="60"/>
        <v>49.031999999999996</v>
      </c>
      <c r="BW46" s="46">
        <f t="shared" si="61"/>
        <v>66487.500000000116</v>
      </c>
      <c r="BX46" s="47">
        <f t="shared" si="62"/>
        <v>152777.77777777778</v>
      </c>
      <c r="BY46" s="45">
        <f t="shared" si="63"/>
        <v>-116187.50000000153</v>
      </c>
      <c r="CA46" s="126">
        <v>45833.625</v>
      </c>
      <c r="CB46" s="54">
        <v>106.8379</v>
      </c>
      <c r="CC46" s="126">
        <v>45833.625</v>
      </c>
      <c r="CD46" s="54">
        <v>53.393000000000001</v>
      </c>
      <c r="CF46" s="128">
        <v>45910.625</v>
      </c>
      <c r="CG46" s="45">
        <f t="shared" si="22"/>
        <v>258.988</v>
      </c>
      <c r="CH46" s="46">
        <f t="shared" si="64"/>
        <v>75647.880000000121</v>
      </c>
      <c r="CI46" s="46">
        <f t="shared" si="65"/>
        <v>128333.33333333333</v>
      </c>
      <c r="CJ46" s="45">
        <f t="shared" si="66"/>
        <v>52.481000000000002</v>
      </c>
      <c r="CK46" s="46">
        <f t="shared" si="67"/>
        <v>13345.289999999786</v>
      </c>
      <c r="CL46" s="47">
        <f t="shared" si="68"/>
        <v>115500</v>
      </c>
      <c r="CM46" s="45">
        <f t="shared" si="69"/>
        <v>75135.92333333366</v>
      </c>
      <c r="CO46" s="126">
        <v>45833.625</v>
      </c>
      <c r="CP46" s="54">
        <v>292.70999999999998</v>
      </c>
      <c r="CQ46" s="126">
        <v>45833.625</v>
      </c>
      <c r="CR46" s="54">
        <v>56.53</v>
      </c>
      <c r="CS46" s="54"/>
      <c r="CT46" s="54"/>
      <c r="CU46" s="54"/>
      <c r="CV46" s="54"/>
      <c r="CW46" s="54"/>
      <c r="CX46" s="54"/>
      <c r="CY46" s="54"/>
      <c r="DF46" s="137">
        <v>45911.625</v>
      </c>
      <c r="DG46" s="56">
        <f t="shared" si="4"/>
        <v>12091.450155399914</v>
      </c>
      <c r="DH46" s="56">
        <f t="shared" si="5"/>
        <v>-162093.46979187863</v>
      </c>
      <c r="DI46" s="56">
        <f t="shared" si="6"/>
        <v>-107900.00000000207</v>
      </c>
      <c r="DJ46" s="56">
        <f t="shared" si="7"/>
        <v>72519.930000000226</v>
      </c>
      <c r="DK46" s="56">
        <f t="shared" si="23"/>
        <v>6625.0317375094746</v>
      </c>
      <c r="DL46" s="56">
        <f t="shared" si="23"/>
        <v>-2079.8279307408666</v>
      </c>
      <c r="DM46" s="56">
        <f t="shared" si="23"/>
        <v>8287.4999999994616</v>
      </c>
      <c r="DN46" s="56">
        <f t="shared" si="23"/>
        <v>-2615.9933333334338</v>
      </c>
      <c r="DO46" s="56">
        <f t="shared" si="8"/>
        <v>6625.0317375094746</v>
      </c>
      <c r="DP46" s="56">
        <f t="shared" si="8"/>
        <v>-2079.8279307408666</v>
      </c>
      <c r="DQ46" s="56">
        <f t="shared" si="8"/>
        <v>8287.4999999994616</v>
      </c>
      <c r="DR46" s="56">
        <f t="shared" si="8"/>
        <v>-2615.9933333334338</v>
      </c>
      <c r="DS46" s="56">
        <f>SUM(DO$15:DO46)</f>
        <v>3697.1222348635201</v>
      </c>
      <c r="DT46" s="56">
        <f>SUM(DP$15:DP46)</f>
        <v>-154483.84937106221</v>
      </c>
      <c r="DU46" s="56">
        <f>SUM(DQ$15:DQ46)</f>
        <v>-93218.749999999389</v>
      </c>
      <c r="DV46" s="56">
        <f>SUM(DR$15:DR46)</f>
        <v>55006.163333333359</v>
      </c>
      <c r="DZ46" s="130">
        <v>45911.625</v>
      </c>
      <c r="EA46" s="147">
        <f t="shared" si="70"/>
        <v>3697.1222348635201</v>
      </c>
      <c r="EB46" s="147">
        <f t="shared" si="24"/>
        <v>-154483.84937106221</v>
      </c>
      <c r="EC46" s="147">
        <f t="shared" si="25"/>
        <v>55006.163333333359</v>
      </c>
      <c r="ED46" s="147">
        <f t="shared" si="26"/>
        <v>-93218.749999999389</v>
      </c>
    </row>
    <row r="47" spans="1:134" x14ac:dyDescent="0.3">
      <c r="A47" s="137">
        <v>45891.625</v>
      </c>
      <c r="B47" s="73">
        <f t="shared" si="27"/>
        <v>94.76</v>
      </c>
      <c r="C47" s="31">
        <f t="shared" si="28"/>
        <v>192332.26837060502</v>
      </c>
      <c r="D47" s="32">
        <f t="shared" si="29"/>
        <v>-111037.5</v>
      </c>
      <c r="E47" s="73">
        <f t="shared" si="30"/>
        <v>101.027</v>
      </c>
      <c r="F47" s="31">
        <f t="shared" si="31"/>
        <v>-35951.999999999774</v>
      </c>
      <c r="G47" s="32">
        <f t="shared" si="32"/>
        <v>-39532.38029999999</v>
      </c>
      <c r="H47" s="73">
        <f t="shared" si="33"/>
        <v>120.28</v>
      </c>
      <c r="I47" s="31">
        <f t="shared" si="34"/>
        <v>-480019.68826907623</v>
      </c>
      <c r="J47" s="32">
        <f t="shared" si="35"/>
        <v>-190984.5</v>
      </c>
      <c r="K47" s="73">
        <f t="shared" si="36"/>
        <v>99.596000000000004</v>
      </c>
      <c r="L47" s="31">
        <f t="shared" si="37"/>
        <v>-56481.600000000508</v>
      </c>
      <c r="M47" s="32">
        <f t="shared" si="38"/>
        <v>-86954.456399999995</v>
      </c>
      <c r="N47" s="79">
        <f t="shared" si="17"/>
        <v>684347.28053968039</v>
      </c>
      <c r="O47" s="79"/>
      <c r="P47" s="79"/>
      <c r="Q47" s="79">
        <f>$G$5*SUM($O$14:O47)-$H$5*SUM($P$14:P47)</f>
        <v>-576200.5368</v>
      </c>
      <c r="R47" s="79">
        <f t="shared" si="18"/>
        <v>108146.74373968039</v>
      </c>
      <c r="S47" s="138"/>
      <c r="U47" s="72">
        <v>45834.625</v>
      </c>
      <c r="V47" s="54">
        <v>93.5</v>
      </c>
      <c r="W47" s="72">
        <v>45832.625</v>
      </c>
      <c r="X47" s="54">
        <v>101.40600000000001</v>
      </c>
      <c r="Y47" s="122">
        <v>45839.625</v>
      </c>
      <c r="Z47" s="54">
        <v>121.84</v>
      </c>
      <c r="AA47" s="72">
        <v>45908.625</v>
      </c>
      <c r="AB47" s="54">
        <v>99.972999999999999</v>
      </c>
      <c r="AF47" s="128">
        <v>45911.625</v>
      </c>
      <c r="AG47" s="45">
        <f t="shared" si="39"/>
        <v>81.040000000000006</v>
      </c>
      <c r="AH47" s="46">
        <f t="shared" si="40"/>
        <v>183343.69173399478</v>
      </c>
      <c r="AI47" s="46">
        <f t="shared" si="41"/>
        <v>-132187.5</v>
      </c>
      <c r="AJ47" s="45">
        <f t="shared" si="42"/>
        <v>101.2734375</v>
      </c>
      <c r="AK47" s="46">
        <f t="shared" si="43"/>
        <v>237220.98214285716</v>
      </c>
      <c r="AL47" s="47">
        <f t="shared" si="44"/>
        <v>-5864.3502371651703</v>
      </c>
      <c r="AM47" s="45">
        <f t="shared" si="45"/>
        <v>112.21</v>
      </c>
      <c r="AN47" s="46">
        <f t="shared" si="46"/>
        <v>813249.45166077802</v>
      </c>
      <c r="AO47" s="47">
        <f t="shared" si="47"/>
        <v>-135964.28571428571</v>
      </c>
      <c r="AP47" s="45">
        <f t="shared" si="48"/>
        <v>101.2734375</v>
      </c>
      <c r="AQ47" s="46">
        <f t="shared" si="49"/>
        <v>206808.03571428574</v>
      </c>
      <c r="AR47" s="47">
        <f t="shared" si="50"/>
        <v>-5112.5104631696377</v>
      </c>
      <c r="AS47" s="45">
        <f t="shared" si="51"/>
        <v>105.046875</v>
      </c>
      <c r="AT47" s="46">
        <f t="shared" si="52"/>
        <v>174944.19642857142</v>
      </c>
      <c r="AU47" s="47">
        <f t="shared" si="53"/>
        <v>2140.5343191964312</v>
      </c>
      <c r="AV47" s="45">
        <f t="shared" si="54"/>
        <v>99.578125</v>
      </c>
      <c r="AW47" s="46">
        <f t="shared" si="55"/>
        <v>359765.625</v>
      </c>
      <c r="AX47" s="47">
        <f t="shared" si="56"/>
        <v>5772.685546875</v>
      </c>
      <c r="AY47" s="79">
        <f t="shared" si="71"/>
        <v>-113167.03957243054</v>
      </c>
      <c r="AZ47" s="79"/>
      <c r="BA47" s="79"/>
      <c r="BB47" s="79">
        <f>$AO$4*SUM($AZ$14:AZ47)-$AP$4*SUM($BA$14:BA47)</f>
        <v>48926.430219448084</v>
      </c>
      <c r="BC47" s="79">
        <f t="shared" si="19"/>
        <v>-162093.46979187863</v>
      </c>
      <c r="BE47" s="72">
        <v>45832.625</v>
      </c>
      <c r="BF47" s="54">
        <v>80.17</v>
      </c>
      <c r="BG47" s="72">
        <v>45926.625</v>
      </c>
      <c r="BH47" s="54">
        <v>100.4921875</v>
      </c>
      <c r="BI47" s="72">
        <v>45832.625</v>
      </c>
      <c r="BJ47" s="54">
        <v>108.92</v>
      </c>
      <c r="BK47" s="72">
        <v>45926.625</v>
      </c>
      <c r="BL47" s="54">
        <v>100.4921875</v>
      </c>
      <c r="BM47" s="72">
        <v>45832.625</v>
      </c>
      <c r="BN47" s="54">
        <v>102.703125</v>
      </c>
      <c r="BO47" s="72">
        <v>45832.625</v>
      </c>
      <c r="BP47" s="54">
        <v>96.625</v>
      </c>
      <c r="BR47" s="128">
        <f t="shared" si="20"/>
        <v>45911.625</v>
      </c>
      <c r="BS47" s="45">
        <f t="shared" si="21"/>
        <v>107.7234</v>
      </c>
      <c r="BT47" s="46">
        <f t="shared" si="58"/>
        <v>36324.999999997941</v>
      </c>
      <c r="BU47" s="46">
        <f t="shared" si="59"/>
        <v>156250</v>
      </c>
      <c r="BV47" s="45">
        <f t="shared" si="60"/>
        <v>47.65</v>
      </c>
      <c r="BW47" s="46">
        <f t="shared" si="61"/>
        <v>144225</v>
      </c>
      <c r="BX47" s="47">
        <f t="shared" si="62"/>
        <v>156250</v>
      </c>
      <c r="BY47" s="45">
        <f t="shared" si="63"/>
        <v>-107900.00000000207</v>
      </c>
      <c r="CA47" s="126">
        <v>45834.625</v>
      </c>
      <c r="CB47" s="54">
        <v>107.0552</v>
      </c>
      <c r="CC47" s="126">
        <v>45834.625</v>
      </c>
      <c r="CD47" s="54">
        <v>52.463000000000001</v>
      </c>
      <c r="CF47" s="128">
        <v>45911.625</v>
      </c>
      <c r="CG47" s="45">
        <f t="shared" si="22"/>
        <v>253.00800000000001</v>
      </c>
      <c r="CH47" s="46">
        <f t="shared" si="64"/>
        <v>130903.08000000005</v>
      </c>
      <c r="CI47" s="46">
        <f t="shared" si="65"/>
        <v>131250</v>
      </c>
      <c r="CJ47" s="45">
        <f t="shared" si="66"/>
        <v>51.143000000000001</v>
      </c>
      <c r="CK47" s="46">
        <f t="shared" si="67"/>
        <v>71508.149999999834</v>
      </c>
      <c r="CL47" s="47">
        <f t="shared" si="68"/>
        <v>118125</v>
      </c>
      <c r="CM47" s="45">
        <f t="shared" si="69"/>
        <v>72519.930000000226</v>
      </c>
      <c r="CO47" s="126">
        <v>45834.625</v>
      </c>
      <c r="CP47" s="54">
        <v>290.971</v>
      </c>
      <c r="CQ47" s="126">
        <v>45834.625</v>
      </c>
      <c r="CR47" s="54">
        <v>56.253999999999998</v>
      </c>
      <c r="CS47" s="54"/>
      <c r="CT47" s="54"/>
      <c r="CU47" s="54"/>
      <c r="CV47" s="54"/>
      <c r="CW47" s="54"/>
      <c r="CX47" s="54"/>
      <c r="CY47" s="54"/>
      <c r="DF47" s="137">
        <v>45912.625</v>
      </c>
      <c r="DG47" s="56">
        <f t="shared" si="4"/>
        <v>34955.09401248541</v>
      </c>
      <c r="DH47" s="56">
        <f t="shared" si="5"/>
        <v>-186716.62963804047</v>
      </c>
      <c r="DI47" s="56">
        <f t="shared" si="6"/>
        <v>-112062.50000000326</v>
      </c>
      <c r="DJ47" s="56">
        <f t="shared" si="7"/>
        <v>71067.12666666678</v>
      </c>
      <c r="DK47" s="56">
        <f t="shared" si="23"/>
        <v>22863.643857085495</v>
      </c>
      <c r="DL47" s="56">
        <f t="shared" si="23"/>
        <v>-24623.159846161841</v>
      </c>
      <c r="DM47" s="56">
        <f t="shared" si="23"/>
        <v>-4162.5000000011933</v>
      </c>
      <c r="DN47" s="56">
        <f t="shared" si="23"/>
        <v>-1452.8033333334461</v>
      </c>
      <c r="DO47" s="56">
        <f t="shared" si="8"/>
        <v>22863.643857085495</v>
      </c>
      <c r="DP47" s="56">
        <f t="shared" si="8"/>
        <v>-24623.159846161841</v>
      </c>
      <c r="DQ47" s="56">
        <f t="shared" si="8"/>
        <v>-4162.5000000011933</v>
      </c>
      <c r="DR47" s="56">
        <f t="shared" si="8"/>
        <v>-1452.8033333334461</v>
      </c>
      <c r="DS47" s="56">
        <f>SUM(DO$15:DO47)</f>
        <v>26560.766091949015</v>
      </c>
      <c r="DT47" s="56">
        <f>SUM(DP$15:DP47)</f>
        <v>-179107.00921722405</v>
      </c>
      <c r="DU47" s="56">
        <f>SUM(DQ$15:DQ47)</f>
        <v>-97381.250000000582</v>
      </c>
      <c r="DV47" s="56">
        <f>SUM(DR$15:DR47)</f>
        <v>53553.359999999913</v>
      </c>
      <c r="DZ47" s="130">
        <v>45912.625</v>
      </c>
      <c r="EA47" s="147">
        <f t="shared" si="70"/>
        <v>26560.766091949015</v>
      </c>
      <c r="EB47" s="147">
        <f t="shared" ref="EB47:EB75" si="72">VLOOKUP(DZ47,DF:DT,15)</f>
        <v>-179107.00921722405</v>
      </c>
      <c r="EC47" s="147">
        <f t="shared" ref="EC47:EC75" si="73">VLOOKUP(DZ47,DF:DV,17)</f>
        <v>53553.359999999913</v>
      </c>
      <c r="ED47" s="147">
        <f t="shared" ref="ED47:ED75" si="74">VLOOKUP(DZ47,DF:DU,16)</f>
        <v>-97381.250000000582</v>
      </c>
    </row>
    <row r="48" spans="1:134" x14ac:dyDescent="0.3">
      <c r="A48" s="137">
        <v>45894.625</v>
      </c>
      <c r="B48" s="73">
        <f t="shared" si="27"/>
        <v>94.76</v>
      </c>
      <c r="C48" s="31">
        <f t="shared" si="28"/>
        <v>192332.26837060502</v>
      </c>
      <c r="D48" s="32">
        <f t="shared" si="29"/>
        <v>-118439.99999999999</v>
      </c>
      <c r="E48" s="73">
        <f t="shared" si="30"/>
        <v>100.916</v>
      </c>
      <c r="F48" s="31">
        <f t="shared" si="31"/>
        <v>-54600.00000000048</v>
      </c>
      <c r="G48" s="32">
        <f t="shared" si="32"/>
        <v>-42167.872319999995</v>
      </c>
      <c r="H48" s="73">
        <f t="shared" si="33"/>
        <v>120.28</v>
      </c>
      <c r="I48" s="31">
        <f t="shared" si="34"/>
        <v>-480019.68826907623</v>
      </c>
      <c r="J48" s="32">
        <f t="shared" si="35"/>
        <v>-203716.79999999996</v>
      </c>
      <c r="K48" s="73">
        <f t="shared" si="36"/>
        <v>99.394999999999996</v>
      </c>
      <c r="L48" s="31">
        <f t="shared" si="37"/>
        <v>-125706.00000000314</v>
      </c>
      <c r="M48" s="32">
        <f t="shared" si="38"/>
        <v>-92751.420159999994</v>
      </c>
      <c r="N48" s="79">
        <f t="shared" si="17"/>
        <v>635939.2087996786</v>
      </c>
      <c r="O48" s="79"/>
      <c r="P48" s="79"/>
      <c r="Q48" s="79">
        <f>$G$5*SUM($O$14:O48)-$H$5*SUM($P$14:P48)</f>
        <v>-576200.5368</v>
      </c>
      <c r="R48" s="79">
        <f t="shared" si="18"/>
        <v>59738.671999678598</v>
      </c>
      <c r="S48" s="138"/>
      <c r="U48" s="72">
        <v>45835.625</v>
      </c>
      <c r="V48" s="54">
        <v>93.63</v>
      </c>
      <c r="W48" s="72">
        <v>45833.625</v>
      </c>
      <c r="X48" s="54">
        <v>101.367</v>
      </c>
      <c r="Y48" s="122">
        <v>45840.625</v>
      </c>
      <c r="Z48" s="54">
        <v>121.82</v>
      </c>
      <c r="AA48" s="72">
        <v>45909.625</v>
      </c>
      <c r="AB48" s="54">
        <v>99.885999999999996</v>
      </c>
      <c r="AF48" s="128">
        <v>45912.625</v>
      </c>
      <c r="AG48" s="45">
        <f t="shared" si="39"/>
        <v>80.959999999999994</v>
      </c>
      <c r="AH48" s="46">
        <f t="shared" si="40"/>
        <v>158483.53014294436</v>
      </c>
      <c r="AI48" s="46">
        <f t="shared" si="41"/>
        <v>-135124.99999999997</v>
      </c>
      <c r="AJ48" s="45">
        <f t="shared" si="42"/>
        <v>101.1015625</v>
      </c>
      <c r="AK48" s="46">
        <f t="shared" si="43"/>
        <v>213281.25</v>
      </c>
      <c r="AL48" s="47">
        <f t="shared" si="44"/>
        <v>-5994.6691313244082</v>
      </c>
      <c r="AM48" s="45">
        <f t="shared" si="45"/>
        <v>112.01</v>
      </c>
      <c r="AN48" s="46">
        <f t="shared" si="46"/>
        <v>765967.50679677993</v>
      </c>
      <c r="AO48" s="47">
        <f t="shared" si="47"/>
        <v>-138985.71428571429</v>
      </c>
      <c r="AP48" s="45">
        <f t="shared" si="48"/>
        <v>101.1015625</v>
      </c>
      <c r="AQ48" s="46">
        <f t="shared" si="49"/>
        <v>185937.5</v>
      </c>
      <c r="AR48" s="47">
        <f t="shared" si="50"/>
        <v>-5226.1218067956361</v>
      </c>
      <c r="AS48" s="45">
        <f t="shared" si="51"/>
        <v>104.71875</v>
      </c>
      <c r="AT48" s="46">
        <f t="shared" si="52"/>
        <v>157366.07142857142</v>
      </c>
      <c r="AU48" s="47">
        <f t="shared" si="53"/>
        <v>2188.1017485119046</v>
      </c>
      <c r="AV48" s="45">
        <f t="shared" si="54"/>
        <v>99.140625</v>
      </c>
      <c r="AW48" s="46">
        <f t="shared" si="55"/>
        <v>326953.125</v>
      </c>
      <c r="AX48" s="47">
        <f t="shared" si="56"/>
        <v>5900.9674479166715</v>
      </c>
      <c r="AY48" s="79">
        <f t="shared" si="71"/>
        <v>-137790.19941859238</v>
      </c>
      <c r="AZ48" s="79"/>
      <c r="BA48" s="79"/>
      <c r="BB48" s="79">
        <f>$AO$4*SUM($AZ$14:AZ48)-$AP$4*SUM($BA$14:BA48)</f>
        <v>48926.430219448084</v>
      </c>
      <c r="BC48" s="79">
        <f t="shared" si="19"/>
        <v>-186716.62963804047</v>
      </c>
      <c r="BE48" s="72">
        <v>45833.625</v>
      </c>
      <c r="BF48" s="54">
        <v>80.150000000000006</v>
      </c>
      <c r="BG48" s="72">
        <v>45929.625</v>
      </c>
      <c r="BH48" s="54">
        <v>100.6015625</v>
      </c>
      <c r="BI48" s="72">
        <v>45833.625</v>
      </c>
      <c r="BJ48" s="54">
        <v>108.79</v>
      </c>
      <c r="BK48" s="72">
        <v>45929.625</v>
      </c>
      <c r="BL48" s="54">
        <v>100.6015625</v>
      </c>
      <c r="BM48" s="72">
        <v>45833.625</v>
      </c>
      <c r="BN48" s="54">
        <v>102.78125</v>
      </c>
      <c r="BO48" s="72">
        <v>45833.625</v>
      </c>
      <c r="BP48" s="54">
        <v>96.6875</v>
      </c>
      <c r="BR48" s="128">
        <f t="shared" si="20"/>
        <v>45912.625</v>
      </c>
      <c r="BS48" s="45">
        <f t="shared" si="21"/>
        <v>107.64149999999999</v>
      </c>
      <c r="BT48" s="46">
        <f t="shared" si="58"/>
        <v>15849.999999996809</v>
      </c>
      <c r="BU48" s="46">
        <f t="shared" si="59"/>
        <v>159722.22222222222</v>
      </c>
      <c r="BV48" s="45">
        <f t="shared" si="60"/>
        <v>47.94</v>
      </c>
      <c r="BW48" s="46">
        <f t="shared" si="61"/>
        <v>127912.50000000006</v>
      </c>
      <c r="BX48" s="47">
        <f t="shared" si="62"/>
        <v>159722.22222222222</v>
      </c>
      <c r="BY48" s="45">
        <f t="shared" si="63"/>
        <v>-112062.50000000326</v>
      </c>
      <c r="CA48" s="126">
        <v>45835.625</v>
      </c>
      <c r="CB48" s="54">
        <v>107.2032</v>
      </c>
      <c r="CC48" s="126">
        <v>45835.625</v>
      </c>
      <c r="CD48" s="54">
        <v>52.195</v>
      </c>
      <c r="CF48" s="128">
        <v>45912.625</v>
      </c>
      <c r="CG48" s="45">
        <f t="shared" si="22"/>
        <v>252.27</v>
      </c>
      <c r="CH48" s="46">
        <f t="shared" si="64"/>
        <v>137722.20000000001</v>
      </c>
      <c r="CI48" s="46">
        <f t="shared" si="65"/>
        <v>134166.66666666666</v>
      </c>
      <c r="CJ48" s="45">
        <f t="shared" si="66"/>
        <v>50.945999999999998</v>
      </c>
      <c r="CK48" s="46">
        <f t="shared" si="67"/>
        <v>80071.739999999947</v>
      </c>
      <c r="CL48" s="47">
        <f t="shared" si="68"/>
        <v>120749.99999999999</v>
      </c>
      <c r="CM48" s="45">
        <f t="shared" si="69"/>
        <v>71067.12666666678</v>
      </c>
      <c r="CO48" s="126">
        <v>45835.625</v>
      </c>
      <c r="CP48" s="54">
        <v>285.11700000000002</v>
      </c>
      <c r="CQ48" s="126">
        <v>45835.625</v>
      </c>
      <c r="CR48" s="54">
        <v>54.988</v>
      </c>
      <c r="CS48" s="54"/>
      <c r="CT48" s="54"/>
      <c r="CU48" s="54"/>
      <c r="CV48" s="54"/>
      <c r="CW48" s="54"/>
      <c r="CX48" s="54"/>
      <c r="CY48" s="54"/>
      <c r="DF48" s="137">
        <v>45915.625</v>
      </c>
      <c r="DG48" s="56">
        <f t="shared" si="4"/>
        <v>28133.430804065109</v>
      </c>
      <c r="DH48" s="56">
        <f t="shared" si="5"/>
        <v>-170874.13007595699</v>
      </c>
      <c r="DI48" s="56">
        <f t="shared" si="6"/>
        <v>-110406.25000000081</v>
      </c>
      <c r="DJ48" s="56">
        <f t="shared" si="7"/>
        <v>73883.366666667149</v>
      </c>
      <c r="DK48" s="56">
        <f t="shared" si="23"/>
        <v>-6821.6632084203011</v>
      </c>
      <c r="DL48" s="56">
        <f t="shared" si="23"/>
        <v>15842.499562083482</v>
      </c>
      <c r="DM48" s="56">
        <f t="shared" si="23"/>
        <v>1656.2500000024447</v>
      </c>
      <c r="DN48" s="56">
        <f t="shared" si="23"/>
        <v>2816.240000000369</v>
      </c>
      <c r="DO48" s="56">
        <f t="shared" si="8"/>
        <v>-6821.6632084203011</v>
      </c>
      <c r="DP48" s="56">
        <f t="shared" si="8"/>
        <v>15842.499562083482</v>
      </c>
      <c r="DQ48" s="56">
        <f t="shared" si="8"/>
        <v>1656.2500000024447</v>
      </c>
      <c r="DR48" s="56">
        <f t="shared" si="8"/>
        <v>2816.240000000369</v>
      </c>
      <c r="DS48" s="56">
        <f>SUM(DO$15:DO48)</f>
        <v>19739.102883528714</v>
      </c>
      <c r="DT48" s="56">
        <f>SUM(DP$15:DP48)</f>
        <v>-163264.50965514057</v>
      </c>
      <c r="DU48" s="56">
        <f>SUM(DQ$15:DQ48)</f>
        <v>-95724.999999998137</v>
      </c>
      <c r="DV48" s="56">
        <f>SUM(DR$15:DR48)</f>
        <v>56369.600000000282</v>
      </c>
      <c r="DZ48" s="130">
        <v>45915.625</v>
      </c>
      <c r="EA48" s="147">
        <f t="shared" si="70"/>
        <v>19739.102883528714</v>
      </c>
      <c r="EB48" s="147">
        <f t="shared" si="72"/>
        <v>-163264.50965514057</v>
      </c>
      <c r="EC48" s="147">
        <f t="shared" si="73"/>
        <v>56369.600000000282</v>
      </c>
      <c r="ED48" s="147">
        <f t="shared" si="74"/>
        <v>-95724.999999998137</v>
      </c>
    </row>
    <row r="49" spans="1:134" x14ac:dyDescent="0.3">
      <c r="A49" s="137">
        <v>45895.625</v>
      </c>
      <c r="B49" s="73">
        <f t="shared" si="27"/>
        <v>94.59</v>
      </c>
      <c r="C49" s="31">
        <f t="shared" si="28"/>
        <v>154313.09904153112</v>
      </c>
      <c r="D49" s="32">
        <f t="shared" si="29"/>
        <v>-120907.49999999997</v>
      </c>
      <c r="E49" s="73">
        <f t="shared" si="30"/>
        <v>101.051</v>
      </c>
      <c r="F49" s="31">
        <f t="shared" si="31"/>
        <v>-31919.999999999618</v>
      </c>
      <c r="G49" s="32">
        <f t="shared" si="32"/>
        <v>-43046.369659999989</v>
      </c>
      <c r="H49" s="73">
        <f t="shared" si="33"/>
        <v>120.28</v>
      </c>
      <c r="I49" s="31">
        <f t="shared" si="34"/>
        <v>-480019.68826907623</v>
      </c>
      <c r="J49" s="32">
        <f t="shared" si="35"/>
        <v>-207960.89999999997</v>
      </c>
      <c r="K49" s="73">
        <f t="shared" si="36"/>
        <v>99.643000000000001</v>
      </c>
      <c r="L49" s="31">
        <f t="shared" si="37"/>
        <v>-40294.800000001524</v>
      </c>
      <c r="M49" s="32">
        <f t="shared" si="38"/>
        <v>-94683.741413333337</v>
      </c>
      <c r="N49" s="79">
        <f t="shared" si="17"/>
        <v>661374.01555727213</v>
      </c>
      <c r="O49" s="79"/>
      <c r="P49" s="79"/>
      <c r="Q49" s="79">
        <f>$G$5*SUM($O$14:O49)-$H$5*SUM($P$14:P49)</f>
        <v>-576200.5368</v>
      </c>
      <c r="R49" s="79">
        <f t="shared" si="18"/>
        <v>85173.478757272125</v>
      </c>
      <c r="S49" s="138"/>
      <c r="U49" s="72">
        <v>45838.625</v>
      </c>
      <c r="V49" s="54">
        <v>93.64</v>
      </c>
      <c r="W49" s="72">
        <v>45834.625</v>
      </c>
      <c r="X49" s="54">
        <v>101.43</v>
      </c>
      <c r="Y49" s="122">
        <v>45841.625</v>
      </c>
      <c r="Z49" s="54">
        <v>122.16</v>
      </c>
      <c r="AA49" s="72">
        <v>45910.625</v>
      </c>
      <c r="AB49" s="54">
        <v>99.86</v>
      </c>
      <c r="AF49" s="128">
        <v>45915.625</v>
      </c>
      <c r="AG49" s="45">
        <f t="shared" si="39"/>
        <v>81.19</v>
      </c>
      <c r="AH49" s="46">
        <f t="shared" si="40"/>
        <v>229956.49471721501</v>
      </c>
      <c r="AI49" s="46">
        <f t="shared" si="41"/>
        <v>-143937.49999999997</v>
      </c>
      <c r="AJ49" s="45">
        <f t="shared" si="42"/>
        <v>101.1953125</v>
      </c>
      <c r="AK49" s="46">
        <f t="shared" si="43"/>
        <v>226339.28571428574</v>
      </c>
      <c r="AL49" s="47">
        <f t="shared" si="44"/>
        <v>-6385.6258138020785</v>
      </c>
      <c r="AM49" s="45">
        <f t="shared" si="45"/>
        <v>112.36</v>
      </c>
      <c r="AN49" s="46">
        <f t="shared" si="46"/>
        <v>848710.91030878096</v>
      </c>
      <c r="AO49" s="47">
        <f t="shared" si="47"/>
        <v>-148050</v>
      </c>
      <c r="AP49" s="45">
        <f t="shared" si="48"/>
        <v>101.1953125</v>
      </c>
      <c r="AQ49" s="46">
        <f t="shared" si="49"/>
        <v>197321.42857142858</v>
      </c>
      <c r="AR49" s="47">
        <f t="shared" si="50"/>
        <v>-5566.9558376736095</v>
      </c>
      <c r="AS49" s="45">
        <f t="shared" si="51"/>
        <v>104.890625</v>
      </c>
      <c r="AT49" s="46">
        <f t="shared" si="52"/>
        <v>166573.66071428571</v>
      </c>
      <c r="AU49" s="47">
        <f t="shared" si="53"/>
        <v>2330.8040364583321</v>
      </c>
      <c r="AV49" s="45">
        <f t="shared" si="54"/>
        <v>99.390625</v>
      </c>
      <c r="AW49" s="46">
        <f t="shared" si="55"/>
        <v>345703.125</v>
      </c>
      <c r="AX49" s="47">
        <f t="shared" si="56"/>
        <v>6285.8131510416715</v>
      </c>
      <c r="AY49" s="79">
        <f t="shared" si="71"/>
        <v>-121947.69985650889</v>
      </c>
      <c r="AZ49" s="79"/>
      <c r="BA49" s="79"/>
      <c r="BB49" s="79">
        <f>$AO$4*SUM($AZ$14:AZ49)-$AP$4*SUM($BA$14:BA49)</f>
        <v>48926.430219448084</v>
      </c>
      <c r="BC49" s="79">
        <f t="shared" si="19"/>
        <v>-170874.13007595699</v>
      </c>
      <c r="BE49" s="72">
        <v>45834.625</v>
      </c>
      <c r="BF49" s="54">
        <v>80.38</v>
      </c>
      <c r="BG49" s="72">
        <v>45930.625</v>
      </c>
      <c r="BH49" s="54">
        <v>100.6171875</v>
      </c>
      <c r="BI49" s="72">
        <v>45834.625</v>
      </c>
      <c r="BJ49" s="54">
        <v>109.19</v>
      </c>
      <c r="BK49" s="72">
        <v>45930.625</v>
      </c>
      <c r="BL49" s="54">
        <v>100.6171875</v>
      </c>
      <c r="BM49" s="72">
        <v>45834.625</v>
      </c>
      <c r="BN49" s="54">
        <v>103.109375</v>
      </c>
      <c r="BO49" s="72">
        <v>45834.625</v>
      </c>
      <c r="BP49" s="54">
        <v>97.140625</v>
      </c>
      <c r="BR49" s="128">
        <f t="shared" si="20"/>
        <v>45915.625</v>
      </c>
      <c r="BS49" s="45">
        <f t="shared" si="21"/>
        <v>107.8558</v>
      </c>
      <c r="BT49" s="46">
        <f t="shared" si="58"/>
        <v>69424.999999998952</v>
      </c>
      <c r="BU49" s="46">
        <f t="shared" si="59"/>
        <v>170138.88888888888</v>
      </c>
      <c r="BV49" s="45">
        <f t="shared" si="60"/>
        <v>47.017000000000003</v>
      </c>
      <c r="BW49" s="46">
        <f t="shared" si="61"/>
        <v>179831.24999999977</v>
      </c>
      <c r="BX49" s="47">
        <f t="shared" si="62"/>
        <v>170138.88888888888</v>
      </c>
      <c r="BY49" s="45">
        <f t="shared" si="63"/>
        <v>-110406.25000000081</v>
      </c>
      <c r="CA49" s="126">
        <v>45838.625</v>
      </c>
      <c r="CB49" s="54">
        <v>107.5166</v>
      </c>
      <c r="CC49" s="126">
        <v>45838.625</v>
      </c>
      <c r="CD49" s="54">
        <v>50.99</v>
      </c>
      <c r="CF49" s="128">
        <v>45915.625</v>
      </c>
      <c r="CG49" s="45">
        <f t="shared" si="22"/>
        <v>247.80699999999999</v>
      </c>
      <c r="CH49" s="46">
        <f t="shared" si="64"/>
        <v>178960.32000000027</v>
      </c>
      <c r="CI49" s="46">
        <f t="shared" si="65"/>
        <v>142916.66666666666</v>
      </c>
      <c r="CJ49" s="45">
        <f t="shared" si="66"/>
        <v>50.042000000000002</v>
      </c>
      <c r="CK49" s="46">
        <f t="shared" si="67"/>
        <v>119368.61999999979</v>
      </c>
      <c r="CL49" s="47">
        <f t="shared" si="68"/>
        <v>128624.99999999999</v>
      </c>
      <c r="CM49" s="45">
        <f t="shared" si="69"/>
        <v>73883.366666667149</v>
      </c>
      <c r="CO49" s="126">
        <v>45838.625</v>
      </c>
      <c r="CP49" s="54">
        <v>282.50799999999998</v>
      </c>
      <c r="CQ49" s="126">
        <v>45838.625</v>
      </c>
      <c r="CR49" s="54">
        <v>54.523000000000003</v>
      </c>
      <c r="CS49" s="54"/>
      <c r="CT49" s="54"/>
      <c r="CU49" s="54"/>
      <c r="CV49" s="54"/>
      <c r="CW49" s="54"/>
      <c r="CX49" s="54"/>
      <c r="CY49" s="54"/>
      <c r="DF49" s="137">
        <v>45916.625</v>
      </c>
      <c r="DG49" s="56">
        <f t="shared" si="4"/>
        <v>18384.305895048805</v>
      </c>
      <c r="DH49" s="56">
        <f t="shared" si="5"/>
        <v>-153659.82909921103</v>
      </c>
      <c r="DI49" s="56">
        <f t="shared" si="6"/>
        <v>-95212.50000000032</v>
      </c>
      <c r="DJ49" s="56">
        <f t="shared" si="7"/>
        <v>69246.963333333493</v>
      </c>
      <c r="DK49" s="56">
        <f t="shared" si="23"/>
        <v>-9749.1249090163037</v>
      </c>
      <c r="DL49" s="56">
        <f t="shared" si="23"/>
        <v>17214.300976745959</v>
      </c>
      <c r="DM49" s="56">
        <f t="shared" si="23"/>
        <v>15193.750000000495</v>
      </c>
      <c r="DN49" s="56">
        <f t="shared" si="23"/>
        <v>-4636.4033333336556</v>
      </c>
      <c r="DO49" s="56">
        <f t="shared" si="8"/>
        <v>-9749.1249090163037</v>
      </c>
      <c r="DP49" s="56">
        <f t="shared" si="8"/>
        <v>17214.300976745959</v>
      </c>
      <c r="DQ49" s="56">
        <f t="shared" si="8"/>
        <v>15193.750000000495</v>
      </c>
      <c r="DR49" s="56">
        <f t="shared" si="8"/>
        <v>-4636.4033333336556</v>
      </c>
      <c r="DS49" s="56">
        <f>SUM(DO$15:DO49)</f>
        <v>9989.9779745124106</v>
      </c>
      <c r="DT49" s="56">
        <f>SUM(DP$15:DP49)</f>
        <v>-146050.20867839461</v>
      </c>
      <c r="DU49" s="56">
        <f>SUM(DQ$15:DQ49)</f>
        <v>-80531.249999997643</v>
      </c>
      <c r="DV49" s="56">
        <f>SUM(DR$15:DR49)</f>
        <v>51733.196666666627</v>
      </c>
      <c r="DZ49" s="130">
        <v>45916.625</v>
      </c>
      <c r="EA49" s="147">
        <f t="shared" si="70"/>
        <v>9989.9779745124106</v>
      </c>
      <c r="EB49" s="147">
        <f t="shared" si="72"/>
        <v>-146050.20867839461</v>
      </c>
      <c r="EC49" s="147">
        <f t="shared" si="73"/>
        <v>51733.196666666627</v>
      </c>
      <c r="ED49" s="147">
        <f t="shared" si="74"/>
        <v>-80531.249999997643</v>
      </c>
    </row>
    <row r="50" spans="1:134" x14ac:dyDescent="0.3">
      <c r="A50" s="137">
        <v>45896.625</v>
      </c>
      <c r="B50" s="73">
        <f t="shared" si="27"/>
        <v>94.56</v>
      </c>
      <c r="C50" s="31">
        <f t="shared" si="28"/>
        <v>147603.83386581522</v>
      </c>
      <c r="D50" s="32">
        <f t="shared" si="29"/>
        <v>-123375</v>
      </c>
      <c r="E50" s="73">
        <f t="shared" si="30"/>
        <v>101.142</v>
      </c>
      <c r="F50" s="31">
        <f t="shared" si="31"/>
        <v>-16632.000000000629</v>
      </c>
      <c r="G50" s="32">
        <f t="shared" si="32"/>
        <v>-43924.866999999998</v>
      </c>
      <c r="H50" s="73">
        <f t="shared" si="33"/>
        <v>120.28</v>
      </c>
      <c r="I50" s="31">
        <f t="shared" si="34"/>
        <v>-480019.68826907623</v>
      </c>
      <c r="J50" s="32">
        <f t="shared" si="35"/>
        <v>-212205</v>
      </c>
      <c r="K50" s="73">
        <f t="shared" si="36"/>
        <v>99.801000000000002</v>
      </c>
      <c r="L50" s="31">
        <f t="shared" si="37"/>
        <v>14120.399999998905</v>
      </c>
      <c r="M50" s="32">
        <f t="shared" si="38"/>
        <v>-96616.062666666665</v>
      </c>
      <c r="N50" s="79">
        <f t="shared" si="17"/>
        <v>694514.72646822419</v>
      </c>
      <c r="O50" s="79"/>
      <c r="P50" s="79"/>
      <c r="Q50" s="79">
        <f>$G$5*SUM($O$14:O50)-$H$5*SUM($P$14:P50)</f>
        <v>-576200.5368</v>
      </c>
      <c r="R50" s="79">
        <f t="shared" si="18"/>
        <v>118314.18966822419</v>
      </c>
      <c r="S50" s="138"/>
      <c r="U50" s="72">
        <v>45839.625</v>
      </c>
      <c r="V50" s="54">
        <v>93.68</v>
      </c>
      <c r="W50" s="72">
        <v>45835.625</v>
      </c>
      <c r="X50" s="54">
        <v>101.3</v>
      </c>
      <c r="Y50" s="122">
        <v>45842.625</v>
      </c>
      <c r="Z50" s="54">
        <v>122.27</v>
      </c>
      <c r="AA50" s="72">
        <v>45911.625</v>
      </c>
      <c r="AB50" s="54">
        <v>99.715000000000003</v>
      </c>
      <c r="AF50" s="128">
        <v>45916.625</v>
      </c>
      <c r="AG50" s="45">
        <f t="shared" si="39"/>
        <v>81.13</v>
      </c>
      <c r="AH50" s="46">
        <f t="shared" si="40"/>
        <v>211311.37352392581</v>
      </c>
      <c r="AI50" s="46">
        <f t="shared" si="41"/>
        <v>-146875</v>
      </c>
      <c r="AJ50" s="45">
        <f t="shared" si="42"/>
        <v>101.2578125</v>
      </c>
      <c r="AK50" s="46">
        <f t="shared" si="43"/>
        <v>235044.64285714287</v>
      </c>
      <c r="AL50" s="47">
        <f t="shared" si="44"/>
        <v>-6515.9447079613019</v>
      </c>
      <c r="AM50" s="45">
        <f t="shared" si="45"/>
        <v>112.26</v>
      </c>
      <c r="AN50" s="46">
        <f t="shared" si="46"/>
        <v>825069.937876779</v>
      </c>
      <c r="AO50" s="47">
        <f t="shared" si="47"/>
        <v>-151071.42857142858</v>
      </c>
      <c r="AP50" s="45">
        <f t="shared" si="48"/>
        <v>101.2578125</v>
      </c>
      <c r="AQ50" s="46">
        <f t="shared" si="49"/>
        <v>204910.71428571432</v>
      </c>
      <c r="AR50" s="47">
        <f t="shared" si="50"/>
        <v>-5680.5671812996079</v>
      </c>
      <c r="AS50" s="45">
        <f t="shared" si="51"/>
        <v>104.9375</v>
      </c>
      <c r="AT50" s="46">
        <f t="shared" si="52"/>
        <v>169084.82142857142</v>
      </c>
      <c r="AU50" s="47">
        <f t="shared" si="53"/>
        <v>2378.3714657738128</v>
      </c>
      <c r="AV50" s="45">
        <f t="shared" si="54"/>
        <v>99.53125</v>
      </c>
      <c r="AW50" s="46">
        <f t="shared" si="55"/>
        <v>356250</v>
      </c>
      <c r="AX50" s="47">
        <f t="shared" si="56"/>
        <v>6414.0950520833358</v>
      </c>
      <c r="AY50" s="79">
        <f t="shared" si="71"/>
        <v>-104733.39887976294</v>
      </c>
      <c r="AZ50" s="79"/>
      <c r="BA50" s="79"/>
      <c r="BB50" s="79">
        <f>$AO$4*SUM($AZ$14:AZ50)-$AP$4*SUM($BA$14:BA50)</f>
        <v>48926.430219448084</v>
      </c>
      <c r="BC50" s="79">
        <f t="shared" si="19"/>
        <v>-153659.82909921103</v>
      </c>
      <c r="BE50" s="72">
        <v>45835.625</v>
      </c>
      <c r="BF50" s="54">
        <v>80.34</v>
      </c>
      <c r="BG50" s="72">
        <v>45931.625</v>
      </c>
      <c r="BH50" s="54">
        <v>100.875</v>
      </c>
      <c r="BI50" s="72">
        <v>45835.625</v>
      </c>
      <c r="BJ50" s="54">
        <v>109.01</v>
      </c>
      <c r="BK50" s="72">
        <v>45931.625</v>
      </c>
      <c r="BL50" s="54">
        <v>100.875</v>
      </c>
      <c r="BM50" s="72">
        <v>45835.625</v>
      </c>
      <c r="BN50" s="54">
        <v>102.78125</v>
      </c>
      <c r="BO50" s="72">
        <v>45835.625</v>
      </c>
      <c r="BP50" s="54">
        <v>96.5</v>
      </c>
      <c r="BR50" s="128">
        <f t="shared" si="20"/>
        <v>45916.625</v>
      </c>
      <c r="BS50" s="45">
        <f t="shared" si="21"/>
        <v>107.8259</v>
      </c>
      <c r="BT50" s="46">
        <f t="shared" si="58"/>
        <v>61949.999999999505</v>
      </c>
      <c r="BU50" s="46">
        <f t="shared" si="59"/>
        <v>173611.11111111112</v>
      </c>
      <c r="BV50" s="45">
        <f t="shared" si="60"/>
        <v>47.42</v>
      </c>
      <c r="BW50" s="46">
        <f t="shared" si="61"/>
        <v>157162.49999999983</v>
      </c>
      <c r="BX50" s="47">
        <f t="shared" si="62"/>
        <v>173611.11111111112</v>
      </c>
      <c r="BY50" s="45">
        <f t="shared" si="63"/>
        <v>-95212.50000000032</v>
      </c>
      <c r="CA50" s="126">
        <v>45839.625</v>
      </c>
      <c r="CB50" s="54">
        <v>107.5767</v>
      </c>
      <c r="CC50" s="126">
        <v>45839.625</v>
      </c>
      <c r="CD50" s="54">
        <v>50.72</v>
      </c>
      <c r="CF50" s="128">
        <v>45916.625</v>
      </c>
      <c r="CG50" s="45">
        <f t="shared" si="22"/>
        <v>251.81700000000001</v>
      </c>
      <c r="CH50" s="46">
        <f t="shared" si="64"/>
        <v>141907.92000000007</v>
      </c>
      <c r="CI50" s="46">
        <f t="shared" si="65"/>
        <v>145833.33333333334</v>
      </c>
      <c r="CJ50" s="45">
        <f t="shared" si="66"/>
        <v>50.780999999999999</v>
      </c>
      <c r="CK50" s="46">
        <f t="shared" si="67"/>
        <v>87244.289999999906</v>
      </c>
      <c r="CL50" s="47">
        <f t="shared" si="68"/>
        <v>131250</v>
      </c>
      <c r="CM50" s="45">
        <f t="shared" si="69"/>
        <v>69246.963333333493</v>
      </c>
      <c r="CO50" s="126">
        <v>45839.625</v>
      </c>
      <c r="CP50" s="54">
        <v>283.149</v>
      </c>
      <c r="CQ50" s="126">
        <v>45839.625</v>
      </c>
      <c r="CR50" s="54">
        <v>54.335999999999999</v>
      </c>
      <c r="CS50" s="54"/>
      <c r="CT50" s="54"/>
      <c r="CU50" s="54"/>
      <c r="CV50" s="54"/>
      <c r="CW50" s="54"/>
      <c r="CX50" s="54"/>
      <c r="CY50" s="54"/>
      <c r="DF50" s="137">
        <v>45917.625</v>
      </c>
      <c r="DG50" s="56">
        <f t="shared" ref="DG50:DG71" si="75">VLOOKUP(DF50,A51:R123,18)</f>
        <v>33086.48438718752</v>
      </c>
      <c r="DH50" s="56">
        <f t="shared" ref="DH50:DH71" si="76">VLOOKUP(DF50,AF51:BC87,24)</f>
        <v>-155626.7389453729</v>
      </c>
      <c r="DI50" s="56">
        <f t="shared" ref="DI50:DI71" si="77">VLOOKUP(DF50,BR51:BY87,8)</f>
        <v>-90606.250000002998</v>
      </c>
      <c r="DJ50" s="56">
        <f t="shared" ref="DJ50:DJ71" si="78">VLOOKUP(DF50,CF51:CM87,8)</f>
        <v>73037.860000000335</v>
      </c>
      <c r="DK50" s="56">
        <f t="shared" ref="DK50:DK71" si="79">DG50-DG49</f>
        <v>14702.178492138715</v>
      </c>
      <c r="DL50" s="56">
        <f t="shared" ref="DL50:DL71" si="80">DH50-DH49</f>
        <v>-1966.9098461618705</v>
      </c>
      <c r="DM50" s="56">
        <f t="shared" ref="DM50:DM71" si="81">DI50-DI49</f>
        <v>4606.2499999973224</v>
      </c>
      <c r="DN50" s="56">
        <f t="shared" ref="DN50:DN71" si="82">DJ50-DJ49</f>
        <v>3790.8966666668421</v>
      </c>
      <c r="DO50" s="56">
        <f t="shared" ref="DO50:DO71" si="83">DK$11*DK50</f>
        <v>14702.178492138715</v>
      </c>
      <c r="DP50" s="56">
        <f t="shared" ref="DP50:DP71" si="84">DL$11*DL50</f>
        <v>-1966.9098461618705</v>
      </c>
      <c r="DQ50" s="56">
        <f t="shared" ref="DQ50:DQ71" si="85">DM$11*DM50</f>
        <v>4606.2499999973224</v>
      </c>
      <c r="DR50" s="56">
        <f t="shared" ref="DR50:DR71" si="86">DN$11*DN50</f>
        <v>3790.8966666668421</v>
      </c>
      <c r="DS50" s="56">
        <f>SUM(DO$15:DO50)</f>
        <v>24692.156466651126</v>
      </c>
      <c r="DT50" s="56">
        <f>SUM(DP$15:DP50)</f>
        <v>-148017.11852455648</v>
      </c>
      <c r="DU50" s="56">
        <f>SUM(DQ$15:DQ50)</f>
        <v>-75925.00000000032</v>
      </c>
      <c r="DV50" s="56">
        <f>SUM(DR$15:DR50)</f>
        <v>55524.093333333469</v>
      </c>
      <c r="DZ50" s="130">
        <v>45917.625</v>
      </c>
      <c r="EA50" s="147">
        <f t="shared" si="70"/>
        <v>24692.156466651126</v>
      </c>
      <c r="EB50" s="147">
        <f t="shared" si="72"/>
        <v>-148017.11852455648</v>
      </c>
      <c r="EC50" s="147">
        <f t="shared" si="73"/>
        <v>55524.093333333469</v>
      </c>
      <c r="ED50" s="147">
        <f t="shared" si="74"/>
        <v>-75925.00000000032</v>
      </c>
    </row>
    <row r="51" spans="1:134" x14ac:dyDescent="0.3">
      <c r="A51" s="137">
        <v>45897.625</v>
      </c>
      <c r="B51" s="73">
        <f t="shared" si="27"/>
        <v>94.44</v>
      </c>
      <c r="C51" s="31">
        <f t="shared" si="28"/>
        <v>120766.77316293761</v>
      </c>
      <c r="D51" s="32">
        <f t="shared" si="29"/>
        <v>-125842.49999999999</v>
      </c>
      <c r="E51" s="73">
        <f t="shared" si="30"/>
        <v>101.092</v>
      </c>
      <c r="F51" s="31">
        <f t="shared" si="31"/>
        <v>-25032.000000000153</v>
      </c>
      <c r="G51" s="32">
        <f t="shared" si="32"/>
        <v>-44803.364339999986</v>
      </c>
      <c r="H51" s="73">
        <f t="shared" si="33"/>
        <v>120.28</v>
      </c>
      <c r="I51" s="31">
        <f t="shared" si="34"/>
        <v>-480019.68826907623</v>
      </c>
      <c r="J51" s="32">
        <f t="shared" si="35"/>
        <v>-216449.09999999998</v>
      </c>
      <c r="K51" s="73">
        <f t="shared" si="36"/>
        <v>99.775999999999996</v>
      </c>
      <c r="L51" s="31">
        <f t="shared" si="37"/>
        <v>5510.3999999969465</v>
      </c>
      <c r="M51" s="32">
        <f t="shared" si="38"/>
        <v>-98548.383920000022</v>
      </c>
      <c r="N51" s="79">
        <f t="shared" si="17"/>
        <v>668190.4418520109</v>
      </c>
      <c r="O51" s="79"/>
      <c r="P51" s="79"/>
      <c r="Q51" s="79">
        <f>$G$5*SUM($O$14:O51)-$H$5*SUM($P$14:P51)</f>
        <v>-576200.5368</v>
      </c>
      <c r="R51" s="79">
        <f t="shared" si="18"/>
        <v>91989.905052010901</v>
      </c>
      <c r="S51" s="138"/>
      <c r="U51" s="72">
        <v>45840.625</v>
      </c>
      <c r="V51" s="54">
        <v>93.74</v>
      </c>
      <c r="W51" s="72">
        <v>45838.625</v>
      </c>
      <c r="X51" s="54">
        <v>101.331</v>
      </c>
      <c r="Y51" s="122">
        <v>45845.625</v>
      </c>
      <c r="Z51" s="54">
        <v>122.05</v>
      </c>
      <c r="AA51" s="72">
        <v>45912.625</v>
      </c>
      <c r="AB51" s="54">
        <v>99.519000000000005</v>
      </c>
      <c r="AF51" s="128">
        <v>45917.625</v>
      </c>
      <c r="AG51" s="45">
        <f t="shared" ref="AG51:AG72" si="87">VLOOKUP($AF51+$J$1,BE:BF,2)</f>
        <v>81.05</v>
      </c>
      <c r="AH51" s="46">
        <f t="shared" si="40"/>
        <v>186451.21193287539</v>
      </c>
      <c r="AI51" s="46">
        <f t="shared" si="41"/>
        <v>-149812.49999999997</v>
      </c>
      <c r="AJ51" s="45">
        <f t="shared" ref="AJ51:AJ72" si="88">VLOOKUP($AF51+$J$1,BG:BH,2)</f>
        <v>101.0546875</v>
      </c>
      <c r="AK51" s="46">
        <f t="shared" si="43"/>
        <v>206752.23214285713</v>
      </c>
      <c r="AL51" s="47">
        <f t="shared" si="44"/>
        <v>-6646.2636021205253</v>
      </c>
      <c r="AM51" s="45">
        <f t="shared" ref="AM51:AM72" si="89">VLOOKUP($AF51+$J$1,BI:BJ,2)</f>
        <v>112.06</v>
      </c>
      <c r="AN51" s="46">
        <f t="shared" si="46"/>
        <v>777787.99301278091</v>
      </c>
      <c r="AO51" s="47">
        <f t="shared" si="47"/>
        <v>-154092.85714285716</v>
      </c>
      <c r="AP51" s="45">
        <f t="shared" ref="AP51:AP72" si="90">VLOOKUP($AF51+$J$1,BK:BL,2)</f>
        <v>101.0546875</v>
      </c>
      <c r="AQ51" s="46">
        <f t="shared" si="49"/>
        <v>180245.53571428571</v>
      </c>
      <c r="AR51" s="47">
        <f t="shared" si="50"/>
        <v>-5794.1785249255918</v>
      </c>
      <c r="AS51" s="45">
        <f t="shared" ref="AS51:AS72" si="91">VLOOKUP($AF51+$J$1,BM:BN,2)</f>
        <v>104.671875</v>
      </c>
      <c r="AT51" s="46">
        <f t="shared" si="52"/>
        <v>154854.91071428574</v>
      </c>
      <c r="AU51" s="47">
        <f t="shared" si="53"/>
        <v>2425.9388950892826</v>
      </c>
      <c r="AV51" s="45">
        <f t="shared" ref="AV51:AV72" si="92">VLOOKUP($AF51+$J$1,BO:BP,2)</f>
        <v>99.34375</v>
      </c>
      <c r="AW51" s="46">
        <f t="shared" si="55"/>
        <v>342187.5</v>
      </c>
      <c r="AX51" s="47">
        <f t="shared" si="56"/>
        <v>6542.376953125</v>
      </c>
      <c r="AY51" s="79">
        <f t="shared" ref="AY51:AY72" si="93">AH51+AI51-AK51-AL51-AN51-AO51+AQ51+AR51+AT51+AU51+AW51+AX51</f>
        <v>-106700.30872592481</v>
      </c>
      <c r="AZ51" s="79"/>
      <c r="BA51" s="79"/>
      <c r="BB51" s="79">
        <f>$AO$4*SUM($AZ$14:AZ51)-$AP$4*SUM($BA$14:BA51)</f>
        <v>48926.430219448084</v>
      </c>
      <c r="BC51" s="79">
        <f t="shared" ref="BC51:BC72" si="94">AY51-BB51</f>
        <v>-155626.7389453729</v>
      </c>
      <c r="BE51" s="72">
        <v>45838.625</v>
      </c>
      <c r="BF51" s="54">
        <v>80.650000000000006</v>
      </c>
      <c r="BG51" s="72">
        <v>45932.625</v>
      </c>
      <c r="BH51" s="54">
        <v>100.890625</v>
      </c>
      <c r="BI51" s="72">
        <v>45838.625</v>
      </c>
      <c r="BJ51" s="54">
        <v>109.61</v>
      </c>
      <c r="BK51" s="72">
        <v>45932.625</v>
      </c>
      <c r="BL51" s="54">
        <v>100.890625</v>
      </c>
      <c r="BM51" s="72">
        <v>45838.625</v>
      </c>
      <c r="BN51" s="54">
        <v>103.234375</v>
      </c>
      <c r="BO51" s="72">
        <v>45838.625</v>
      </c>
      <c r="BP51" s="54">
        <v>97.40625</v>
      </c>
      <c r="BR51" s="128">
        <f>AF51</f>
        <v>45917.625</v>
      </c>
      <c r="BS51" s="45">
        <f t="shared" ref="BS51:BS72" si="95">VLOOKUP(BR51+BV$4,CA:CB,2)</f>
        <v>107.72799999999999</v>
      </c>
      <c r="BT51" s="46">
        <f t="shared" si="58"/>
        <v>37474.999999997039</v>
      </c>
      <c r="BU51" s="46">
        <f t="shared" si="59"/>
        <v>177083.33333333334</v>
      </c>
      <c r="BV51" s="45">
        <f t="shared" ref="BV51:BV72" si="96">VLOOKUP(BR51+BV$4,CC:CD,2)</f>
        <v>47.936999999999998</v>
      </c>
      <c r="BW51" s="46">
        <f t="shared" si="61"/>
        <v>128081.25000000006</v>
      </c>
      <c r="BX51" s="47">
        <f t="shared" si="62"/>
        <v>177083.33333333331</v>
      </c>
      <c r="BY51" s="45">
        <f t="shared" ref="BY51:BY72" si="97">BT51+BU51-BW51-BX51</f>
        <v>-90606.250000002998</v>
      </c>
      <c r="CA51" s="126">
        <v>45840.625</v>
      </c>
      <c r="CB51" s="54">
        <v>107.69840000000001</v>
      </c>
      <c r="CC51" s="126">
        <v>45840.625</v>
      </c>
      <c r="CD51" s="54">
        <v>50.170999999999999</v>
      </c>
      <c r="CF51" s="128">
        <v>45917.625</v>
      </c>
      <c r="CG51" s="45">
        <f t="shared" ref="CG51:CG72" si="98">VLOOKUP(CF51+CJ$4,CO:CP,2)</f>
        <v>251.23599999999999</v>
      </c>
      <c r="CH51" s="46">
        <f t="shared" si="64"/>
        <v>147276.36000000022</v>
      </c>
      <c r="CI51" s="46">
        <f t="shared" si="65"/>
        <v>148750</v>
      </c>
      <c r="CJ51" s="45">
        <f t="shared" ref="CJ51:CJ72" si="99">VLOOKUP(CF51+CJ$4,CQ:CR,2)</f>
        <v>50.738</v>
      </c>
      <c r="CK51" s="46">
        <f t="shared" si="67"/>
        <v>89113.499999999869</v>
      </c>
      <c r="CL51" s="47">
        <f t="shared" si="68"/>
        <v>133875</v>
      </c>
      <c r="CM51" s="45">
        <f t="shared" ref="CM51:CM72" si="100">CH51+CI51-CK51-CL51</f>
        <v>73037.860000000335</v>
      </c>
      <c r="CO51" s="126">
        <v>45840.625</v>
      </c>
      <c r="CP51" s="54">
        <v>283.74200000000002</v>
      </c>
      <c r="CQ51" s="126">
        <v>45840.625</v>
      </c>
      <c r="CR51" s="54">
        <v>54.325000000000003</v>
      </c>
      <c r="DF51" s="130">
        <v>45918.625</v>
      </c>
      <c r="DG51" s="56">
        <f t="shared" si="75"/>
        <v>60785.815294099157</v>
      </c>
      <c r="DH51" s="56">
        <f t="shared" si="76"/>
        <v>-139823.01939101506</v>
      </c>
      <c r="DI51" s="56">
        <f t="shared" si="77"/>
        <v>-89143.750000000233</v>
      </c>
      <c r="DJ51" s="56">
        <f t="shared" si="78"/>
        <v>79673.416666667268</v>
      </c>
      <c r="DK51" s="56">
        <f t="shared" si="79"/>
        <v>27699.330906911637</v>
      </c>
      <c r="DL51" s="56">
        <f t="shared" si="80"/>
        <v>15803.719554357842</v>
      </c>
      <c r="DM51" s="56">
        <f t="shared" si="81"/>
        <v>1462.5000000027649</v>
      </c>
      <c r="DN51" s="56">
        <f t="shared" si="82"/>
        <v>6635.5566666669329</v>
      </c>
      <c r="DO51" s="56">
        <f t="shared" si="83"/>
        <v>27699.330906911637</v>
      </c>
      <c r="DP51" s="56">
        <f t="shared" si="84"/>
        <v>15803.719554357842</v>
      </c>
      <c r="DQ51" s="56">
        <f t="shared" si="85"/>
        <v>1462.5000000027649</v>
      </c>
      <c r="DR51" s="56">
        <f t="shared" si="86"/>
        <v>6635.5566666669329</v>
      </c>
      <c r="DS51" s="56">
        <f>SUM(DO$15:DO51)</f>
        <v>52391.487373562763</v>
      </c>
      <c r="DT51" s="56">
        <f>SUM(DP$15:DP51)</f>
        <v>-132213.39897019864</v>
      </c>
      <c r="DU51" s="56">
        <f>SUM(DQ$15:DQ51)</f>
        <v>-74462.499999997555</v>
      </c>
      <c r="DV51" s="56">
        <f>SUM(DR$15:DR51)</f>
        <v>62159.650000000402</v>
      </c>
      <c r="DZ51" s="130">
        <v>45918.625</v>
      </c>
      <c r="EA51" s="147">
        <f t="shared" si="70"/>
        <v>52391.487373562763</v>
      </c>
      <c r="EB51" s="147">
        <f t="shared" si="72"/>
        <v>-132213.39897019864</v>
      </c>
      <c r="EC51" s="147">
        <f t="shared" si="73"/>
        <v>62159.650000000402</v>
      </c>
      <c r="ED51" s="147">
        <f t="shared" si="74"/>
        <v>-74462.499999997555</v>
      </c>
    </row>
    <row r="52" spans="1:134" x14ac:dyDescent="0.3">
      <c r="A52" s="137">
        <v>45898.625</v>
      </c>
      <c r="B52" s="73">
        <f t="shared" si="27"/>
        <v>94.44</v>
      </c>
      <c r="C52" s="31">
        <f t="shared" si="28"/>
        <v>120766.77316293761</v>
      </c>
      <c r="D52" s="32">
        <f t="shared" si="29"/>
        <v>-128309.99999999999</v>
      </c>
      <c r="E52" s="73">
        <f t="shared" si="30"/>
        <v>101.096</v>
      </c>
      <c r="F52" s="31">
        <f t="shared" si="31"/>
        <v>-24359.999999999331</v>
      </c>
      <c r="G52" s="32">
        <f t="shared" si="32"/>
        <v>-45681.861679999973</v>
      </c>
      <c r="H52" s="73">
        <f t="shared" si="33"/>
        <v>120.25</v>
      </c>
      <c r="I52" s="31">
        <f t="shared" si="34"/>
        <v>-488908.94175553846</v>
      </c>
      <c r="J52" s="32">
        <f t="shared" si="35"/>
        <v>-220693.19999999995</v>
      </c>
      <c r="K52" s="73">
        <f t="shared" si="36"/>
        <v>99.783000000000001</v>
      </c>
      <c r="L52" s="31">
        <f t="shared" si="37"/>
        <v>7921.1999999986692</v>
      </c>
      <c r="M52" s="32">
        <f t="shared" si="38"/>
        <v>-100480.70517333334</v>
      </c>
      <c r="N52" s="79">
        <f t="shared" si="17"/>
        <v>679541.27142514067</v>
      </c>
      <c r="O52" s="79"/>
      <c r="P52" s="79"/>
      <c r="Q52" s="79">
        <f>$G$5*SUM($O$14:O52)-$H$5*SUM($P$14:P52)</f>
        <v>-576200.5368</v>
      </c>
      <c r="R52" s="79">
        <f t="shared" si="18"/>
        <v>103340.73462514067</v>
      </c>
      <c r="S52" s="138"/>
      <c r="U52" s="72">
        <v>45841.625</v>
      </c>
      <c r="V52" s="54">
        <v>93.9</v>
      </c>
      <c r="W52" s="72">
        <v>45839.625</v>
      </c>
      <c r="X52" s="54">
        <v>101.357</v>
      </c>
      <c r="Y52" s="122">
        <v>45846.625</v>
      </c>
      <c r="Z52" s="54">
        <v>121.9</v>
      </c>
      <c r="AA52" s="72">
        <v>45915.625</v>
      </c>
      <c r="AB52" s="54">
        <v>99.558000000000007</v>
      </c>
      <c r="AF52" s="128">
        <v>45918.625</v>
      </c>
      <c r="AG52" s="45">
        <f t="shared" si="87"/>
        <v>81.23</v>
      </c>
      <c r="AH52" s="46">
        <f t="shared" si="40"/>
        <v>242386.575512743</v>
      </c>
      <c r="AI52" s="46">
        <f t="shared" si="41"/>
        <v>-152749.99999999997</v>
      </c>
      <c r="AJ52" s="45">
        <f t="shared" si="88"/>
        <v>100.90625</v>
      </c>
      <c r="AK52" s="46">
        <f t="shared" si="43"/>
        <v>186077.00892857142</v>
      </c>
      <c r="AL52" s="47">
        <f t="shared" si="44"/>
        <v>-6776.5824962797487</v>
      </c>
      <c r="AM52" s="45">
        <f t="shared" si="89"/>
        <v>111.83</v>
      </c>
      <c r="AN52" s="46">
        <f t="shared" si="46"/>
        <v>723413.75641918101</v>
      </c>
      <c r="AO52" s="47">
        <f t="shared" si="47"/>
        <v>-157114.28571428571</v>
      </c>
      <c r="AP52" s="45">
        <f t="shared" si="90"/>
        <v>100.90625</v>
      </c>
      <c r="AQ52" s="46">
        <f t="shared" si="49"/>
        <v>162220.98214285716</v>
      </c>
      <c r="AR52" s="47">
        <f t="shared" si="50"/>
        <v>-5907.7898685515829</v>
      </c>
      <c r="AS52" s="45">
        <f t="shared" si="91"/>
        <v>104.296875</v>
      </c>
      <c r="AT52" s="46">
        <f t="shared" si="52"/>
        <v>134765.625</v>
      </c>
      <c r="AU52" s="47">
        <f t="shared" si="53"/>
        <v>2473.5063244047633</v>
      </c>
      <c r="AV52" s="45">
        <f t="shared" si="92"/>
        <v>98.3125</v>
      </c>
      <c r="AW52" s="46">
        <f t="shared" si="55"/>
        <v>264843.75</v>
      </c>
      <c r="AX52" s="47">
        <f t="shared" si="56"/>
        <v>6670.6588541666715</v>
      </c>
      <c r="AY52" s="79">
        <f t="shared" si="93"/>
        <v>-90896.589171566957</v>
      </c>
      <c r="AZ52" s="79"/>
      <c r="BA52" s="79"/>
      <c r="BB52" s="79">
        <f>$AO$4*SUM($AZ$14:AZ52)-$AP$4*SUM($BA$14:BA52)</f>
        <v>48926.430219448084</v>
      </c>
      <c r="BC52" s="79">
        <f t="shared" si="94"/>
        <v>-139823.01939101506</v>
      </c>
      <c r="BE52" s="72">
        <v>45839.625</v>
      </c>
      <c r="BF52" s="54">
        <v>80.17</v>
      </c>
      <c r="BG52" s="72">
        <v>45933.625</v>
      </c>
      <c r="BH52" s="54">
        <v>100.71875</v>
      </c>
      <c r="BI52" s="72">
        <v>45839.625</v>
      </c>
      <c r="BJ52" s="54">
        <v>109.34</v>
      </c>
      <c r="BK52" s="72">
        <v>45933.625</v>
      </c>
      <c r="BL52" s="54">
        <v>100.71875</v>
      </c>
      <c r="BM52" s="72">
        <v>45839.625</v>
      </c>
      <c r="BN52" s="54">
        <v>103.046875</v>
      </c>
      <c r="BO52" s="72">
        <v>45839.625</v>
      </c>
      <c r="BP52" s="54">
        <v>97.609375</v>
      </c>
      <c r="BR52" s="128">
        <f t="shared" si="20"/>
        <v>45918.625</v>
      </c>
      <c r="BS52" s="45">
        <f t="shared" si="95"/>
        <v>107.9539</v>
      </c>
      <c r="BT52" s="46">
        <f t="shared" si="58"/>
        <v>93949.999999999534</v>
      </c>
      <c r="BU52" s="46">
        <f t="shared" si="59"/>
        <v>180555.55555555553</v>
      </c>
      <c r="BV52" s="45">
        <f t="shared" si="96"/>
        <v>46.959000000000003</v>
      </c>
      <c r="BW52" s="46">
        <f t="shared" si="61"/>
        <v>183093.74999999974</v>
      </c>
      <c r="BX52" s="47">
        <f t="shared" si="62"/>
        <v>180555.55555555553</v>
      </c>
      <c r="BY52" s="45">
        <f t="shared" si="97"/>
        <v>-89143.750000000233</v>
      </c>
      <c r="CA52" s="126">
        <v>45845.625</v>
      </c>
      <c r="CB52" s="54">
        <v>107.60639999999999</v>
      </c>
      <c r="CC52" s="126">
        <v>45845.625</v>
      </c>
      <c r="CD52" s="54">
        <v>50.64</v>
      </c>
      <c r="CF52" s="128">
        <v>45918.625</v>
      </c>
      <c r="CG52" s="45">
        <f t="shared" si="98"/>
        <v>247.51499999999999</v>
      </c>
      <c r="CH52" s="46">
        <f t="shared" si="64"/>
        <v>181658.40000000029</v>
      </c>
      <c r="CI52" s="46">
        <f t="shared" si="65"/>
        <v>151666.66666666666</v>
      </c>
      <c r="CJ52" s="45">
        <f t="shared" si="99"/>
        <v>50.093000000000004</v>
      </c>
      <c r="CK52" s="46">
        <f t="shared" si="67"/>
        <v>117151.6499999997</v>
      </c>
      <c r="CL52" s="47">
        <f t="shared" si="68"/>
        <v>136499.99999999997</v>
      </c>
      <c r="CM52" s="45">
        <f t="shared" si="100"/>
        <v>79673.416666667268</v>
      </c>
      <c r="CO52" s="126">
        <v>45841.625</v>
      </c>
      <c r="CP52" s="54">
        <v>278.61099999999999</v>
      </c>
      <c r="CQ52" s="126">
        <v>45841.625</v>
      </c>
      <c r="CR52" s="54">
        <v>53.073</v>
      </c>
      <c r="DF52" s="130">
        <v>45919.625</v>
      </c>
      <c r="DG52" s="56">
        <f t="shared" si="75"/>
        <v>32152.70688528227</v>
      </c>
      <c r="DH52" s="56">
        <f t="shared" si="76"/>
        <v>-128924.77672468353</v>
      </c>
      <c r="DI52" s="56">
        <f t="shared" si="77"/>
        <v>-87893.750000001339</v>
      </c>
      <c r="DJ52" s="56">
        <f t="shared" si="78"/>
        <v>74960.153333333408</v>
      </c>
      <c r="DK52" s="56">
        <f t="shared" si="79"/>
        <v>-28633.108408816886</v>
      </c>
      <c r="DL52" s="56">
        <f t="shared" si="80"/>
        <v>10898.242666331527</v>
      </c>
      <c r="DM52" s="56">
        <f t="shared" si="81"/>
        <v>1249.9999999988941</v>
      </c>
      <c r="DN52" s="56">
        <f t="shared" si="82"/>
        <v>-4713.2633333338599</v>
      </c>
      <c r="DO52" s="56">
        <f t="shared" si="83"/>
        <v>-28633.108408816886</v>
      </c>
      <c r="DP52" s="56">
        <f t="shared" si="84"/>
        <v>10898.242666331527</v>
      </c>
      <c r="DQ52" s="56">
        <f t="shared" si="85"/>
        <v>1249.9999999988941</v>
      </c>
      <c r="DR52" s="56">
        <f t="shared" si="86"/>
        <v>-4713.2633333338599</v>
      </c>
      <c r="DS52" s="56">
        <f>SUM(DO$15:DO52)</f>
        <v>23758.378964745876</v>
      </c>
      <c r="DT52" s="56">
        <f>SUM(DP$15:DP52)</f>
        <v>-121315.15630386712</v>
      </c>
      <c r="DU52" s="56">
        <f>SUM(DQ$15:DQ52)</f>
        <v>-73212.499999998661</v>
      </c>
      <c r="DV52" s="56">
        <f>SUM(DR$15:DR52)</f>
        <v>57446.386666666542</v>
      </c>
      <c r="DZ52" s="130">
        <v>45919.625</v>
      </c>
      <c r="EA52" s="147">
        <f t="shared" si="70"/>
        <v>23758.378964745876</v>
      </c>
      <c r="EB52" s="147">
        <f t="shared" si="72"/>
        <v>-121315.15630386712</v>
      </c>
      <c r="EC52" s="147">
        <f t="shared" si="73"/>
        <v>57446.386666666542</v>
      </c>
      <c r="ED52" s="147">
        <f t="shared" si="74"/>
        <v>-73212.499999998661</v>
      </c>
    </row>
    <row r="53" spans="1:134" x14ac:dyDescent="0.3">
      <c r="A53" s="137">
        <v>45901.625</v>
      </c>
      <c r="B53" s="73">
        <f t="shared" si="27"/>
        <v>94.4</v>
      </c>
      <c r="C53" s="31">
        <f t="shared" si="28"/>
        <v>111821.0862619815</v>
      </c>
      <c r="D53" s="32">
        <f t="shared" si="29"/>
        <v>-135712.5</v>
      </c>
      <c r="E53" s="73">
        <f t="shared" si="30"/>
        <v>101.01900000000001</v>
      </c>
      <c r="F53" s="31">
        <f t="shared" si="31"/>
        <v>-37295.999999999025</v>
      </c>
      <c r="G53" s="32">
        <f t="shared" si="32"/>
        <v>-48317.353699999985</v>
      </c>
      <c r="H53" s="73">
        <f t="shared" si="33"/>
        <v>120.1</v>
      </c>
      <c r="I53" s="31">
        <f t="shared" si="34"/>
        <v>-533355.20918786153</v>
      </c>
      <c r="J53" s="32">
        <f t="shared" si="35"/>
        <v>-233425.5</v>
      </c>
      <c r="K53" s="73">
        <f t="shared" si="36"/>
        <v>99.632000000000005</v>
      </c>
      <c r="L53" s="31">
        <f t="shared" si="37"/>
        <v>-44083.200000000041</v>
      </c>
      <c r="M53" s="32">
        <f t="shared" si="38"/>
        <v>-106277.66893333335</v>
      </c>
      <c r="N53" s="79">
        <f t="shared" si="17"/>
        <v>678141.78021650866</v>
      </c>
      <c r="O53" s="79"/>
      <c r="P53" s="79"/>
      <c r="Q53" s="79">
        <f>$G$5*SUM($O$14:O53)-$H$5*SUM($P$14:P53)</f>
        <v>-576200.5368</v>
      </c>
      <c r="R53" s="79">
        <f t="shared" si="18"/>
        <v>101941.24341650866</v>
      </c>
      <c r="S53" s="138"/>
      <c r="U53" s="72">
        <v>45842.625</v>
      </c>
      <c r="V53" s="54">
        <v>93.86</v>
      </c>
      <c r="W53" s="72">
        <v>45840.625</v>
      </c>
      <c r="X53" s="54">
        <v>101.286</v>
      </c>
      <c r="Y53" s="122">
        <v>45847.625</v>
      </c>
      <c r="Z53" s="54">
        <v>122</v>
      </c>
      <c r="AA53" s="72">
        <v>45916.625</v>
      </c>
      <c r="AB53" s="54">
        <v>99.569000000000003</v>
      </c>
      <c r="AF53" s="128">
        <v>45919.625</v>
      </c>
      <c r="AG53" s="45">
        <f t="shared" si="87"/>
        <v>81.260000000000005</v>
      </c>
      <c r="AH53" s="46">
        <f t="shared" si="40"/>
        <v>251709.13610938482</v>
      </c>
      <c r="AI53" s="46">
        <f t="shared" si="41"/>
        <v>-155687.5</v>
      </c>
      <c r="AJ53" s="45">
        <f t="shared" si="88"/>
        <v>100.890625</v>
      </c>
      <c r="AK53" s="46">
        <f t="shared" si="43"/>
        <v>183900.66964285713</v>
      </c>
      <c r="AL53" s="47">
        <f t="shared" si="44"/>
        <v>-6906.9013904389867</v>
      </c>
      <c r="AM53" s="45">
        <f t="shared" si="89"/>
        <v>111.74</v>
      </c>
      <c r="AN53" s="46">
        <f t="shared" si="46"/>
        <v>702136.88123038167</v>
      </c>
      <c r="AO53" s="47">
        <f t="shared" si="47"/>
        <v>-160135.71428571429</v>
      </c>
      <c r="AP53" s="45">
        <f t="shared" si="90"/>
        <v>100.890625</v>
      </c>
      <c r="AQ53" s="46">
        <f t="shared" si="49"/>
        <v>160323.66071428571</v>
      </c>
      <c r="AR53" s="47">
        <f t="shared" si="50"/>
        <v>-6021.4012121775886</v>
      </c>
      <c r="AS53" s="45">
        <f t="shared" si="91"/>
        <v>104.203125</v>
      </c>
      <c r="AT53" s="46">
        <f t="shared" si="52"/>
        <v>129743.30357142858</v>
      </c>
      <c r="AU53" s="47">
        <f t="shared" si="53"/>
        <v>2521.0737537202367</v>
      </c>
      <c r="AV53" s="45">
        <f t="shared" si="92"/>
        <v>98.109375</v>
      </c>
      <c r="AW53" s="46">
        <f t="shared" si="55"/>
        <v>249609.375</v>
      </c>
      <c r="AX53" s="47">
        <f t="shared" si="56"/>
        <v>6798.9407552083358</v>
      </c>
      <c r="AY53" s="79">
        <f t="shared" si="93"/>
        <v>-79998.346505235444</v>
      </c>
      <c r="AZ53" s="79"/>
      <c r="BA53" s="79"/>
      <c r="BB53" s="79">
        <f>$AO$4*SUM($AZ$14:AZ53)-$AP$4*SUM($BA$14:BA53)</f>
        <v>48926.430219448084</v>
      </c>
      <c r="BC53" s="79">
        <f t="shared" si="94"/>
        <v>-128924.77672468353</v>
      </c>
      <c r="BE53" s="72">
        <v>45840.625</v>
      </c>
      <c r="BF53" s="54">
        <v>80.319999999999993</v>
      </c>
      <c r="BG53" s="72">
        <v>45936.625</v>
      </c>
      <c r="BH53" s="54">
        <v>100.5859375</v>
      </c>
      <c r="BI53" s="72">
        <v>45840.625</v>
      </c>
      <c r="BJ53" s="54">
        <v>109.32</v>
      </c>
      <c r="BK53" s="72">
        <v>45936.625</v>
      </c>
      <c r="BL53" s="54">
        <v>100.5859375</v>
      </c>
      <c r="BM53" s="72">
        <v>45840.625</v>
      </c>
      <c r="BN53" s="54">
        <v>102.78125</v>
      </c>
      <c r="BO53" s="72">
        <v>45840.625</v>
      </c>
      <c r="BP53" s="54">
        <v>96.984375</v>
      </c>
      <c r="BR53" s="128">
        <f t="shared" si="20"/>
        <v>45919.625</v>
      </c>
      <c r="BS53" s="45">
        <f t="shared" si="95"/>
        <v>107.8977</v>
      </c>
      <c r="BT53" s="46">
        <f t="shared" si="58"/>
        <v>79899.99999999853</v>
      </c>
      <c r="BU53" s="46">
        <f t="shared" si="59"/>
        <v>184027.77777777778</v>
      </c>
      <c r="BV53" s="45">
        <f t="shared" si="96"/>
        <v>47.231000000000002</v>
      </c>
      <c r="BW53" s="46">
        <f t="shared" si="61"/>
        <v>167793.74999999983</v>
      </c>
      <c r="BX53" s="47">
        <f t="shared" si="62"/>
        <v>184027.77777777781</v>
      </c>
      <c r="BY53" s="45">
        <f t="shared" si="97"/>
        <v>-87893.750000001339</v>
      </c>
      <c r="CA53" s="126">
        <v>45846.625</v>
      </c>
      <c r="CB53" s="54">
        <v>107.4332</v>
      </c>
      <c r="CC53" s="126">
        <v>45846.625</v>
      </c>
      <c r="CD53" s="54">
        <v>51.264000000000003</v>
      </c>
      <c r="CF53" s="128">
        <v>45919.625</v>
      </c>
      <c r="CG53" s="45">
        <f t="shared" si="98"/>
        <v>248.51300000000001</v>
      </c>
      <c r="CH53" s="46">
        <f t="shared" si="64"/>
        <v>172436.88000000006</v>
      </c>
      <c r="CI53" s="46">
        <f t="shared" si="65"/>
        <v>154583.33333333334</v>
      </c>
      <c r="CJ53" s="45">
        <f t="shared" si="99"/>
        <v>50.19</v>
      </c>
      <c r="CK53" s="46">
        <f t="shared" si="67"/>
        <v>112935.05999999997</v>
      </c>
      <c r="CL53" s="47">
        <f t="shared" si="68"/>
        <v>139125</v>
      </c>
      <c r="CM53" s="45">
        <f t="shared" si="100"/>
        <v>74960.153333333408</v>
      </c>
      <c r="CO53" s="126">
        <v>45842.625</v>
      </c>
      <c r="CP53" s="54">
        <v>284.7</v>
      </c>
      <c r="CQ53" s="126">
        <v>45842.625</v>
      </c>
      <c r="CR53" s="54">
        <v>54.459000000000003</v>
      </c>
      <c r="DF53" s="130">
        <v>45922.625</v>
      </c>
      <c r="DG53" s="56">
        <f t="shared" si="75"/>
        <v>38192.354221564747</v>
      </c>
      <c r="DH53" s="56">
        <f t="shared" si="76"/>
        <v>-85232.554779818514</v>
      </c>
      <c r="DI53" s="56">
        <f t="shared" si="77"/>
        <v>-70306.25000000163</v>
      </c>
      <c r="DJ53" s="56">
        <f t="shared" si="78"/>
        <v>89304.133333333652</v>
      </c>
      <c r="DK53" s="56">
        <f t="shared" si="79"/>
        <v>6039.6473362824763</v>
      </c>
      <c r="DL53" s="56">
        <f t="shared" si="80"/>
        <v>43692.221944865014</v>
      </c>
      <c r="DM53" s="56">
        <f t="shared" si="81"/>
        <v>17587.499999999709</v>
      </c>
      <c r="DN53" s="56">
        <f t="shared" si="82"/>
        <v>14343.980000000243</v>
      </c>
      <c r="DO53" s="56">
        <f t="shared" si="83"/>
        <v>6039.6473362824763</v>
      </c>
      <c r="DP53" s="56">
        <f t="shared" si="84"/>
        <v>43692.221944865014</v>
      </c>
      <c r="DQ53" s="56">
        <f t="shared" si="85"/>
        <v>17587.499999999709</v>
      </c>
      <c r="DR53" s="56">
        <f t="shared" si="86"/>
        <v>14343.980000000243</v>
      </c>
      <c r="DS53" s="56">
        <f>SUM(DO$15:DO53)</f>
        <v>29798.026301028352</v>
      </c>
      <c r="DT53" s="56">
        <f>SUM(DP$15:DP53)</f>
        <v>-77622.934359002102</v>
      </c>
      <c r="DU53" s="56">
        <f>SUM(DQ$15:DQ53)</f>
        <v>-55624.999999998952</v>
      </c>
      <c r="DV53" s="56">
        <f>SUM(DR$15:DR53)</f>
        <v>71790.366666666785</v>
      </c>
      <c r="DZ53" s="130">
        <v>45922.625</v>
      </c>
      <c r="EA53" s="147">
        <f t="shared" si="70"/>
        <v>29798.026301028352</v>
      </c>
      <c r="EB53" s="147">
        <f t="shared" si="72"/>
        <v>-77622.934359002102</v>
      </c>
      <c r="EC53" s="147">
        <f t="shared" si="73"/>
        <v>71790.366666666785</v>
      </c>
      <c r="ED53" s="147">
        <f t="shared" si="74"/>
        <v>-55624.999999998952</v>
      </c>
    </row>
    <row r="54" spans="1:134" x14ac:dyDescent="0.3">
      <c r="A54" s="137">
        <v>45902.625</v>
      </c>
      <c r="B54" s="73">
        <f t="shared" si="27"/>
        <v>94.24</v>
      </c>
      <c r="C54" s="31">
        <f t="shared" si="28"/>
        <v>76038.33865814314</v>
      </c>
      <c r="D54" s="32">
        <f t="shared" si="29"/>
        <v>-138180</v>
      </c>
      <c r="E54" s="73">
        <f t="shared" si="30"/>
        <v>100.976</v>
      </c>
      <c r="F54" s="31">
        <f t="shared" si="31"/>
        <v>-44520.000000000095</v>
      </c>
      <c r="G54" s="32">
        <f t="shared" si="32"/>
        <v>-49195.851040000009</v>
      </c>
      <c r="H54" s="73">
        <f t="shared" si="33"/>
        <v>119.81</v>
      </c>
      <c r="I54" s="31">
        <f t="shared" si="34"/>
        <v>-619284.65955701645</v>
      </c>
      <c r="J54" s="32">
        <f t="shared" si="35"/>
        <v>-237669.6</v>
      </c>
      <c r="K54" s="73">
        <f t="shared" si="36"/>
        <v>99.481999999999999</v>
      </c>
      <c r="L54" s="31">
        <f t="shared" si="37"/>
        <v>-95743.200000002005</v>
      </c>
      <c r="M54" s="32">
        <f t="shared" si="38"/>
        <v>-108209.99018666665</v>
      </c>
      <c r="N54" s="79">
        <f t="shared" si="17"/>
        <v>684575.25906849105</v>
      </c>
      <c r="O54" s="79"/>
      <c r="P54" s="79"/>
      <c r="Q54" s="79">
        <f>$G$5*SUM($O$14:O54)-$H$5*SUM($P$14:P54)</f>
        <v>-576200.5368</v>
      </c>
      <c r="R54" s="79">
        <f t="shared" si="18"/>
        <v>108374.72226849105</v>
      </c>
      <c r="S54" s="138"/>
      <c r="U54" s="72">
        <v>45845.625</v>
      </c>
      <c r="V54" s="54">
        <v>93.91</v>
      </c>
      <c r="W54" s="72">
        <v>45841.625</v>
      </c>
      <c r="X54" s="54">
        <v>101.379</v>
      </c>
      <c r="Y54" s="122">
        <v>45848.625</v>
      </c>
      <c r="Z54" s="54">
        <v>121.86</v>
      </c>
      <c r="AA54" s="72">
        <v>45917.625</v>
      </c>
      <c r="AB54" s="54">
        <v>99.600999999999999</v>
      </c>
      <c r="AF54" s="128">
        <v>45922.625</v>
      </c>
      <c r="AG54" s="45">
        <f t="shared" si="87"/>
        <v>81.319999999999993</v>
      </c>
      <c r="AH54" s="46">
        <f t="shared" si="40"/>
        <v>270354.25730266847</v>
      </c>
      <c r="AI54" s="46">
        <f t="shared" si="41"/>
        <v>-164500</v>
      </c>
      <c r="AJ54" s="45">
        <f t="shared" si="88"/>
        <v>100.7734375</v>
      </c>
      <c r="AK54" s="46">
        <f t="shared" si="43"/>
        <v>167578.125</v>
      </c>
      <c r="AL54" s="47">
        <f t="shared" si="44"/>
        <v>-7297.8580729166715</v>
      </c>
      <c r="AM54" s="45">
        <f t="shared" si="89"/>
        <v>111.48</v>
      </c>
      <c r="AN54" s="46">
        <f t="shared" si="46"/>
        <v>640670.35290718579</v>
      </c>
      <c r="AO54" s="47">
        <f t="shared" si="47"/>
        <v>-169200</v>
      </c>
      <c r="AP54" s="45">
        <f t="shared" si="90"/>
        <v>100.7734375</v>
      </c>
      <c r="AQ54" s="46">
        <f t="shared" si="49"/>
        <v>146093.75</v>
      </c>
      <c r="AR54" s="47">
        <f t="shared" si="50"/>
        <v>-6362.2352430555475</v>
      </c>
      <c r="AS54" s="45">
        <f t="shared" si="91"/>
        <v>104.015625</v>
      </c>
      <c r="AT54" s="46">
        <f t="shared" si="52"/>
        <v>119698.66071428571</v>
      </c>
      <c r="AU54" s="47">
        <f t="shared" si="53"/>
        <v>2663.7760416666715</v>
      </c>
      <c r="AV54" s="45">
        <f t="shared" si="92"/>
        <v>97.71875</v>
      </c>
      <c r="AW54" s="46">
        <f t="shared" si="55"/>
        <v>220312.5</v>
      </c>
      <c r="AX54" s="47">
        <f t="shared" si="56"/>
        <v>7183.7864583333358</v>
      </c>
      <c r="AY54" s="79">
        <f t="shared" si="93"/>
        <v>-36306.124560370437</v>
      </c>
      <c r="AZ54" s="79"/>
      <c r="BA54" s="79"/>
      <c r="BB54" s="79">
        <f>$AO$4*SUM($AZ$14:AZ54)-$AP$4*SUM($BA$14:BA54)</f>
        <v>48926.430219448084</v>
      </c>
      <c r="BC54" s="79">
        <f t="shared" si="94"/>
        <v>-85232.554779818514</v>
      </c>
      <c r="BE54" s="72">
        <v>45841.625</v>
      </c>
      <c r="BF54" s="54">
        <v>80.37</v>
      </c>
      <c r="BG54" s="72">
        <v>45937.625</v>
      </c>
      <c r="BH54" s="54">
        <v>100.7421875</v>
      </c>
      <c r="BI54" s="72">
        <v>45841.625</v>
      </c>
      <c r="BJ54" s="54">
        <v>109.06</v>
      </c>
      <c r="BK54" s="72">
        <v>45937.625</v>
      </c>
      <c r="BL54" s="54">
        <v>100.7421875</v>
      </c>
      <c r="BM54" s="72">
        <v>45842.625</v>
      </c>
      <c r="BN54" s="54">
        <v>102.28125</v>
      </c>
      <c r="BO54" s="72">
        <v>45842.625</v>
      </c>
      <c r="BP54" s="54">
        <v>96.25</v>
      </c>
      <c r="BR54" s="128">
        <f t="shared" si="20"/>
        <v>45922.625</v>
      </c>
      <c r="BS54" s="45">
        <f t="shared" si="95"/>
        <v>107.9379</v>
      </c>
      <c r="BT54" s="46">
        <f t="shared" si="58"/>
        <v>89949.999999998196</v>
      </c>
      <c r="BU54" s="46">
        <f t="shared" si="59"/>
        <v>194444.44444444447</v>
      </c>
      <c r="BV54" s="45">
        <f t="shared" si="96"/>
        <v>47.365000000000002</v>
      </c>
      <c r="BW54" s="46">
        <f t="shared" si="61"/>
        <v>160256.24999999983</v>
      </c>
      <c r="BX54" s="47">
        <f t="shared" si="62"/>
        <v>194444.44444444444</v>
      </c>
      <c r="BY54" s="45">
        <f t="shared" si="97"/>
        <v>-70306.25000000163</v>
      </c>
      <c r="CA54" s="126">
        <v>45847.625</v>
      </c>
      <c r="CB54" s="54">
        <v>107.717</v>
      </c>
      <c r="CC54" s="126">
        <v>45847.625</v>
      </c>
      <c r="CD54" s="54">
        <v>50.171999999999997</v>
      </c>
      <c r="CF54" s="128">
        <v>45922.625</v>
      </c>
      <c r="CG54" s="45">
        <f t="shared" si="98"/>
        <v>247.34700000000001</v>
      </c>
      <c r="CH54" s="46">
        <f t="shared" si="64"/>
        <v>183210.72000000006</v>
      </c>
      <c r="CI54" s="46">
        <f t="shared" si="65"/>
        <v>163333.33333333334</v>
      </c>
      <c r="CJ54" s="45">
        <f t="shared" si="99"/>
        <v>50.252000000000002</v>
      </c>
      <c r="CK54" s="46">
        <f t="shared" si="67"/>
        <v>110239.91999999974</v>
      </c>
      <c r="CL54" s="47">
        <f t="shared" si="68"/>
        <v>147000</v>
      </c>
      <c r="CM54" s="45">
        <f t="shared" si="100"/>
        <v>89304.133333333652</v>
      </c>
      <c r="CO54" s="126">
        <v>45845.625</v>
      </c>
      <c r="CP54" s="54">
        <v>281.32</v>
      </c>
      <c r="CQ54" s="126">
        <v>45845.625</v>
      </c>
      <c r="CR54" s="54">
        <v>53.741999999999997</v>
      </c>
      <c r="DF54" s="130">
        <v>45923.625</v>
      </c>
      <c r="DG54" s="56">
        <f t="shared" si="75"/>
        <v>59800.540682314109</v>
      </c>
      <c r="DH54" s="56">
        <f t="shared" si="76"/>
        <v>-92183.016400091612</v>
      </c>
      <c r="DI54" s="56">
        <f t="shared" si="77"/>
        <v>-80131.250000003143</v>
      </c>
      <c r="DJ54" s="56">
        <f t="shared" si="78"/>
        <v>101839.85000000015</v>
      </c>
      <c r="DK54" s="56">
        <f t="shared" si="79"/>
        <v>21608.186460749363</v>
      </c>
      <c r="DL54" s="56">
        <f t="shared" si="80"/>
        <v>-6950.4616202730977</v>
      </c>
      <c r="DM54" s="56">
        <f t="shared" si="81"/>
        <v>-9825.0000000015134</v>
      </c>
      <c r="DN54" s="56">
        <f t="shared" si="82"/>
        <v>12535.7166666665</v>
      </c>
      <c r="DO54" s="56">
        <f t="shared" si="83"/>
        <v>21608.186460749363</v>
      </c>
      <c r="DP54" s="56">
        <f t="shared" si="84"/>
        <v>-6950.4616202730977</v>
      </c>
      <c r="DQ54" s="56">
        <f t="shared" si="85"/>
        <v>-9825.0000000015134</v>
      </c>
      <c r="DR54" s="56">
        <f t="shared" si="86"/>
        <v>12535.7166666665</v>
      </c>
      <c r="DS54" s="56">
        <f>SUM(DO$15:DO54)</f>
        <v>51406.212761777715</v>
      </c>
      <c r="DT54" s="56">
        <f>SUM(DP$15:DP54)</f>
        <v>-84573.395979275199</v>
      </c>
      <c r="DU54" s="56">
        <f>SUM(DQ$15:DQ54)</f>
        <v>-65450.000000000466</v>
      </c>
      <c r="DV54" s="56">
        <f>SUM(DR$15:DR54)</f>
        <v>84326.083333333285</v>
      </c>
      <c r="DZ54" s="130">
        <v>45923.625</v>
      </c>
      <c r="EA54" s="147">
        <f t="shared" si="70"/>
        <v>51406.212761777715</v>
      </c>
      <c r="EB54" s="147">
        <f t="shared" si="72"/>
        <v>-84573.395979275199</v>
      </c>
      <c r="EC54" s="147">
        <f t="shared" si="73"/>
        <v>84326.083333333285</v>
      </c>
      <c r="ED54" s="147">
        <f t="shared" si="74"/>
        <v>-65450.000000000466</v>
      </c>
    </row>
    <row r="55" spans="1:134" x14ac:dyDescent="0.3">
      <c r="A55" s="137">
        <v>45903.625</v>
      </c>
      <c r="B55" s="73">
        <f t="shared" si="27"/>
        <v>94.38</v>
      </c>
      <c r="C55" s="31">
        <f t="shared" si="28"/>
        <v>107348.24281150113</v>
      </c>
      <c r="D55" s="32">
        <f t="shared" si="29"/>
        <v>-140647.5</v>
      </c>
      <c r="E55" s="73">
        <f t="shared" si="30"/>
        <v>101.038</v>
      </c>
      <c r="F55" s="31">
        <f t="shared" si="31"/>
        <v>-34104.000000000495</v>
      </c>
      <c r="G55" s="32">
        <f t="shared" si="32"/>
        <v>-50074.348379999981</v>
      </c>
      <c r="H55" s="73">
        <f t="shared" si="33"/>
        <v>120.08</v>
      </c>
      <c r="I55" s="31">
        <f t="shared" si="34"/>
        <v>-539281.37817883643</v>
      </c>
      <c r="J55" s="32">
        <f t="shared" si="35"/>
        <v>-241913.69999999998</v>
      </c>
      <c r="K55" s="73">
        <f t="shared" si="36"/>
        <v>99.596000000000004</v>
      </c>
      <c r="L55" s="31">
        <f t="shared" si="37"/>
        <v>-56481.600000000508</v>
      </c>
      <c r="M55" s="32">
        <f t="shared" si="38"/>
        <v>-110142.31144000003</v>
      </c>
      <c r="N55" s="79">
        <f t="shared" si="17"/>
        <v>665450.25793033733</v>
      </c>
      <c r="O55" s="79"/>
      <c r="P55" s="79"/>
      <c r="Q55" s="79">
        <f>$G$5*SUM($O$14:O55)-$H$5*SUM($P$14:P55)</f>
        <v>-576200.5368</v>
      </c>
      <c r="R55" s="79">
        <f t="shared" si="18"/>
        <v>89249.721130337333</v>
      </c>
      <c r="S55" s="138"/>
      <c r="U55" s="72">
        <v>45846.625</v>
      </c>
      <c r="V55" s="54">
        <v>93.9</v>
      </c>
      <c r="W55" s="72">
        <v>45842.625</v>
      </c>
      <c r="X55" s="54">
        <v>101.465</v>
      </c>
      <c r="Y55" s="122">
        <v>45849.625</v>
      </c>
      <c r="Z55" s="54">
        <v>121.72</v>
      </c>
      <c r="AA55" s="72">
        <v>45918.625</v>
      </c>
      <c r="AB55" s="54">
        <v>99.516000000000005</v>
      </c>
      <c r="AF55" s="128">
        <v>45923.625</v>
      </c>
      <c r="AG55" s="45">
        <f t="shared" si="87"/>
        <v>81.260000000000005</v>
      </c>
      <c r="AH55" s="46">
        <f t="shared" si="40"/>
        <v>251709.13610938482</v>
      </c>
      <c r="AI55" s="46">
        <f t="shared" si="41"/>
        <v>-167437.49999999997</v>
      </c>
      <c r="AJ55" s="45">
        <f t="shared" si="88"/>
        <v>100.9140625</v>
      </c>
      <c r="AK55" s="46">
        <f t="shared" si="43"/>
        <v>187165.17857142858</v>
      </c>
      <c r="AL55" s="47">
        <f t="shared" si="44"/>
        <v>-7428.1769670758949</v>
      </c>
      <c r="AM55" s="45">
        <f t="shared" si="89"/>
        <v>111.71</v>
      </c>
      <c r="AN55" s="46">
        <f t="shared" si="46"/>
        <v>695044.58950077987</v>
      </c>
      <c r="AO55" s="47">
        <f t="shared" si="47"/>
        <v>-172221.42857142855</v>
      </c>
      <c r="AP55" s="45">
        <f t="shared" si="90"/>
        <v>100.9140625</v>
      </c>
      <c r="AQ55" s="46">
        <f t="shared" si="49"/>
        <v>163169.64285714287</v>
      </c>
      <c r="AR55" s="47">
        <f t="shared" si="50"/>
        <v>-6475.8465866815386</v>
      </c>
      <c r="AS55" s="45">
        <f t="shared" si="91"/>
        <v>104.328125</v>
      </c>
      <c r="AT55" s="46">
        <f t="shared" si="52"/>
        <v>136439.73214285713</v>
      </c>
      <c r="AU55" s="47">
        <f t="shared" si="53"/>
        <v>2711.3434709821449</v>
      </c>
      <c r="AV55" s="45">
        <f t="shared" si="92"/>
        <v>98.40625</v>
      </c>
      <c r="AW55" s="46">
        <f t="shared" si="55"/>
        <v>271875</v>
      </c>
      <c r="AX55" s="47">
        <f t="shared" si="56"/>
        <v>7312.068359375</v>
      </c>
      <c r="AY55" s="79">
        <f t="shared" si="93"/>
        <v>-43256.586180643528</v>
      </c>
      <c r="AZ55" s="79"/>
      <c r="BA55" s="79"/>
      <c r="BB55" s="79">
        <f>$AO$4*SUM($AZ$14:AZ55)-$AP$4*SUM($BA$14:BA55)</f>
        <v>48926.430219448084</v>
      </c>
      <c r="BC55" s="79">
        <f t="shared" si="94"/>
        <v>-92183.016400091612</v>
      </c>
      <c r="BE55" s="72">
        <v>45845.625</v>
      </c>
      <c r="BF55" s="54">
        <v>80.099999999999994</v>
      </c>
      <c r="BG55" s="72">
        <v>45938.625</v>
      </c>
      <c r="BH55" s="54">
        <v>100.6875</v>
      </c>
      <c r="BI55" s="72">
        <v>45845.625</v>
      </c>
      <c r="BJ55" s="54">
        <v>108.41</v>
      </c>
      <c r="BK55" s="72">
        <v>45938.625</v>
      </c>
      <c r="BL55" s="54">
        <v>100.6875</v>
      </c>
      <c r="BM55" s="72">
        <v>45845.625</v>
      </c>
      <c r="BN55" s="54">
        <v>101.984375</v>
      </c>
      <c r="BO55" s="72">
        <v>45845.625</v>
      </c>
      <c r="BP55" s="54">
        <v>95.375</v>
      </c>
      <c r="BR55" s="128">
        <f t="shared" si="20"/>
        <v>45923.625</v>
      </c>
      <c r="BS55" s="45">
        <f t="shared" si="95"/>
        <v>107.82299999999999</v>
      </c>
      <c r="BT55" s="46">
        <f t="shared" si="58"/>
        <v>61224.999999996755</v>
      </c>
      <c r="BU55" s="46">
        <f t="shared" si="59"/>
        <v>197916.66666666666</v>
      </c>
      <c r="BV55" s="45">
        <f t="shared" si="96"/>
        <v>47.701000000000001</v>
      </c>
      <c r="BW55" s="46">
        <f t="shared" si="61"/>
        <v>141356.24999999991</v>
      </c>
      <c r="BX55" s="47">
        <f t="shared" si="62"/>
        <v>197916.66666666666</v>
      </c>
      <c r="BY55" s="45">
        <f t="shared" si="97"/>
        <v>-80131.250000003143</v>
      </c>
      <c r="CA55" s="126">
        <v>45848.625</v>
      </c>
      <c r="CB55" s="54">
        <v>107.7636</v>
      </c>
      <c r="CC55" s="126">
        <v>45848.625</v>
      </c>
      <c r="CD55" s="54">
        <v>49.853999999999999</v>
      </c>
      <c r="CF55" s="128">
        <v>45923.625</v>
      </c>
      <c r="CG55" s="45">
        <f t="shared" si="98"/>
        <v>242.93100000000001</v>
      </c>
      <c r="CH55" s="46">
        <f t="shared" si="64"/>
        <v>224014.56000000003</v>
      </c>
      <c r="CI55" s="46">
        <f t="shared" si="65"/>
        <v>166250</v>
      </c>
      <c r="CJ55" s="45">
        <f t="shared" si="99"/>
        <v>49.594999999999999</v>
      </c>
      <c r="CK55" s="46">
        <f t="shared" si="67"/>
        <v>138799.7099999999</v>
      </c>
      <c r="CL55" s="47">
        <f t="shared" si="68"/>
        <v>149625</v>
      </c>
      <c r="CM55" s="45">
        <f t="shared" si="100"/>
        <v>101839.85000000015</v>
      </c>
      <c r="CO55" s="126">
        <v>45846.625</v>
      </c>
      <c r="CP55" s="54">
        <v>282.44299999999998</v>
      </c>
      <c r="CQ55" s="126">
        <v>45846.625</v>
      </c>
      <c r="CR55" s="54">
        <v>54.017000000000003</v>
      </c>
      <c r="DF55" s="130">
        <v>45924.625</v>
      </c>
      <c r="DG55" s="56">
        <f t="shared" si="75"/>
        <v>31575.551498647605</v>
      </c>
      <c r="DH55" s="56">
        <f t="shared" si="76"/>
        <v>-62589.921834330584</v>
      </c>
      <c r="DI55" s="56">
        <f t="shared" si="77"/>
        <v>-68993.750000002299</v>
      </c>
      <c r="DJ55" s="56">
        <f t="shared" si="78"/>
        <v>103220.57666666678</v>
      </c>
      <c r="DK55" s="56">
        <f t="shared" si="79"/>
        <v>-28224.989183666505</v>
      </c>
      <c r="DL55" s="56">
        <f t="shared" si="80"/>
        <v>29593.094565761028</v>
      </c>
      <c r="DM55" s="56">
        <f t="shared" si="81"/>
        <v>11137.500000000844</v>
      </c>
      <c r="DN55" s="56">
        <f t="shared" si="82"/>
        <v>1380.7266666666255</v>
      </c>
      <c r="DO55" s="56">
        <f t="shared" si="83"/>
        <v>-28224.989183666505</v>
      </c>
      <c r="DP55" s="56">
        <f t="shared" si="84"/>
        <v>29593.094565761028</v>
      </c>
      <c r="DQ55" s="56">
        <f t="shared" si="85"/>
        <v>11137.500000000844</v>
      </c>
      <c r="DR55" s="56">
        <f t="shared" si="86"/>
        <v>1380.7266666666255</v>
      </c>
      <c r="DS55" s="56">
        <f>SUM(DO$15:DO55)</f>
        <v>23181.22357811121</v>
      </c>
      <c r="DT55" s="56">
        <f>SUM(DP$15:DP55)</f>
        <v>-54980.301413514171</v>
      </c>
      <c r="DU55" s="56">
        <f>SUM(DQ$15:DQ55)</f>
        <v>-54312.499999999622</v>
      </c>
      <c r="DV55" s="56">
        <f>SUM(DR$15:DR55)</f>
        <v>85706.80999999991</v>
      </c>
      <c r="DZ55" s="130">
        <v>45924.625</v>
      </c>
      <c r="EA55" s="147">
        <f t="shared" si="70"/>
        <v>23181.22357811121</v>
      </c>
      <c r="EB55" s="147">
        <f t="shared" si="72"/>
        <v>-54980.301413514171</v>
      </c>
      <c r="EC55" s="147">
        <f t="shared" si="73"/>
        <v>85706.80999999991</v>
      </c>
      <c r="ED55" s="147">
        <f t="shared" si="74"/>
        <v>-54312.499999999622</v>
      </c>
    </row>
    <row r="56" spans="1:134" x14ac:dyDescent="0.3">
      <c r="A56" s="137">
        <v>45904.625</v>
      </c>
      <c r="B56" s="73">
        <f t="shared" si="27"/>
        <v>94.54</v>
      </c>
      <c r="C56" s="31">
        <f t="shared" si="28"/>
        <v>143130.99041533485</v>
      </c>
      <c r="D56" s="32">
        <f t="shared" si="29"/>
        <v>-143115</v>
      </c>
      <c r="E56" s="73">
        <f t="shared" si="30"/>
        <v>101.06399999999999</v>
      </c>
      <c r="F56" s="31">
        <f t="shared" si="31"/>
        <v>-29736.000000001128</v>
      </c>
      <c r="G56" s="32">
        <f t="shared" si="32"/>
        <v>-50952.845720000005</v>
      </c>
      <c r="H56" s="73">
        <f t="shared" si="33"/>
        <v>120.3</v>
      </c>
      <c r="I56" s="31">
        <f t="shared" si="34"/>
        <v>-474093.51927809737</v>
      </c>
      <c r="J56" s="32">
        <f t="shared" si="35"/>
        <v>-246157.8</v>
      </c>
      <c r="K56" s="73">
        <f t="shared" si="36"/>
        <v>99.653999999999996</v>
      </c>
      <c r="L56" s="31">
        <f t="shared" si="37"/>
        <v>-36506.400000003014</v>
      </c>
      <c r="M56" s="32">
        <f t="shared" si="38"/>
        <v>-112074.63269333333</v>
      </c>
      <c r="N56" s="79">
        <f t="shared" si="17"/>
        <v>652375.12272009708</v>
      </c>
      <c r="O56" s="79"/>
      <c r="P56" s="79"/>
      <c r="Q56" s="79">
        <f>$G$5*SUM($O$14:O56)-$H$5*SUM($P$14:P56)</f>
        <v>-576200.5368</v>
      </c>
      <c r="R56" s="79">
        <f t="shared" si="18"/>
        <v>76174.585920097074</v>
      </c>
      <c r="S56" s="138"/>
      <c r="U56" s="72">
        <v>45847.625</v>
      </c>
      <c r="V56" s="54">
        <v>94.17</v>
      </c>
      <c r="W56" s="72">
        <v>45845.625</v>
      </c>
      <c r="X56" s="54">
        <v>101.348</v>
      </c>
      <c r="Y56" s="122">
        <v>45852.625</v>
      </c>
      <c r="Z56" s="54">
        <v>121.74</v>
      </c>
      <c r="AA56" s="72">
        <v>45919.625</v>
      </c>
      <c r="AB56" s="54">
        <v>99.414000000000001</v>
      </c>
      <c r="AF56" s="128">
        <v>45924.625</v>
      </c>
      <c r="AG56" s="45">
        <f t="shared" si="87"/>
        <v>81.150000000000006</v>
      </c>
      <c r="AH56" s="46">
        <f t="shared" si="40"/>
        <v>217526.41392169258</v>
      </c>
      <c r="AI56" s="46">
        <f t="shared" si="41"/>
        <v>-170375</v>
      </c>
      <c r="AJ56" s="45">
        <f t="shared" si="88"/>
        <v>100.71875</v>
      </c>
      <c r="AK56" s="46">
        <f t="shared" si="43"/>
        <v>159960.9375</v>
      </c>
      <c r="AL56" s="47">
        <f t="shared" si="44"/>
        <v>-7558.4958612351038</v>
      </c>
      <c r="AM56" s="45">
        <f t="shared" si="89"/>
        <v>111.26</v>
      </c>
      <c r="AN56" s="46">
        <f t="shared" si="46"/>
        <v>588660.2135567884</v>
      </c>
      <c r="AO56" s="47">
        <f t="shared" si="47"/>
        <v>-175242.85714285716</v>
      </c>
      <c r="AP56" s="45">
        <f t="shared" si="90"/>
        <v>100.71875</v>
      </c>
      <c r="AQ56" s="46">
        <f t="shared" si="49"/>
        <v>139453.125</v>
      </c>
      <c r="AR56" s="47">
        <f t="shared" si="50"/>
        <v>-6589.4579303075298</v>
      </c>
      <c r="AS56" s="45">
        <f t="shared" si="91"/>
        <v>104.03125</v>
      </c>
      <c r="AT56" s="46">
        <f t="shared" si="52"/>
        <v>120535.71428571429</v>
      </c>
      <c r="AU56" s="47">
        <f t="shared" si="53"/>
        <v>2758.9109002976256</v>
      </c>
      <c r="AV56" s="45">
        <f t="shared" si="92"/>
        <v>98</v>
      </c>
      <c r="AW56" s="46">
        <f t="shared" si="55"/>
        <v>241406.25</v>
      </c>
      <c r="AX56" s="47">
        <f t="shared" si="56"/>
        <v>7440.3502604166715</v>
      </c>
      <c r="AY56" s="79">
        <f t="shared" si="93"/>
        <v>-13663.4916148825</v>
      </c>
      <c r="AZ56" s="79"/>
      <c r="BA56" s="79"/>
      <c r="BB56" s="79">
        <f>$AO$4*SUM($AZ$14:AZ56)-$AP$4*SUM($BA$14:BA56)</f>
        <v>48926.430219448084</v>
      </c>
      <c r="BC56" s="79">
        <f t="shared" si="94"/>
        <v>-62589.921834330584</v>
      </c>
      <c r="BE56" s="72">
        <v>45846.625</v>
      </c>
      <c r="BF56" s="54">
        <v>79.989999999999995</v>
      </c>
      <c r="BG56" s="72">
        <v>45939.625</v>
      </c>
      <c r="BH56" s="54">
        <v>100.625</v>
      </c>
      <c r="BI56" s="72">
        <v>45846.625</v>
      </c>
      <c r="BJ56" s="54">
        <v>108.1</v>
      </c>
      <c r="BK56" s="72">
        <v>45939.625</v>
      </c>
      <c r="BL56" s="54">
        <v>100.625</v>
      </c>
      <c r="BM56" s="72">
        <v>45846.625</v>
      </c>
      <c r="BN56" s="54">
        <v>101.8125</v>
      </c>
      <c r="BO56" s="72">
        <v>45846.625</v>
      </c>
      <c r="BP56" s="54">
        <v>95.234375</v>
      </c>
      <c r="BR56" s="128">
        <f t="shared" si="20"/>
        <v>45924.625</v>
      </c>
      <c r="BS56" s="45">
        <f t="shared" si="95"/>
        <v>107.7465</v>
      </c>
      <c r="BT56" s="46">
        <f t="shared" si="58"/>
        <v>42099.999999997803</v>
      </c>
      <c r="BU56" s="46">
        <f t="shared" si="59"/>
        <v>201388.88888888891</v>
      </c>
      <c r="BV56" s="45">
        <f t="shared" si="96"/>
        <v>48.238999999999997</v>
      </c>
      <c r="BW56" s="46">
        <f t="shared" si="61"/>
        <v>111093.75000000009</v>
      </c>
      <c r="BX56" s="47">
        <f t="shared" si="62"/>
        <v>201388.88888888893</v>
      </c>
      <c r="BY56" s="45">
        <f t="shared" si="97"/>
        <v>-68993.750000002299</v>
      </c>
      <c r="CA56" s="126">
        <v>45849.625</v>
      </c>
      <c r="CB56" s="54">
        <v>107.52670000000001</v>
      </c>
      <c r="CC56" s="126">
        <v>45849.625</v>
      </c>
      <c r="CD56" s="54">
        <v>50.515999999999998</v>
      </c>
      <c r="CF56" s="128">
        <v>45924.625</v>
      </c>
      <c r="CG56" s="45">
        <f t="shared" si="98"/>
        <v>243.08600000000001</v>
      </c>
      <c r="CH56" s="46">
        <f t="shared" si="64"/>
        <v>222582.36000000004</v>
      </c>
      <c r="CI56" s="46">
        <f t="shared" si="65"/>
        <v>169166.66666666669</v>
      </c>
      <c r="CJ56" s="45">
        <f t="shared" si="99"/>
        <v>49.652999999999999</v>
      </c>
      <c r="CK56" s="46">
        <f t="shared" si="67"/>
        <v>136278.44999999992</v>
      </c>
      <c r="CL56" s="47">
        <f t="shared" si="68"/>
        <v>152250.00000000003</v>
      </c>
      <c r="CM56" s="45">
        <f t="shared" si="100"/>
        <v>103220.57666666678</v>
      </c>
      <c r="CO56" s="126">
        <v>45847.625</v>
      </c>
      <c r="CP56" s="54">
        <v>278.82100000000003</v>
      </c>
      <c r="CQ56" s="126">
        <v>45847.625</v>
      </c>
      <c r="CR56" s="54">
        <v>53.445999999999998</v>
      </c>
      <c r="DF56" s="130">
        <v>45925.625</v>
      </c>
      <c r="DG56" s="56">
        <f t="shared" si="75"/>
        <v>32026.051323673397</v>
      </c>
      <c r="DH56" s="56">
        <f t="shared" si="76"/>
        <v>-94316.956092278531</v>
      </c>
      <c r="DI56" s="56">
        <f t="shared" si="77"/>
        <v>-65531.250000001106</v>
      </c>
      <c r="DJ56" s="56">
        <f t="shared" si="78"/>
        <v>112567.65333333355</v>
      </c>
      <c r="DK56" s="56">
        <f t="shared" si="79"/>
        <v>450.49982502579223</v>
      </c>
      <c r="DL56" s="56">
        <f t="shared" si="80"/>
        <v>-31727.034257947947</v>
      </c>
      <c r="DM56" s="56">
        <f t="shared" si="81"/>
        <v>3462.5000000011933</v>
      </c>
      <c r="DN56" s="56">
        <f t="shared" si="82"/>
        <v>9347.0766666667769</v>
      </c>
      <c r="DO56" s="56">
        <f t="shared" si="83"/>
        <v>450.49982502579223</v>
      </c>
      <c r="DP56" s="56">
        <f t="shared" si="84"/>
        <v>-31727.034257947947</v>
      </c>
      <c r="DQ56" s="56">
        <f t="shared" si="85"/>
        <v>3462.5000000011933</v>
      </c>
      <c r="DR56" s="56">
        <f t="shared" si="86"/>
        <v>9347.0766666667769</v>
      </c>
      <c r="DS56" s="56">
        <f>SUM(DO$15:DO56)</f>
        <v>23631.723403137003</v>
      </c>
      <c r="DT56" s="56">
        <f>SUM(DP$15:DP56)</f>
        <v>-86707.335671462119</v>
      </c>
      <c r="DU56" s="56">
        <f>SUM(DQ$15:DQ56)</f>
        <v>-50849.999999998428</v>
      </c>
      <c r="DV56" s="56">
        <f>SUM(DR$15:DR56)</f>
        <v>95053.886666666687</v>
      </c>
      <c r="DZ56" s="130">
        <v>45925.625</v>
      </c>
      <c r="EA56" s="147">
        <f t="shared" si="70"/>
        <v>23631.723403137003</v>
      </c>
      <c r="EB56" s="147">
        <f t="shared" si="72"/>
        <v>-86707.335671462119</v>
      </c>
      <c r="EC56" s="147">
        <f t="shared" si="73"/>
        <v>95053.886666666687</v>
      </c>
      <c r="ED56" s="147">
        <f t="shared" si="74"/>
        <v>-50849.999999998428</v>
      </c>
    </row>
    <row r="57" spans="1:134" x14ac:dyDescent="0.3">
      <c r="A57" s="137">
        <v>45905.625</v>
      </c>
      <c r="B57" s="73">
        <f t="shared" si="27"/>
        <v>94.64</v>
      </c>
      <c r="C57" s="31">
        <f t="shared" si="28"/>
        <v>165495.20766773206</v>
      </c>
      <c r="D57" s="32">
        <f t="shared" si="29"/>
        <v>-145582.5</v>
      </c>
      <c r="E57" s="73">
        <f t="shared" si="30"/>
        <v>101.19</v>
      </c>
      <c r="F57" s="31">
        <f t="shared" si="31"/>
        <v>-8568.0000000003256</v>
      </c>
      <c r="G57" s="32">
        <f t="shared" si="32"/>
        <v>-51831.34305999997</v>
      </c>
      <c r="H57" s="73">
        <f t="shared" si="33"/>
        <v>120.64</v>
      </c>
      <c r="I57" s="31">
        <f t="shared" si="34"/>
        <v>-373348.64643150149</v>
      </c>
      <c r="J57" s="32">
        <f t="shared" si="35"/>
        <v>-250401.89999999997</v>
      </c>
      <c r="K57" s="73">
        <f t="shared" si="36"/>
        <v>99.900999999999996</v>
      </c>
      <c r="L57" s="31">
        <f t="shared" si="37"/>
        <v>48560.399999996946</v>
      </c>
      <c r="M57" s="32">
        <f t="shared" si="38"/>
        <v>-114006.95394666666</v>
      </c>
      <c r="N57" s="79">
        <f t="shared" si="17"/>
        <v>638616.0432125642</v>
      </c>
      <c r="O57" s="79"/>
      <c r="P57" s="79"/>
      <c r="Q57" s="79">
        <f>$G$5*SUM($O$14:O57)-$H$5*SUM($P$14:P57)</f>
        <v>-576200.5368</v>
      </c>
      <c r="R57" s="79">
        <f t="shared" si="18"/>
        <v>62415.506412564195</v>
      </c>
      <c r="S57" s="138"/>
      <c r="U57" s="72">
        <v>45848.625</v>
      </c>
      <c r="V57" s="54">
        <v>94.22</v>
      </c>
      <c r="W57" s="72">
        <v>45846.625</v>
      </c>
      <c r="X57" s="54">
        <v>101.241</v>
      </c>
      <c r="Y57" s="122">
        <v>45853.625</v>
      </c>
      <c r="Z57" s="54">
        <v>121.85</v>
      </c>
      <c r="AA57" s="72">
        <v>45922.625</v>
      </c>
      <c r="AB57" s="54">
        <v>99.441000000000003</v>
      </c>
      <c r="AF57" s="128">
        <v>45925.625</v>
      </c>
      <c r="AG57" s="45">
        <f t="shared" si="87"/>
        <v>80.92</v>
      </c>
      <c r="AH57" s="46">
        <f t="shared" si="40"/>
        <v>146053.44934742193</v>
      </c>
      <c r="AI57" s="46">
        <f t="shared" si="41"/>
        <v>-173312.49999999997</v>
      </c>
      <c r="AJ57" s="45">
        <f t="shared" si="88"/>
        <v>100.5</v>
      </c>
      <c r="AK57" s="46">
        <f t="shared" si="43"/>
        <v>129492.1875</v>
      </c>
      <c r="AL57" s="47">
        <f t="shared" si="44"/>
        <v>-7688.8147553943418</v>
      </c>
      <c r="AM57" s="45">
        <f t="shared" si="89"/>
        <v>111.06</v>
      </c>
      <c r="AN57" s="46">
        <f t="shared" si="46"/>
        <v>541378.26869278459</v>
      </c>
      <c r="AO57" s="47">
        <f t="shared" si="47"/>
        <v>-178264.28571428571</v>
      </c>
      <c r="AP57" s="45">
        <f t="shared" si="90"/>
        <v>100.5</v>
      </c>
      <c r="AQ57" s="46">
        <f t="shared" si="49"/>
        <v>112890.625</v>
      </c>
      <c r="AR57" s="47">
        <f t="shared" si="50"/>
        <v>-6703.0692739335209</v>
      </c>
      <c r="AS57" s="45">
        <f t="shared" si="91"/>
        <v>103.8125</v>
      </c>
      <c r="AT57" s="46">
        <f t="shared" si="52"/>
        <v>108816.96428571429</v>
      </c>
      <c r="AU57" s="47">
        <f t="shared" si="53"/>
        <v>2806.478329613099</v>
      </c>
      <c r="AV57" s="45">
        <f t="shared" si="92"/>
        <v>98</v>
      </c>
      <c r="AW57" s="46">
        <f t="shared" si="55"/>
        <v>241406.25</v>
      </c>
      <c r="AX57" s="47">
        <f t="shared" si="56"/>
        <v>7568.6321614583358</v>
      </c>
      <c r="AY57" s="79">
        <f t="shared" si="93"/>
        <v>-45390.525872830454</v>
      </c>
      <c r="AZ57" s="79"/>
      <c r="BA57" s="79"/>
      <c r="BB57" s="79">
        <f>$AO$4*SUM($AZ$14:AZ57)-$AP$4*SUM($BA$14:BA57)</f>
        <v>48926.430219448084</v>
      </c>
      <c r="BC57" s="79">
        <f t="shared" si="94"/>
        <v>-94316.956092278531</v>
      </c>
      <c r="BE57" s="72">
        <v>45847.625</v>
      </c>
      <c r="BF57" s="54">
        <v>80.209999999999994</v>
      </c>
      <c r="BG57" s="72">
        <v>45940.625</v>
      </c>
      <c r="BH57" s="54">
        <v>101.0078125</v>
      </c>
      <c r="BI57" s="72">
        <v>45847.625</v>
      </c>
      <c r="BJ57" s="54">
        <v>108.71</v>
      </c>
      <c r="BK57" s="72">
        <v>45940.625</v>
      </c>
      <c r="BL57" s="54">
        <v>101.0078125</v>
      </c>
      <c r="BM57" s="72">
        <v>45847.625</v>
      </c>
      <c r="BN57" s="54">
        <v>102.359375</v>
      </c>
      <c r="BO57" s="72">
        <v>45847.625</v>
      </c>
      <c r="BP57" s="54">
        <v>96.15625</v>
      </c>
      <c r="BR57" s="128">
        <f t="shared" si="20"/>
        <v>45925.625</v>
      </c>
      <c r="BS57" s="45">
        <f t="shared" si="95"/>
        <v>107.6015</v>
      </c>
      <c r="BT57" s="46">
        <f t="shared" si="58"/>
        <v>5849.9999999988004</v>
      </c>
      <c r="BU57" s="46">
        <f t="shared" si="59"/>
        <v>204861.11111111112</v>
      </c>
      <c r="BV57" s="45">
        <f t="shared" si="96"/>
        <v>48.945</v>
      </c>
      <c r="BW57" s="46">
        <f t="shared" si="61"/>
        <v>71381.249999999913</v>
      </c>
      <c r="BX57" s="47">
        <f t="shared" si="62"/>
        <v>204861.11111111112</v>
      </c>
      <c r="BY57" s="45">
        <f t="shared" si="97"/>
        <v>-65531.250000001106</v>
      </c>
      <c r="CA57" s="126">
        <v>45852.625</v>
      </c>
      <c r="CB57" s="54">
        <v>107.4284</v>
      </c>
      <c r="CC57" s="126">
        <v>45852.625</v>
      </c>
      <c r="CD57" s="54">
        <v>50.954000000000001</v>
      </c>
      <c r="CF57" s="128">
        <v>45925.625</v>
      </c>
      <c r="CG57" s="45">
        <f t="shared" si="98"/>
        <v>247.20099999999999</v>
      </c>
      <c r="CH57" s="46">
        <f t="shared" si="64"/>
        <v>184559.76000000015</v>
      </c>
      <c r="CI57" s="46">
        <f t="shared" si="65"/>
        <v>172083.33333333334</v>
      </c>
      <c r="CJ57" s="45">
        <f t="shared" si="99"/>
        <v>50.735999999999997</v>
      </c>
      <c r="CK57" s="46">
        <f t="shared" si="67"/>
        <v>89200.439999999973</v>
      </c>
      <c r="CL57" s="47">
        <f t="shared" si="68"/>
        <v>154875</v>
      </c>
      <c r="CM57" s="45">
        <f t="shared" si="100"/>
        <v>112567.65333333355</v>
      </c>
      <c r="CO57" s="126">
        <v>45848.625</v>
      </c>
      <c r="CP57" s="54">
        <v>278.61399999999998</v>
      </c>
      <c r="CQ57" s="126">
        <v>45848.625</v>
      </c>
      <c r="CR57" s="54">
        <v>53.453000000000003</v>
      </c>
      <c r="DF57" s="130">
        <v>45926.625</v>
      </c>
      <c r="DG57" s="56">
        <f t="shared" si="75"/>
        <v>67888.049135575071</v>
      </c>
      <c r="DH57" s="56">
        <f t="shared" si="76"/>
        <v>-92867.543605855928</v>
      </c>
      <c r="DI57" s="56">
        <f t="shared" si="77"/>
        <v>-60443.750000000728</v>
      </c>
      <c r="DJ57" s="56">
        <f t="shared" si="78"/>
        <v>118950.16000000038</v>
      </c>
      <c r="DK57" s="56">
        <f t="shared" si="79"/>
        <v>35861.997811901674</v>
      </c>
      <c r="DL57" s="56">
        <f t="shared" si="80"/>
        <v>1449.4124864226033</v>
      </c>
      <c r="DM57" s="56">
        <f t="shared" si="81"/>
        <v>5087.5000000003783</v>
      </c>
      <c r="DN57" s="56">
        <f t="shared" si="82"/>
        <v>6382.5066666668281</v>
      </c>
      <c r="DO57" s="56">
        <f t="shared" si="83"/>
        <v>35861.997811901674</v>
      </c>
      <c r="DP57" s="56">
        <f t="shared" si="84"/>
        <v>1449.4124864226033</v>
      </c>
      <c r="DQ57" s="56">
        <f t="shared" si="85"/>
        <v>5087.5000000003783</v>
      </c>
      <c r="DR57" s="56">
        <f t="shared" si="86"/>
        <v>6382.5066666668281</v>
      </c>
      <c r="DS57" s="56">
        <f>SUM(DO$15:DO57)</f>
        <v>59493.721215038677</v>
      </c>
      <c r="DT57" s="56">
        <f>SUM(DP$15:DP57)</f>
        <v>-85257.923185039515</v>
      </c>
      <c r="DU57" s="56">
        <f>SUM(DQ$15:DQ57)</f>
        <v>-45762.49999999805</v>
      </c>
      <c r="DV57" s="56">
        <f>SUM(DR$15:DR57)</f>
        <v>101436.39333333352</v>
      </c>
      <c r="DZ57" s="130">
        <v>45926.625</v>
      </c>
      <c r="EA57" s="147">
        <f t="shared" si="70"/>
        <v>59493.721215038677</v>
      </c>
      <c r="EB57" s="147">
        <f t="shared" si="72"/>
        <v>-85257.923185039515</v>
      </c>
      <c r="EC57" s="147">
        <f t="shared" si="73"/>
        <v>101436.39333333352</v>
      </c>
      <c r="ED57" s="147">
        <f t="shared" si="74"/>
        <v>-45762.49999999805</v>
      </c>
    </row>
    <row r="58" spans="1:134" x14ac:dyDescent="0.3">
      <c r="A58" s="137">
        <v>45908.625</v>
      </c>
      <c r="B58" s="73">
        <f t="shared" si="27"/>
        <v>94.65</v>
      </c>
      <c r="C58" s="31">
        <f t="shared" si="28"/>
        <v>167731.62939297225</v>
      </c>
      <c r="D58" s="32">
        <f t="shared" si="29"/>
        <v>-152985</v>
      </c>
      <c r="E58" s="73">
        <f t="shared" si="30"/>
        <v>101.23099999999999</v>
      </c>
      <c r="F58" s="31">
        <f t="shared" si="31"/>
        <v>-1680.0000000008595</v>
      </c>
      <c r="G58" s="32">
        <f t="shared" si="32"/>
        <v>-54466.83507999999</v>
      </c>
      <c r="H58" s="73">
        <f t="shared" si="33"/>
        <v>120.74</v>
      </c>
      <c r="I58" s="31">
        <f t="shared" si="34"/>
        <v>-343717.8014766234</v>
      </c>
      <c r="J58" s="32">
        <f t="shared" si="35"/>
        <v>-263134.2</v>
      </c>
      <c r="K58" s="73">
        <f t="shared" si="36"/>
        <v>99.972999999999999</v>
      </c>
      <c r="L58" s="31">
        <f t="shared" si="37"/>
        <v>73357.199999997887</v>
      </c>
      <c r="M58" s="32">
        <f t="shared" si="38"/>
        <v>-119803.91770666672</v>
      </c>
      <c r="N58" s="79">
        <f t="shared" si="17"/>
        <v>631298.7482429276</v>
      </c>
      <c r="O58" s="79"/>
      <c r="P58" s="79"/>
      <c r="Q58" s="79">
        <f>$G$5*SUM($O$14:O58)-$H$5*SUM($P$14:P58)</f>
        <v>-576200.5368</v>
      </c>
      <c r="R58" s="79">
        <f t="shared" si="18"/>
        <v>55098.211442927597</v>
      </c>
      <c r="S58" s="138"/>
      <c r="U58" s="72">
        <v>45849.625</v>
      </c>
      <c r="V58" s="54">
        <v>94.12</v>
      </c>
      <c r="W58" s="72">
        <v>45847.625</v>
      </c>
      <c r="X58" s="54">
        <v>101.289</v>
      </c>
      <c r="Y58" s="122">
        <v>45854.625</v>
      </c>
      <c r="Z58" s="54">
        <v>121.87</v>
      </c>
      <c r="AA58" s="72">
        <v>45923.625</v>
      </c>
      <c r="AB58" s="54">
        <v>99.381</v>
      </c>
      <c r="AF58" s="128">
        <v>45926.625</v>
      </c>
      <c r="AG58" s="45">
        <f t="shared" si="87"/>
        <v>81.08</v>
      </c>
      <c r="AH58" s="46">
        <f t="shared" si="40"/>
        <v>195773.77252952277</v>
      </c>
      <c r="AI58" s="46">
        <f t="shared" si="41"/>
        <v>-176249.99999999997</v>
      </c>
      <c r="AJ58" s="45">
        <f t="shared" si="88"/>
        <v>100.4921875</v>
      </c>
      <c r="AK58" s="46">
        <f t="shared" si="43"/>
        <v>128404.01785714286</v>
      </c>
      <c r="AL58" s="47">
        <f t="shared" si="44"/>
        <v>-7819.1336495535652</v>
      </c>
      <c r="AM58" s="45">
        <f t="shared" si="89"/>
        <v>111.21</v>
      </c>
      <c r="AN58" s="46">
        <f t="shared" si="46"/>
        <v>576839.72734078171</v>
      </c>
      <c r="AO58" s="47">
        <f t="shared" si="47"/>
        <v>-181285.71428571426</v>
      </c>
      <c r="AP58" s="45">
        <f t="shared" si="90"/>
        <v>100.4921875</v>
      </c>
      <c r="AQ58" s="46">
        <f t="shared" si="49"/>
        <v>111941.96428571429</v>
      </c>
      <c r="AR58" s="47">
        <f t="shared" si="50"/>
        <v>-6816.680617559512</v>
      </c>
      <c r="AS58" s="45">
        <f t="shared" si="91"/>
        <v>103.71875</v>
      </c>
      <c r="AT58" s="46">
        <f t="shared" si="52"/>
        <v>103794.64285714286</v>
      </c>
      <c r="AU58" s="47">
        <f t="shared" si="53"/>
        <v>2854.0457589285725</v>
      </c>
      <c r="AV58" s="45">
        <f t="shared" si="92"/>
        <v>97.890625</v>
      </c>
      <c r="AW58" s="46">
        <f t="shared" si="55"/>
        <v>233203.125</v>
      </c>
      <c r="AX58" s="47">
        <f t="shared" si="56"/>
        <v>7696.9140625</v>
      </c>
      <c r="AY58" s="79">
        <f t="shared" si="93"/>
        <v>-43941.113386407844</v>
      </c>
      <c r="AZ58" s="79"/>
      <c r="BA58" s="79"/>
      <c r="BB58" s="79">
        <f>$AO$4*SUM($AZ$14:AZ58)-$AP$4*SUM($BA$14:BA58)</f>
        <v>48926.430219448084</v>
      </c>
      <c r="BC58" s="79">
        <f t="shared" si="94"/>
        <v>-92867.543605855928</v>
      </c>
      <c r="BE58" s="72">
        <v>45848.625</v>
      </c>
      <c r="BF58" s="54">
        <v>80.13</v>
      </c>
      <c r="BG58" s="72">
        <v>45943.625</v>
      </c>
      <c r="BH58" s="54">
        <v>101.109375</v>
      </c>
      <c r="BI58" s="72">
        <v>45848.625</v>
      </c>
      <c r="BJ58" s="54">
        <v>108.74</v>
      </c>
      <c r="BK58" s="72">
        <v>45943.625</v>
      </c>
      <c r="BL58" s="54">
        <v>101.109375</v>
      </c>
      <c r="BM58" s="72">
        <v>45848.625</v>
      </c>
      <c r="BN58" s="54">
        <v>102.296875</v>
      </c>
      <c r="BO58" s="72">
        <v>45848.625</v>
      </c>
      <c r="BP58" s="54">
        <v>96.21875</v>
      </c>
      <c r="BR58" s="128">
        <f t="shared" si="20"/>
        <v>45926.625</v>
      </c>
      <c r="BS58" s="45">
        <f t="shared" si="95"/>
        <v>107.7762</v>
      </c>
      <c r="BT58" s="46">
        <f t="shared" si="58"/>
        <v>49524.999999999156</v>
      </c>
      <c r="BU58" s="46">
        <f t="shared" si="59"/>
        <v>208333.33333333334</v>
      </c>
      <c r="BV58" s="45">
        <f t="shared" si="96"/>
        <v>48.259</v>
      </c>
      <c r="BW58" s="46">
        <f t="shared" si="61"/>
        <v>109968.74999999991</v>
      </c>
      <c r="BX58" s="47">
        <f t="shared" si="62"/>
        <v>208333.33333333331</v>
      </c>
      <c r="BY58" s="45">
        <f t="shared" si="97"/>
        <v>-60443.750000000728</v>
      </c>
      <c r="CA58" s="126">
        <v>45853.625</v>
      </c>
      <c r="CB58" s="54">
        <v>107.2017</v>
      </c>
      <c r="CC58" s="126">
        <v>45853.625</v>
      </c>
      <c r="CD58" s="54">
        <v>51.889000000000003</v>
      </c>
      <c r="CF58" s="128">
        <v>45926.625</v>
      </c>
      <c r="CG58" s="45">
        <f t="shared" si="98"/>
        <v>244.453</v>
      </c>
      <c r="CH58" s="46">
        <f t="shared" si="64"/>
        <v>209951.28000000012</v>
      </c>
      <c r="CI58" s="46">
        <f t="shared" si="65"/>
        <v>175000</v>
      </c>
      <c r="CJ58" s="45">
        <f t="shared" si="99"/>
        <v>50.292000000000002</v>
      </c>
      <c r="CK58" s="46">
        <f t="shared" si="67"/>
        <v>108501.11999999978</v>
      </c>
      <c r="CL58" s="47">
        <f t="shared" si="68"/>
        <v>157500</v>
      </c>
      <c r="CM58" s="45">
        <f t="shared" si="100"/>
        <v>118950.16000000038</v>
      </c>
      <c r="CO58" s="126">
        <v>45849.625</v>
      </c>
      <c r="CP58" s="54">
        <v>281.92899999999997</v>
      </c>
      <c r="CQ58" s="126">
        <v>45849.625</v>
      </c>
      <c r="CR58" s="54">
        <v>54.234999999999999</v>
      </c>
      <c r="DF58" s="130">
        <v>45929.625</v>
      </c>
      <c r="DG58" s="56">
        <f t="shared" si="75"/>
        <v>3362.6759454296844</v>
      </c>
      <c r="DH58" s="56">
        <f t="shared" si="76"/>
        <v>-66975.384605822299</v>
      </c>
      <c r="DI58" s="56">
        <f t="shared" si="77"/>
        <v>-52393.750000001863</v>
      </c>
      <c r="DJ58" s="56">
        <f t="shared" si="78"/>
        <v>116705.82000000039</v>
      </c>
      <c r="DK58" s="56">
        <f t="shared" si="79"/>
        <v>-64525.373190145387</v>
      </c>
      <c r="DL58" s="56">
        <f t="shared" si="80"/>
        <v>25892.159000033629</v>
      </c>
      <c r="DM58" s="56">
        <f t="shared" si="81"/>
        <v>8049.999999998865</v>
      </c>
      <c r="DN58" s="56">
        <f t="shared" si="82"/>
        <v>-2244.3399999999965</v>
      </c>
      <c r="DO58" s="56">
        <f t="shared" si="83"/>
        <v>-64525.373190145387</v>
      </c>
      <c r="DP58" s="56">
        <f t="shared" si="84"/>
        <v>25892.159000033629</v>
      </c>
      <c r="DQ58" s="56">
        <f t="shared" si="85"/>
        <v>8049.999999998865</v>
      </c>
      <c r="DR58" s="56">
        <f t="shared" si="86"/>
        <v>-2244.3399999999965</v>
      </c>
      <c r="DS58" s="56">
        <f>SUM(DO$15:DO58)</f>
        <v>-5031.6519751067099</v>
      </c>
      <c r="DT58" s="56">
        <f>SUM(DP$15:DP58)</f>
        <v>-59365.764185005886</v>
      </c>
      <c r="DU58" s="56">
        <f>SUM(DQ$15:DQ58)</f>
        <v>-37712.499999999185</v>
      </c>
      <c r="DV58" s="56">
        <f>SUM(DR$15:DR58)</f>
        <v>99192.053333333519</v>
      </c>
      <c r="DZ58" s="130">
        <v>45929.625</v>
      </c>
      <c r="EA58" s="147">
        <f t="shared" si="70"/>
        <v>-5031.6519751067099</v>
      </c>
      <c r="EB58" s="147">
        <f t="shared" si="72"/>
        <v>-59365.764185005886</v>
      </c>
      <c r="EC58" s="147">
        <f t="shared" si="73"/>
        <v>99192.053333333519</v>
      </c>
      <c r="ED58" s="147">
        <f t="shared" si="74"/>
        <v>-37712.499999999185</v>
      </c>
    </row>
    <row r="59" spans="1:134" x14ac:dyDescent="0.3">
      <c r="A59" s="137">
        <v>45909.625</v>
      </c>
      <c r="B59" s="73">
        <f t="shared" si="27"/>
        <v>94.54</v>
      </c>
      <c r="C59" s="31">
        <f t="shared" si="28"/>
        <v>143130.99041533485</v>
      </c>
      <c r="D59" s="32">
        <f t="shared" si="29"/>
        <v>-155452.5</v>
      </c>
      <c r="E59" s="73">
        <f t="shared" si="30"/>
        <v>101.163</v>
      </c>
      <c r="F59" s="31">
        <f t="shared" si="31"/>
        <v>-13104.000000000497</v>
      </c>
      <c r="G59" s="32">
        <f t="shared" si="32"/>
        <v>-55345.332419999992</v>
      </c>
      <c r="H59" s="73">
        <f t="shared" si="33"/>
        <v>120.66</v>
      </c>
      <c r="I59" s="31">
        <f t="shared" si="34"/>
        <v>-367422.47744052671</v>
      </c>
      <c r="J59" s="32">
        <f t="shared" si="35"/>
        <v>-267378.3</v>
      </c>
      <c r="K59" s="73">
        <f t="shared" si="36"/>
        <v>99.885999999999996</v>
      </c>
      <c r="L59" s="31">
        <f t="shared" si="37"/>
        <v>43394.399999996756</v>
      </c>
      <c r="M59" s="32">
        <f t="shared" si="38"/>
        <v>-121736.23895999999</v>
      </c>
      <c r="N59" s="79">
        <f t="shared" si="17"/>
        <v>612586.76131585881</v>
      </c>
      <c r="O59" s="79"/>
      <c r="P59" s="79"/>
      <c r="Q59" s="79">
        <f>$G$5*SUM($O$14:O59)-$H$5*SUM($P$14:P59)</f>
        <v>-576200.5368</v>
      </c>
      <c r="R59" s="79">
        <f t="shared" si="18"/>
        <v>36386.224515858805</v>
      </c>
      <c r="S59" s="138"/>
      <c r="U59" s="72">
        <v>45852.625</v>
      </c>
      <c r="V59" s="54">
        <v>94.05</v>
      </c>
      <c r="W59" s="72">
        <v>45848.625</v>
      </c>
      <c r="X59" s="54">
        <v>101.181</v>
      </c>
      <c r="Y59" s="122">
        <v>45855.625</v>
      </c>
      <c r="Z59" s="54">
        <v>120.13</v>
      </c>
      <c r="AA59" s="72">
        <v>45924.625</v>
      </c>
      <c r="AB59" s="54">
        <v>99.414000000000001</v>
      </c>
      <c r="AF59" s="128">
        <v>45929.625</v>
      </c>
      <c r="AG59" s="45">
        <f t="shared" si="87"/>
        <v>81.22</v>
      </c>
      <c r="AH59" s="46">
        <f t="shared" si="40"/>
        <v>239279.05531385684</v>
      </c>
      <c r="AI59" s="46">
        <f t="shared" si="41"/>
        <v>-185062.5</v>
      </c>
      <c r="AJ59" s="45">
        <f t="shared" si="88"/>
        <v>100.6015625</v>
      </c>
      <c r="AK59" s="46">
        <f t="shared" si="43"/>
        <v>143638.39285714287</v>
      </c>
      <c r="AL59" s="47">
        <f t="shared" si="44"/>
        <v>-8210.09033203125</v>
      </c>
      <c r="AM59" s="45">
        <f t="shared" si="89"/>
        <v>111.58</v>
      </c>
      <c r="AN59" s="46">
        <f t="shared" si="46"/>
        <v>664311.32533918193</v>
      </c>
      <c r="AO59" s="47">
        <f t="shared" si="47"/>
        <v>-190350</v>
      </c>
      <c r="AP59" s="45">
        <f t="shared" si="90"/>
        <v>100.6015625</v>
      </c>
      <c r="AQ59" s="46">
        <f t="shared" si="49"/>
        <v>125223.2142857143</v>
      </c>
      <c r="AR59" s="47">
        <f t="shared" si="50"/>
        <v>-7157.5146484375</v>
      </c>
      <c r="AS59" s="45">
        <f t="shared" si="91"/>
        <v>104.015625</v>
      </c>
      <c r="AT59" s="46">
        <f t="shared" si="52"/>
        <v>119698.66071428571</v>
      </c>
      <c r="AU59" s="47">
        <f t="shared" si="53"/>
        <v>2996.748046875</v>
      </c>
      <c r="AV59" s="45">
        <f t="shared" si="92"/>
        <v>98.625</v>
      </c>
      <c r="AW59" s="46">
        <f t="shared" si="55"/>
        <v>288281.25</v>
      </c>
      <c r="AX59" s="47">
        <f t="shared" si="56"/>
        <v>8081.759765625</v>
      </c>
      <c r="AY59" s="79">
        <f t="shared" si="93"/>
        <v>-18048.954386374215</v>
      </c>
      <c r="AZ59" s="79"/>
      <c r="BA59" s="79"/>
      <c r="BB59" s="79">
        <f>$AO$4*SUM($AZ$14:AZ59)-$AP$4*SUM($BA$14:BA59)</f>
        <v>48926.430219448084</v>
      </c>
      <c r="BC59" s="79">
        <f t="shared" si="94"/>
        <v>-66975.384605822299</v>
      </c>
      <c r="BE59" s="72">
        <v>45849.625</v>
      </c>
      <c r="BF59" s="54">
        <v>80.03</v>
      </c>
      <c r="BG59" s="72">
        <v>45944.625</v>
      </c>
      <c r="BH59" s="54">
        <v>101.25</v>
      </c>
      <c r="BI59" s="72">
        <v>45849.625</v>
      </c>
      <c r="BJ59" s="54">
        <v>108.08</v>
      </c>
      <c r="BK59" s="72">
        <v>45944.625</v>
      </c>
      <c r="BL59" s="54">
        <v>101.25</v>
      </c>
      <c r="BM59" s="72">
        <v>45849.625</v>
      </c>
      <c r="BN59" s="54">
        <v>101.71875</v>
      </c>
      <c r="BO59" s="72">
        <v>45849.625</v>
      </c>
      <c r="BP59" s="54">
        <v>94.859375</v>
      </c>
      <c r="BR59" s="128">
        <f t="shared" si="20"/>
        <v>45929.625</v>
      </c>
      <c r="BS59" s="45">
        <f t="shared" si="95"/>
        <v>107.9713</v>
      </c>
      <c r="BT59" s="46">
        <f t="shared" si="58"/>
        <v>98299.999999998283</v>
      </c>
      <c r="BU59" s="46">
        <f t="shared" si="59"/>
        <v>218750</v>
      </c>
      <c r="BV59" s="45">
        <f t="shared" si="96"/>
        <v>47.534999999999997</v>
      </c>
      <c r="BW59" s="46">
        <f t="shared" si="61"/>
        <v>150693.75000000012</v>
      </c>
      <c r="BX59" s="47">
        <f t="shared" si="62"/>
        <v>218750</v>
      </c>
      <c r="BY59" s="45">
        <f t="shared" si="97"/>
        <v>-52393.750000001863</v>
      </c>
      <c r="CA59" s="126">
        <v>45854.625</v>
      </c>
      <c r="CB59" s="54">
        <v>107.2169</v>
      </c>
      <c r="CC59" s="126">
        <v>45854.625</v>
      </c>
      <c r="CD59" s="54">
        <v>51.680999999999997</v>
      </c>
      <c r="CF59" s="128">
        <v>45929.625</v>
      </c>
      <c r="CG59" s="45">
        <f t="shared" si="98"/>
        <v>241.69499999999999</v>
      </c>
      <c r="CH59" s="46">
        <f t="shared" si="64"/>
        <v>235435.20000000022</v>
      </c>
      <c r="CI59" s="46">
        <f t="shared" si="65"/>
        <v>183750</v>
      </c>
      <c r="CJ59" s="45">
        <f t="shared" si="99"/>
        <v>49.634</v>
      </c>
      <c r="CK59" s="46">
        <f t="shared" si="67"/>
        <v>137104.37999999983</v>
      </c>
      <c r="CL59" s="47">
        <f t="shared" si="68"/>
        <v>165374.99999999997</v>
      </c>
      <c r="CM59" s="45">
        <f t="shared" si="100"/>
        <v>116705.82000000039</v>
      </c>
      <c r="CO59" s="126">
        <v>45852.625</v>
      </c>
      <c r="CP59" s="54">
        <v>283.81700000000001</v>
      </c>
      <c r="CQ59" s="126">
        <v>45852.625</v>
      </c>
      <c r="CR59" s="54">
        <v>54.883000000000003</v>
      </c>
      <c r="DF59" s="130">
        <v>45930.625</v>
      </c>
      <c r="DG59" s="56">
        <f t="shared" si="75"/>
        <v>765.61786540129106</v>
      </c>
      <c r="DH59" s="56">
        <f t="shared" si="76"/>
        <v>-75072.193646375134</v>
      </c>
      <c r="DI59" s="56">
        <f t="shared" si="77"/>
        <v>-51212.500000002939</v>
      </c>
      <c r="DJ59" s="56">
        <f t="shared" si="78"/>
        <v>137257.0266666669</v>
      </c>
      <c r="DK59" s="56">
        <f t="shared" si="79"/>
        <v>-2597.0580800283933</v>
      </c>
      <c r="DL59" s="56">
        <f t="shared" si="80"/>
        <v>-8096.8090405528346</v>
      </c>
      <c r="DM59" s="56">
        <f t="shared" si="81"/>
        <v>1181.2499999989232</v>
      </c>
      <c r="DN59" s="56">
        <f t="shared" si="82"/>
        <v>20551.20666666652</v>
      </c>
      <c r="DO59" s="56">
        <f t="shared" si="83"/>
        <v>-2597.0580800283933</v>
      </c>
      <c r="DP59" s="56">
        <f t="shared" si="84"/>
        <v>-8096.8090405528346</v>
      </c>
      <c r="DQ59" s="56">
        <f t="shared" si="85"/>
        <v>1181.2499999989232</v>
      </c>
      <c r="DR59" s="56">
        <f t="shared" si="86"/>
        <v>20551.20666666652</v>
      </c>
      <c r="DS59" s="56">
        <f>SUM(DO$15:DO59)</f>
        <v>-7628.7100551351032</v>
      </c>
      <c r="DT59" s="56">
        <f>SUM(DP$15:DP59)</f>
        <v>-67462.573225558721</v>
      </c>
      <c r="DU59" s="56">
        <f>SUM(DQ$15:DQ59)</f>
        <v>-36531.250000000262</v>
      </c>
      <c r="DV59" s="56">
        <f>SUM(DR$15:DR59)</f>
        <v>119743.26000000004</v>
      </c>
      <c r="DZ59" s="130">
        <v>45930.625</v>
      </c>
      <c r="EA59" s="147">
        <f t="shared" si="70"/>
        <v>-7628.7100551351032</v>
      </c>
      <c r="EB59" s="147">
        <f t="shared" si="72"/>
        <v>-67462.573225558721</v>
      </c>
      <c r="EC59" s="147">
        <f t="shared" si="73"/>
        <v>119743.26000000004</v>
      </c>
      <c r="ED59" s="147">
        <f t="shared" si="74"/>
        <v>-36531.250000000262</v>
      </c>
    </row>
    <row r="60" spans="1:134" x14ac:dyDescent="0.3">
      <c r="A60" s="137">
        <v>45910.625</v>
      </c>
      <c r="B60" s="73">
        <f t="shared" si="27"/>
        <v>94.53</v>
      </c>
      <c r="C60" s="31">
        <f t="shared" si="28"/>
        <v>140894.56869009466</v>
      </c>
      <c r="D60" s="32">
        <f t="shared" si="29"/>
        <v>-157920</v>
      </c>
      <c r="E60" s="73">
        <f t="shared" si="30"/>
        <v>101.126</v>
      </c>
      <c r="F60" s="31">
        <f t="shared" si="31"/>
        <v>-19319.999999999141</v>
      </c>
      <c r="G60" s="32">
        <f t="shared" si="32"/>
        <v>-56223.829759999993</v>
      </c>
      <c r="H60" s="73">
        <f t="shared" si="33"/>
        <v>120.75</v>
      </c>
      <c r="I60" s="31">
        <f t="shared" si="34"/>
        <v>-340754.71698113199</v>
      </c>
      <c r="J60" s="32">
        <f t="shared" si="35"/>
        <v>-271622.39999999997</v>
      </c>
      <c r="K60" s="73">
        <f t="shared" si="36"/>
        <v>99.86</v>
      </c>
      <c r="L60" s="31">
        <f t="shared" si="37"/>
        <v>34439.999999998043</v>
      </c>
      <c r="M60" s="32">
        <f t="shared" si="38"/>
        <v>-123668.56021333335</v>
      </c>
      <c r="N60" s="79">
        <f t="shared" si="17"/>
        <v>581666.95521789044</v>
      </c>
      <c r="O60" s="79"/>
      <c r="P60" s="79"/>
      <c r="Q60" s="79">
        <f>$G$5*SUM($O$14:O60)-$H$5*SUM($P$14:P60)</f>
        <v>-576200.5368</v>
      </c>
      <c r="R60" s="79">
        <f t="shared" si="18"/>
        <v>5466.4184178904397</v>
      </c>
      <c r="S60" s="138"/>
      <c r="U60" s="72">
        <v>45853.625</v>
      </c>
      <c r="V60" s="54">
        <v>94.05</v>
      </c>
      <c r="W60" s="72">
        <v>45849.625</v>
      </c>
      <c r="X60" s="54">
        <v>101.123</v>
      </c>
      <c r="Y60" s="122">
        <v>45856.625</v>
      </c>
      <c r="Z60" s="54">
        <v>120.01</v>
      </c>
      <c r="AA60" s="72">
        <v>45925.625</v>
      </c>
      <c r="AB60" s="54">
        <v>99.263000000000005</v>
      </c>
      <c r="AF60" s="128">
        <v>45930.625</v>
      </c>
      <c r="AG60" s="45">
        <f t="shared" si="87"/>
        <v>81.19</v>
      </c>
      <c r="AH60" s="46">
        <f t="shared" si="40"/>
        <v>229956.49471721501</v>
      </c>
      <c r="AI60" s="46">
        <f t="shared" si="41"/>
        <v>-188000</v>
      </c>
      <c r="AJ60" s="45">
        <f t="shared" si="88"/>
        <v>100.6171875</v>
      </c>
      <c r="AK60" s="46">
        <f t="shared" si="43"/>
        <v>145814.73214285716</v>
      </c>
      <c r="AL60" s="47">
        <f t="shared" si="44"/>
        <v>-8340.4092261904734</v>
      </c>
      <c r="AM60" s="45">
        <f t="shared" si="89"/>
        <v>111.47</v>
      </c>
      <c r="AN60" s="46">
        <f t="shared" si="46"/>
        <v>638306.25566398329</v>
      </c>
      <c r="AO60" s="47">
        <f t="shared" si="47"/>
        <v>-193371.42857142858</v>
      </c>
      <c r="AP60" s="45">
        <f t="shared" si="90"/>
        <v>100.6171875</v>
      </c>
      <c r="AQ60" s="46">
        <f t="shared" si="49"/>
        <v>127120.53571428572</v>
      </c>
      <c r="AR60" s="47">
        <f t="shared" si="50"/>
        <v>-7271.1259920634766</v>
      </c>
      <c r="AS60" s="45">
        <f t="shared" si="91"/>
        <v>103.96875</v>
      </c>
      <c r="AT60" s="46">
        <f t="shared" si="52"/>
        <v>117187.5</v>
      </c>
      <c r="AU60" s="47">
        <f t="shared" si="53"/>
        <v>3044.3154761904807</v>
      </c>
      <c r="AV60" s="45">
        <f t="shared" si="92"/>
        <v>98.328125</v>
      </c>
      <c r="AW60" s="46">
        <f t="shared" si="55"/>
        <v>266015.625</v>
      </c>
      <c r="AX60" s="47">
        <f t="shared" si="56"/>
        <v>8210.0416666666715</v>
      </c>
      <c r="AY60" s="79">
        <f t="shared" si="93"/>
        <v>-26145.763426927049</v>
      </c>
      <c r="AZ60" s="79"/>
      <c r="BA60" s="79"/>
      <c r="BB60" s="79">
        <f>$AO$4*SUM($AZ$14:AZ60)-$AP$4*SUM($BA$14:BA60)</f>
        <v>48926.430219448084</v>
      </c>
      <c r="BC60" s="79">
        <f t="shared" si="94"/>
        <v>-75072.193646375134</v>
      </c>
      <c r="BE60" s="72">
        <v>45852.625</v>
      </c>
      <c r="BF60" s="54">
        <v>80.09</v>
      </c>
      <c r="BG60" s="72">
        <v>45945.625</v>
      </c>
      <c r="BH60" s="54">
        <v>101.140625</v>
      </c>
      <c r="BI60" s="72">
        <v>45852.625</v>
      </c>
      <c r="BJ60" s="54">
        <v>108.05</v>
      </c>
      <c r="BK60" s="72">
        <v>45945.625</v>
      </c>
      <c r="BL60" s="54">
        <v>101.140625</v>
      </c>
      <c r="BM60" s="72">
        <v>45852.625</v>
      </c>
      <c r="BN60" s="54">
        <v>101.65625</v>
      </c>
      <c r="BO60" s="72">
        <v>45852.625</v>
      </c>
      <c r="BP60" s="54">
        <v>94.640625</v>
      </c>
      <c r="BR60" s="128">
        <f t="shared" si="20"/>
        <v>45930.625</v>
      </c>
      <c r="BS60" s="45">
        <f t="shared" si="95"/>
        <v>107.99469999999999</v>
      </c>
      <c r="BT60" s="46">
        <f t="shared" si="58"/>
        <v>104149.99999999709</v>
      </c>
      <c r="BU60" s="46">
        <f t="shared" si="59"/>
        <v>222222.22222222225</v>
      </c>
      <c r="BV60" s="45">
        <f t="shared" si="96"/>
        <v>47.451999999999998</v>
      </c>
      <c r="BW60" s="46">
        <f t="shared" si="61"/>
        <v>155362.50000000003</v>
      </c>
      <c r="BX60" s="47">
        <f t="shared" si="62"/>
        <v>222222.22222222225</v>
      </c>
      <c r="BY60" s="45">
        <f t="shared" si="97"/>
        <v>-51212.500000002939</v>
      </c>
      <c r="CA60" s="126">
        <v>45855.625</v>
      </c>
      <c r="CB60" s="54">
        <v>107.4862</v>
      </c>
      <c r="CC60" s="126">
        <v>45855.625</v>
      </c>
      <c r="CD60" s="54">
        <v>50.808</v>
      </c>
      <c r="CF60" s="128">
        <v>45930.625</v>
      </c>
      <c r="CG60" s="45">
        <f t="shared" si="98"/>
        <v>240.52799999999999</v>
      </c>
      <c r="CH60" s="46">
        <f t="shared" si="64"/>
        <v>246218.2800000002</v>
      </c>
      <c r="CI60" s="46">
        <f t="shared" si="65"/>
        <v>186666.66666666669</v>
      </c>
      <c r="CJ60" s="45">
        <f t="shared" si="99"/>
        <v>49.851999999999997</v>
      </c>
      <c r="CK60" s="46">
        <f t="shared" si="67"/>
        <v>127627.92</v>
      </c>
      <c r="CL60" s="47">
        <f t="shared" si="68"/>
        <v>168000</v>
      </c>
      <c r="CM60" s="45">
        <f t="shared" si="100"/>
        <v>137257.0266666669</v>
      </c>
      <c r="CO60" s="126">
        <v>45853.625</v>
      </c>
      <c r="CP60" s="54">
        <v>284.40899999999999</v>
      </c>
      <c r="CQ60" s="126">
        <v>45853.625</v>
      </c>
      <c r="CR60" s="54">
        <v>55.322000000000003</v>
      </c>
      <c r="DF60" s="130">
        <v>45931.625</v>
      </c>
      <c r="DG60" s="56">
        <f t="shared" si="75"/>
        <v>16307.419736045995</v>
      </c>
      <c r="DH60" s="56">
        <f t="shared" si="76"/>
        <v>-149177.87841989033</v>
      </c>
      <c r="DI60" s="56">
        <f t="shared" si="77"/>
        <v>-57425.000000000582</v>
      </c>
      <c r="DJ60" s="56">
        <f t="shared" si="78"/>
        <v>128019.52333333355</v>
      </c>
      <c r="DK60" s="56">
        <f t="shared" si="79"/>
        <v>15541.801870644704</v>
      </c>
      <c r="DL60" s="56">
        <f t="shared" si="80"/>
        <v>-74105.684773515197</v>
      </c>
      <c r="DM60" s="56">
        <f t="shared" si="81"/>
        <v>-6212.4999999976426</v>
      </c>
      <c r="DN60" s="56">
        <f t="shared" si="82"/>
        <v>-9237.5033333333558</v>
      </c>
      <c r="DO60" s="56">
        <f t="shared" si="83"/>
        <v>15541.801870644704</v>
      </c>
      <c r="DP60" s="56">
        <f t="shared" si="84"/>
        <v>-74105.684773515197</v>
      </c>
      <c r="DQ60" s="56">
        <f t="shared" si="85"/>
        <v>-6212.4999999976426</v>
      </c>
      <c r="DR60" s="56">
        <f t="shared" si="86"/>
        <v>-9237.5033333333558</v>
      </c>
      <c r="DS60" s="56">
        <f>SUM(DO$15:DO60)</f>
        <v>7913.0918155096006</v>
      </c>
      <c r="DT60" s="56">
        <f>SUM(DP$15:DP60)</f>
        <v>-141568.25799907392</v>
      </c>
      <c r="DU60" s="56">
        <f>SUM(DQ$15:DQ60)</f>
        <v>-42743.749999997905</v>
      </c>
      <c r="DV60" s="56">
        <f>SUM(DR$15:DR60)</f>
        <v>110505.75666666668</v>
      </c>
      <c r="DZ60" s="130">
        <v>45931.625</v>
      </c>
      <c r="EA60" s="147">
        <f t="shared" si="70"/>
        <v>7913.0918155096006</v>
      </c>
      <c r="EB60" s="147">
        <f t="shared" si="72"/>
        <v>-141568.25799907392</v>
      </c>
      <c r="EC60" s="147">
        <f t="shared" si="73"/>
        <v>110505.75666666668</v>
      </c>
      <c r="ED60" s="147">
        <f t="shared" si="74"/>
        <v>-42743.749999997905</v>
      </c>
    </row>
    <row r="61" spans="1:134" x14ac:dyDescent="0.3">
      <c r="A61" s="137">
        <v>45911.625</v>
      </c>
      <c r="B61" s="73">
        <f t="shared" si="27"/>
        <v>92.29</v>
      </c>
      <c r="C61" s="31">
        <f t="shared" si="28"/>
        <v>-360063.89776357729</v>
      </c>
      <c r="D61" s="32">
        <f t="shared" si="29"/>
        <v>-160387.5</v>
      </c>
      <c r="E61" s="73">
        <f t="shared" si="30"/>
        <v>101.012</v>
      </c>
      <c r="F61" s="31">
        <f t="shared" si="31"/>
        <v>-38471.999999999869</v>
      </c>
      <c r="G61" s="32">
        <f t="shared" si="32"/>
        <v>-57102.327099999995</v>
      </c>
      <c r="H61" s="73">
        <f t="shared" si="33"/>
        <v>120.76</v>
      </c>
      <c r="I61" s="31">
        <f t="shared" si="34"/>
        <v>-337791.6324856446</v>
      </c>
      <c r="J61" s="32">
        <f t="shared" si="35"/>
        <v>-275866.5</v>
      </c>
      <c r="K61" s="73">
        <f t="shared" si="36"/>
        <v>99.715000000000003</v>
      </c>
      <c r="L61" s="31">
        <f t="shared" si="37"/>
        <v>-15498.000000000588</v>
      </c>
      <c r="M61" s="32">
        <f t="shared" si="38"/>
        <v>-125600.8814666667</v>
      </c>
      <c r="N61" s="79">
        <f t="shared" si="17"/>
        <v>47682.180355399905</v>
      </c>
      <c r="O61" s="79">
        <v>2.4173</v>
      </c>
      <c r="P61" s="79"/>
      <c r="Q61" s="79">
        <f>$G$5*SUM($O$14:O61)-$H$5*SUM($P$14:P61)</f>
        <v>-35590.730199999991</v>
      </c>
      <c r="R61" s="79">
        <f t="shared" si="18"/>
        <v>12091.450155399914</v>
      </c>
      <c r="S61" s="138"/>
      <c r="U61" s="72">
        <v>45854.625</v>
      </c>
      <c r="V61" s="54">
        <v>93.96</v>
      </c>
      <c r="W61" s="72">
        <v>45852.625</v>
      </c>
      <c r="X61" s="54">
        <v>101.181</v>
      </c>
      <c r="Y61" s="122">
        <v>45859.625</v>
      </c>
      <c r="Z61" s="54">
        <v>120.31</v>
      </c>
      <c r="AA61" s="72">
        <v>45926.625</v>
      </c>
      <c r="AB61" s="54">
        <v>99.38</v>
      </c>
      <c r="AF61" s="128">
        <v>45931.625</v>
      </c>
      <c r="AG61" s="45">
        <f t="shared" si="87"/>
        <v>80.959999999999994</v>
      </c>
      <c r="AH61" s="46">
        <f t="shared" si="40"/>
        <v>158483.53014294436</v>
      </c>
      <c r="AI61" s="46">
        <f t="shared" si="41"/>
        <v>-190937.5</v>
      </c>
      <c r="AJ61" s="45">
        <f t="shared" si="88"/>
        <v>100.875</v>
      </c>
      <c r="AK61" s="46">
        <f t="shared" si="43"/>
        <v>181724.33035714287</v>
      </c>
      <c r="AL61" s="47">
        <f t="shared" si="44"/>
        <v>-8470.7281203496968</v>
      </c>
      <c r="AM61" s="45">
        <f t="shared" si="89"/>
        <v>111.51</v>
      </c>
      <c r="AN61" s="46">
        <f t="shared" si="46"/>
        <v>647762.64463678747</v>
      </c>
      <c r="AO61" s="47">
        <f t="shared" si="47"/>
        <v>-196392.85714285713</v>
      </c>
      <c r="AP61" s="45">
        <f t="shared" si="90"/>
        <v>100.875</v>
      </c>
      <c r="AQ61" s="46">
        <f t="shared" si="49"/>
        <v>158426.33928571429</v>
      </c>
      <c r="AR61" s="47">
        <f t="shared" si="50"/>
        <v>-7384.7373356894823</v>
      </c>
      <c r="AS61" s="45">
        <f t="shared" si="91"/>
        <v>104.3125</v>
      </c>
      <c r="AT61" s="46">
        <f t="shared" si="52"/>
        <v>135602.67857142858</v>
      </c>
      <c r="AU61" s="47">
        <f t="shared" si="53"/>
        <v>3091.8829055059541</v>
      </c>
      <c r="AV61" s="45">
        <f t="shared" si="92"/>
        <v>98.53125</v>
      </c>
      <c r="AW61" s="46">
        <f t="shared" si="55"/>
        <v>281250</v>
      </c>
      <c r="AX61" s="47">
        <f t="shared" si="56"/>
        <v>8338.3235677083358</v>
      </c>
      <c r="AY61" s="79">
        <f t="shared" si="93"/>
        <v>-77752.872593111446</v>
      </c>
      <c r="AZ61" s="79">
        <v>0.381299</v>
      </c>
      <c r="BA61" s="79">
        <v>0.40603600000000001</v>
      </c>
      <c r="BB61" s="79">
        <f>$AO$4*SUM($AZ$14:AZ61)-$AP$4*SUM($BA$14:BA61)</f>
        <v>71425.005826778885</v>
      </c>
      <c r="BC61" s="79">
        <f t="shared" si="94"/>
        <v>-149177.87841989033</v>
      </c>
      <c r="BE61" s="72">
        <v>45853.625</v>
      </c>
      <c r="BF61" s="54">
        <v>79.849999999999994</v>
      </c>
      <c r="BG61" s="72">
        <v>45946.625</v>
      </c>
      <c r="BH61" s="54">
        <v>101.46875</v>
      </c>
      <c r="BI61" s="72">
        <v>45853.625</v>
      </c>
      <c r="BJ61" s="54">
        <v>107.66</v>
      </c>
      <c r="BK61" s="72">
        <v>45946.625</v>
      </c>
      <c r="BL61" s="54">
        <v>101.46875</v>
      </c>
      <c r="BM61" s="72">
        <v>45853.625</v>
      </c>
      <c r="BN61" s="54">
        <v>101.21875</v>
      </c>
      <c r="BO61" s="72">
        <v>45853.625</v>
      </c>
      <c r="BP61" s="54">
        <v>94.015625</v>
      </c>
      <c r="BR61" s="128">
        <f t="shared" si="20"/>
        <v>45931.625</v>
      </c>
      <c r="BS61" s="45">
        <f t="shared" si="95"/>
        <v>107.9406</v>
      </c>
      <c r="BT61" s="46">
        <f t="shared" si="58"/>
        <v>90624.999999999287</v>
      </c>
      <c r="BU61" s="46">
        <f t="shared" si="59"/>
        <v>225694.44444444447</v>
      </c>
      <c r="BV61" s="45">
        <f t="shared" si="96"/>
        <v>47.582000000000001</v>
      </c>
      <c r="BW61" s="46">
        <f t="shared" si="61"/>
        <v>148049.99999999988</v>
      </c>
      <c r="BX61" s="47">
        <f t="shared" si="62"/>
        <v>225694.44444444444</v>
      </c>
      <c r="BY61" s="45">
        <f t="shared" si="97"/>
        <v>-57425.000000000582</v>
      </c>
      <c r="CA61" s="126">
        <v>45856.625</v>
      </c>
      <c r="CB61" s="54">
        <v>107.51779999999999</v>
      </c>
      <c r="CC61" s="126">
        <v>45856.625</v>
      </c>
      <c r="CD61" s="54">
        <v>50.996000000000002</v>
      </c>
      <c r="CF61" s="128">
        <v>45931.625</v>
      </c>
      <c r="CG61" s="45">
        <f t="shared" si="98"/>
        <v>239.28700000000001</v>
      </c>
      <c r="CH61" s="46">
        <f t="shared" si="64"/>
        <v>257685.12000000008</v>
      </c>
      <c r="CI61" s="46">
        <f t="shared" si="65"/>
        <v>189583.33333333334</v>
      </c>
      <c r="CJ61" s="45">
        <f t="shared" si="99"/>
        <v>49.369</v>
      </c>
      <c r="CK61" s="46">
        <f t="shared" si="67"/>
        <v>148623.92999999985</v>
      </c>
      <c r="CL61" s="47">
        <f t="shared" si="68"/>
        <v>170625</v>
      </c>
      <c r="CM61" s="45">
        <f t="shared" si="100"/>
        <v>128019.52333333355</v>
      </c>
      <c r="CO61" s="126">
        <v>45854.625</v>
      </c>
      <c r="CP61" s="54">
        <v>285.31700000000001</v>
      </c>
      <c r="CQ61" s="126">
        <v>45854.625</v>
      </c>
      <c r="CR61" s="54">
        <v>55.634</v>
      </c>
      <c r="DF61" s="130">
        <v>45932.625</v>
      </c>
      <c r="DG61" s="56">
        <f t="shared" si="75"/>
        <v>5509.156430973293</v>
      </c>
      <c r="DH61" s="56">
        <f t="shared" si="76"/>
        <v>-173266.54322752077</v>
      </c>
      <c r="DI61" s="56">
        <f t="shared" si="77"/>
        <v>-69156.250000002387</v>
      </c>
      <c r="DJ61" s="56">
        <f t="shared" si="78"/>
        <v>133532.63000000024</v>
      </c>
      <c r="DK61" s="56">
        <f t="shared" si="79"/>
        <v>-10798.263305072702</v>
      </c>
      <c r="DL61" s="56">
        <f t="shared" si="80"/>
        <v>-24088.664807630441</v>
      </c>
      <c r="DM61" s="56">
        <f t="shared" si="81"/>
        <v>-11731.250000001804</v>
      </c>
      <c r="DN61" s="56">
        <f t="shared" si="82"/>
        <v>5513.1066666666884</v>
      </c>
      <c r="DO61" s="56">
        <f t="shared" si="83"/>
        <v>-10798.263305072702</v>
      </c>
      <c r="DP61" s="56">
        <f t="shared" si="84"/>
        <v>-24088.664807630441</v>
      </c>
      <c r="DQ61" s="56">
        <f t="shared" si="85"/>
        <v>-11731.250000001804</v>
      </c>
      <c r="DR61" s="56">
        <f t="shared" si="86"/>
        <v>5513.1066666666884</v>
      </c>
      <c r="DS61" s="56">
        <f>SUM(DO$15:DO61)</f>
        <v>-2885.1714895631012</v>
      </c>
      <c r="DT61" s="56">
        <f>SUM(DP$15:DP61)</f>
        <v>-165656.92280670436</v>
      </c>
      <c r="DU61" s="56">
        <f>SUM(DQ$15:DQ61)</f>
        <v>-54474.999999999709</v>
      </c>
      <c r="DV61" s="56">
        <f>SUM(DR$15:DR61)</f>
        <v>116018.86333333337</v>
      </c>
      <c r="DZ61" s="130">
        <v>45932.625</v>
      </c>
      <c r="EA61" s="147">
        <f t="shared" si="70"/>
        <v>-2885.1714895631012</v>
      </c>
      <c r="EB61" s="147">
        <f t="shared" si="72"/>
        <v>-165656.92280670436</v>
      </c>
      <c r="EC61" s="147">
        <f t="shared" si="73"/>
        <v>116018.86333333337</v>
      </c>
      <c r="ED61" s="147">
        <f t="shared" si="74"/>
        <v>-54474.999999999709</v>
      </c>
    </row>
    <row r="62" spans="1:134" ht="15" thickBot="1" x14ac:dyDescent="0.35">
      <c r="A62" s="137">
        <v>45912.625</v>
      </c>
      <c r="B62" s="73">
        <f t="shared" si="27"/>
        <v>92.46</v>
      </c>
      <c r="C62" s="31">
        <f t="shared" si="28"/>
        <v>-322044.72843450803</v>
      </c>
      <c r="D62" s="32">
        <f t="shared" si="29"/>
        <v>-162854.99999999997</v>
      </c>
      <c r="E62" s="73">
        <f t="shared" si="30"/>
        <v>100.934</v>
      </c>
      <c r="F62" s="31">
        <f t="shared" si="31"/>
        <v>-51576.000000000364</v>
      </c>
      <c r="G62" s="32">
        <f t="shared" si="32"/>
        <v>-57980.824440000011</v>
      </c>
      <c r="H62" s="73">
        <f t="shared" si="33"/>
        <v>120.63</v>
      </c>
      <c r="I62" s="31">
        <f t="shared" si="34"/>
        <v>-376311.7309269929</v>
      </c>
      <c r="J62" s="32">
        <f t="shared" si="35"/>
        <v>-280110.59999999998</v>
      </c>
      <c r="K62" s="73">
        <f t="shared" si="36"/>
        <v>99.519000000000005</v>
      </c>
      <c r="L62" s="31">
        <f t="shared" si="37"/>
        <v>-83000.399999999892</v>
      </c>
      <c r="M62" s="32">
        <f t="shared" si="38"/>
        <v>-127533.20271999994</v>
      </c>
      <c r="N62" s="79">
        <f t="shared" si="17"/>
        <v>70545.8242124854</v>
      </c>
      <c r="O62" s="79"/>
      <c r="P62" s="79"/>
      <c r="Q62" s="79">
        <f>$G$5*SUM($O$14:O62)-$H$5*SUM($P$14:P62)</f>
        <v>-35590.730199999991</v>
      </c>
      <c r="R62" s="79">
        <f t="shared" si="18"/>
        <v>34955.09401248541</v>
      </c>
      <c r="S62" s="138"/>
      <c r="U62" s="72">
        <v>45855.625</v>
      </c>
      <c r="V62" s="54">
        <v>94.08</v>
      </c>
      <c r="W62" s="72">
        <v>45853.625</v>
      </c>
      <c r="X62" s="54">
        <v>101.23699999999999</v>
      </c>
      <c r="Y62" s="122">
        <v>45860.625</v>
      </c>
      <c r="Z62" s="54">
        <v>120.48</v>
      </c>
      <c r="AA62" s="72">
        <v>45929.625</v>
      </c>
      <c r="AB62" s="54">
        <v>99.456000000000003</v>
      </c>
      <c r="AF62" s="129">
        <v>45932.625</v>
      </c>
      <c r="AG62" s="45">
        <f t="shared" si="87"/>
        <v>80.930000000000007</v>
      </c>
      <c r="AH62" s="46">
        <f t="shared" si="40"/>
        <v>149160.96954630254</v>
      </c>
      <c r="AI62" s="46">
        <f t="shared" si="41"/>
        <v>-193874.99999999997</v>
      </c>
      <c r="AJ62" s="45">
        <f t="shared" si="88"/>
        <v>100.890625</v>
      </c>
      <c r="AK62" s="46">
        <f t="shared" si="43"/>
        <v>183900.66964285713</v>
      </c>
      <c r="AL62" s="47">
        <f t="shared" si="44"/>
        <v>-8601.0470145089203</v>
      </c>
      <c r="AM62" s="45">
        <f t="shared" si="89"/>
        <v>111.69</v>
      </c>
      <c r="AN62" s="46">
        <f t="shared" si="46"/>
        <v>690316.39501438069</v>
      </c>
      <c r="AO62" s="47">
        <f t="shared" si="47"/>
        <v>-199414.28571428571</v>
      </c>
      <c r="AP62" s="45">
        <f t="shared" si="90"/>
        <v>100.890625</v>
      </c>
      <c r="AQ62" s="46">
        <f t="shared" si="49"/>
        <v>160323.66071428571</v>
      </c>
      <c r="AR62" s="47">
        <f t="shared" si="50"/>
        <v>-7498.348679315488</v>
      </c>
      <c r="AS62" s="45">
        <f t="shared" si="91"/>
        <v>104.4375</v>
      </c>
      <c r="AT62" s="46">
        <f t="shared" si="52"/>
        <v>142299.10714285713</v>
      </c>
      <c r="AU62" s="47">
        <f t="shared" si="53"/>
        <v>3139.4503348214275</v>
      </c>
      <c r="AV62" s="45">
        <f t="shared" si="92"/>
        <v>98.8125</v>
      </c>
      <c r="AW62" s="46">
        <f t="shared" si="55"/>
        <v>302343.75</v>
      </c>
      <c r="AX62" s="47">
        <f t="shared" si="56"/>
        <v>8466.6054687500073</v>
      </c>
      <c r="AY62" s="79">
        <f t="shared" si="93"/>
        <v>-101841.53740074189</v>
      </c>
      <c r="AZ62" s="79"/>
      <c r="BA62" s="79"/>
      <c r="BB62" s="79">
        <f>$AO$4*SUM($AZ$14:AZ62)-$AP$4*SUM($BA$14:BA62)</f>
        <v>71425.005826778885</v>
      </c>
      <c r="BC62" s="79">
        <f t="shared" si="94"/>
        <v>-173266.54322752077</v>
      </c>
      <c r="BE62" s="72">
        <v>45854.625</v>
      </c>
      <c r="BF62" s="54">
        <v>80.06</v>
      </c>
      <c r="BG62" s="72">
        <v>45947.625</v>
      </c>
      <c r="BH62" s="54">
        <v>101.296875</v>
      </c>
      <c r="BI62" s="72">
        <v>45854.625</v>
      </c>
      <c r="BJ62" s="54">
        <v>107.83</v>
      </c>
      <c r="BK62" s="72">
        <v>45947.625</v>
      </c>
      <c r="BL62" s="54">
        <v>101.296875</v>
      </c>
      <c r="BM62" s="72">
        <v>45854.625</v>
      </c>
      <c r="BN62" s="54">
        <v>101.484375</v>
      </c>
      <c r="BO62" s="72">
        <v>45854.625</v>
      </c>
      <c r="BP62" s="54">
        <v>94.140625</v>
      </c>
      <c r="BR62" s="128">
        <f t="shared" si="20"/>
        <v>45932.625</v>
      </c>
      <c r="BS62" s="45">
        <f t="shared" si="95"/>
        <v>107.9785</v>
      </c>
      <c r="BT62" s="46">
        <f t="shared" si="58"/>
        <v>100099.99999999763</v>
      </c>
      <c r="BU62" s="46">
        <f t="shared" si="59"/>
        <v>229166.66666666666</v>
      </c>
      <c r="BV62" s="45">
        <f t="shared" si="96"/>
        <v>47.204999999999998</v>
      </c>
      <c r="BW62" s="46">
        <f t="shared" si="61"/>
        <v>169256.25000000003</v>
      </c>
      <c r="BX62" s="47">
        <f t="shared" si="62"/>
        <v>229166.66666666666</v>
      </c>
      <c r="BY62" s="45">
        <f t="shared" si="97"/>
        <v>-69156.250000002387</v>
      </c>
      <c r="CA62" s="126">
        <v>45859.625</v>
      </c>
      <c r="CB62" s="54">
        <v>107.4918</v>
      </c>
      <c r="CC62" s="126">
        <v>45859.625</v>
      </c>
      <c r="CD62" s="54">
        <v>51.058999999999997</v>
      </c>
      <c r="CF62" s="128">
        <v>45932.625</v>
      </c>
      <c r="CG62" s="45">
        <f t="shared" si="98"/>
        <v>236.33199999999999</v>
      </c>
      <c r="CH62" s="46">
        <f t="shared" si="64"/>
        <v>284989.32000000024</v>
      </c>
      <c r="CI62" s="46">
        <f t="shared" si="65"/>
        <v>192500</v>
      </c>
      <c r="CJ62" s="45">
        <f t="shared" si="99"/>
        <v>48.860999999999997</v>
      </c>
      <c r="CK62" s="46">
        <f t="shared" si="67"/>
        <v>170706.69</v>
      </c>
      <c r="CL62" s="47">
        <f t="shared" si="68"/>
        <v>173250</v>
      </c>
      <c r="CM62" s="45">
        <f t="shared" si="100"/>
        <v>133532.63000000024</v>
      </c>
      <c r="CO62" s="126">
        <v>45855.625</v>
      </c>
      <c r="CP62" s="54">
        <v>279.93299999999999</v>
      </c>
      <c r="CQ62" s="126">
        <v>45855.625</v>
      </c>
      <c r="CR62" s="54">
        <v>54.454000000000001</v>
      </c>
      <c r="DF62" s="130">
        <v>45933.625</v>
      </c>
      <c r="DG62" s="56">
        <f t="shared" si="75"/>
        <v>-21367.976860759081</v>
      </c>
      <c r="DH62" s="56">
        <f t="shared" si="76"/>
        <v>-198942.96744604659</v>
      </c>
      <c r="DI62" s="56">
        <f t="shared" si="77"/>
        <v>-76106.250000001397</v>
      </c>
      <c r="DJ62" s="56">
        <f t="shared" si="78"/>
        <v>130255.3466666668</v>
      </c>
      <c r="DK62" s="56">
        <f t="shared" si="79"/>
        <v>-26877.133291732374</v>
      </c>
      <c r="DL62" s="56">
        <f t="shared" si="80"/>
        <v>-25676.424218525819</v>
      </c>
      <c r="DM62" s="56">
        <f t="shared" si="81"/>
        <v>-6949.9999999990105</v>
      </c>
      <c r="DN62" s="56">
        <f t="shared" si="82"/>
        <v>-3277.283333333442</v>
      </c>
      <c r="DO62" s="56">
        <f t="shared" si="83"/>
        <v>-26877.133291732374</v>
      </c>
      <c r="DP62" s="56">
        <f t="shared" si="84"/>
        <v>-25676.424218525819</v>
      </c>
      <c r="DQ62" s="56">
        <f t="shared" si="85"/>
        <v>-6949.9999999990105</v>
      </c>
      <c r="DR62" s="56">
        <f t="shared" si="86"/>
        <v>-3277.283333333442</v>
      </c>
      <c r="DS62" s="56">
        <f>SUM(DO$15:DO62)</f>
        <v>-29762.304781295476</v>
      </c>
      <c r="DT62" s="56">
        <f>SUM(DP$15:DP62)</f>
        <v>-191333.34702523018</v>
      </c>
      <c r="DU62" s="56">
        <f>SUM(DQ$15:DQ62)</f>
        <v>-61424.999999998719</v>
      </c>
      <c r="DV62" s="56">
        <f>SUM(DR$15:DR62)</f>
        <v>112741.57999999993</v>
      </c>
      <c r="DZ62" s="130">
        <v>45933.625</v>
      </c>
      <c r="EA62" s="147">
        <f t="shared" si="70"/>
        <v>-29762.304781295476</v>
      </c>
      <c r="EB62" s="147">
        <f t="shared" si="72"/>
        <v>-191333.34702523018</v>
      </c>
      <c r="EC62" s="147">
        <f t="shared" si="73"/>
        <v>112741.57999999993</v>
      </c>
      <c r="ED62" s="147">
        <f t="shared" si="74"/>
        <v>-61424.999999998719</v>
      </c>
    </row>
    <row r="63" spans="1:134" x14ac:dyDescent="0.3">
      <c r="A63" s="137">
        <v>45915.625</v>
      </c>
      <c r="B63" s="73">
        <f t="shared" si="27"/>
        <v>92.46</v>
      </c>
      <c r="C63" s="31">
        <f t="shared" si="28"/>
        <v>-322044.72843450803</v>
      </c>
      <c r="D63" s="32">
        <f t="shared" si="29"/>
        <v>-170257.5</v>
      </c>
      <c r="E63" s="73">
        <f t="shared" si="30"/>
        <v>100.944</v>
      </c>
      <c r="F63" s="31">
        <f t="shared" si="31"/>
        <v>-49895.999999999505</v>
      </c>
      <c r="G63" s="32">
        <f t="shared" si="32"/>
        <v>-60616.316459999987</v>
      </c>
      <c r="H63" s="73">
        <f t="shared" si="33"/>
        <v>120.7</v>
      </c>
      <c r="I63" s="31">
        <f t="shared" si="34"/>
        <v>-355570.13945857302</v>
      </c>
      <c r="J63" s="32">
        <f t="shared" si="35"/>
        <v>-292842.90000000002</v>
      </c>
      <c r="K63" s="73">
        <f t="shared" si="36"/>
        <v>99.558000000000007</v>
      </c>
      <c r="L63" s="31">
        <f t="shared" si="37"/>
        <v>-69568.799999999377</v>
      </c>
      <c r="M63" s="32">
        <f t="shared" si="38"/>
        <v>-133330.16648000001</v>
      </c>
      <c r="N63" s="79">
        <f t="shared" si="17"/>
        <v>63724.161004065099</v>
      </c>
      <c r="O63" s="79"/>
      <c r="P63" s="79"/>
      <c r="Q63" s="79">
        <f>$G$5*SUM($O$14:O63)-$H$5*SUM($P$14:P63)</f>
        <v>-35590.730199999991</v>
      </c>
      <c r="R63" s="79">
        <f t="shared" si="18"/>
        <v>28133.430804065109</v>
      </c>
      <c r="S63" s="138"/>
      <c r="U63" s="72">
        <v>45856.625</v>
      </c>
      <c r="V63" s="54">
        <v>94.09</v>
      </c>
      <c r="W63" s="72">
        <v>45854.625</v>
      </c>
      <c r="X63" s="54">
        <v>101.31</v>
      </c>
      <c r="Y63" s="122">
        <v>45861.625</v>
      </c>
      <c r="Z63" s="54">
        <v>120.5</v>
      </c>
      <c r="AA63" s="72">
        <v>45930.625</v>
      </c>
      <c r="AB63" s="54">
        <v>99.484999999999999</v>
      </c>
      <c r="AF63" s="130">
        <v>45933.625</v>
      </c>
      <c r="AG63" s="45">
        <f t="shared" si="87"/>
        <v>80.84</v>
      </c>
      <c r="AH63" s="46">
        <f t="shared" si="40"/>
        <v>121193.2877563715</v>
      </c>
      <c r="AI63" s="46">
        <f t="shared" si="41"/>
        <v>-196812.5</v>
      </c>
      <c r="AJ63" s="45">
        <f t="shared" si="88"/>
        <v>100.71875</v>
      </c>
      <c r="AK63" s="46">
        <f t="shared" si="43"/>
        <v>159960.9375</v>
      </c>
      <c r="AL63" s="47">
        <f t="shared" si="44"/>
        <v>-8731.3659086681437</v>
      </c>
      <c r="AM63" s="45">
        <f t="shared" si="89"/>
        <v>111.55</v>
      </c>
      <c r="AN63" s="46">
        <f t="shared" si="46"/>
        <v>657219.03360958025</v>
      </c>
      <c r="AO63" s="47">
        <f t="shared" si="47"/>
        <v>-202435.71428571429</v>
      </c>
      <c r="AP63" s="45">
        <f t="shared" si="90"/>
        <v>100.71875</v>
      </c>
      <c r="AQ63" s="46">
        <f t="shared" si="49"/>
        <v>139453.125</v>
      </c>
      <c r="AR63" s="47">
        <f t="shared" si="50"/>
        <v>-7611.9600229414646</v>
      </c>
      <c r="AS63" s="45">
        <f t="shared" si="91"/>
        <v>104.171875</v>
      </c>
      <c r="AT63" s="46">
        <f t="shared" si="52"/>
        <v>128069.19642857143</v>
      </c>
      <c r="AU63" s="47">
        <f t="shared" si="53"/>
        <v>3187.017764136901</v>
      </c>
      <c r="AV63" s="45">
        <f t="shared" si="92"/>
        <v>98.546875</v>
      </c>
      <c r="AW63" s="46">
        <f t="shared" si="55"/>
        <v>282421.875</v>
      </c>
      <c r="AX63" s="47">
        <f t="shared" si="56"/>
        <v>8594.8873697916715</v>
      </c>
      <c r="AY63" s="79">
        <f t="shared" si="93"/>
        <v>-127517.96161926772</v>
      </c>
      <c r="AZ63" s="79"/>
      <c r="BA63" s="79"/>
      <c r="BB63" s="79">
        <f>$AO$4*SUM($AZ$14:AZ63)-$AP$4*SUM($BA$14:BA63)</f>
        <v>71425.005826778885</v>
      </c>
      <c r="BC63" s="79">
        <f t="shared" si="94"/>
        <v>-198942.96744604659</v>
      </c>
      <c r="BE63" s="72">
        <v>45855.625</v>
      </c>
      <c r="BF63" s="54">
        <v>80.14</v>
      </c>
      <c r="BG63" s="72">
        <v>45950.625</v>
      </c>
      <c r="BH63" s="54">
        <v>101.3515625</v>
      </c>
      <c r="BI63" s="72">
        <v>45855.625</v>
      </c>
      <c r="BJ63" s="54">
        <v>108.09</v>
      </c>
      <c r="BK63" s="72">
        <v>45950.625</v>
      </c>
      <c r="BL63" s="54">
        <v>101.3515625</v>
      </c>
      <c r="BM63" s="72">
        <v>45855.625</v>
      </c>
      <c r="BN63" s="54">
        <v>101.421875</v>
      </c>
      <c r="BO63" s="72">
        <v>45855.625</v>
      </c>
      <c r="BP63" s="54">
        <v>94.078125</v>
      </c>
      <c r="BR63" s="128">
        <f t="shared" si="20"/>
        <v>45933.625</v>
      </c>
      <c r="BS63" s="45">
        <f t="shared" si="95"/>
        <v>107.9615</v>
      </c>
      <c r="BT63" s="46">
        <f t="shared" si="58"/>
        <v>95849.999999998661</v>
      </c>
      <c r="BU63" s="46">
        <f t="shared" si="59"/>
        <v>232638.88888888891</v>
      </c>
      <c r="BV63" s="45">
        <f t="shared" si="96"/>
        <v>47.156999999999996</v>
      </c>
      <c r="BW63" s="46">
        <f t="shared" si="61"/>
        <v>171956.25000000012</v>
      </c>
      <c r="BX63" s="47">
        <f t="shared" si="62"/>
        <v>232638.88888888888</v>
      </c>
      <c r="BY63" s="45">
        <f t="shared" si="97"/>
        <v>-76106.250000001397</v>
      </c>
      <c r="CA63" s="126">
        <v>45860.625</v>
      </c>
      <c r="CB63" s="54">
        <v>107.44840000000001</v>
      </c>
      <c r="CC63" s="126">
        <v>45860.625</v>
      </c>
      <c r="CD63" s="54">
        <v>51.103000000000002</v>
      </c>
      <c r="CF63" s="128">
        <v>45933.625</v>
      </c>
      <c r="CG63" s="45">
        <f t="shared" si="98"/>
        <v>235.94200000000001</v>
      </c>
      <c r="CH63" s="46">
        <f t="shared" si="64"/>
        <v>288592.92000000004</v>
      </c>
      <c r="CI63" s="46">
        <f t="shared" si="65"/>
        <v>195416.66666666669</v>
      </c>
      <c r="CJ63" s="45">
        <f t="shared" si="99"/>
        <v>48.695999999999998</v>
      </c>
      <c r="CK63" s="46">
        <f t="shared" si="67"/>
        <v>177879.23999999993</v>
      </c>
      <c r="CL63" s="47">
        <f t="shared" si="68"/>
        <v>175875</v>
      </c>
      <c r="CM63" s="45">
        <f t="shared" si="100"/>
        <v>130255.3466666668</v>
      </c>
      <c r="CO63" s="126">
        <v>45856.625</v>
      </c>
      <c r="CP63" s="54">
        <v>277.86799999999999</v>
      </c>
      <c r="CQ63" s="126">
        <v>45856.625</v>
      </c>
      <c r="CR63" s="54">
        <v>53.975999999999999</v>
      </c>
      <c r="DF63" s="130">
        <v>45936.625</v>
      </c>
      <c r="DG63" s="56">
        <f t="shared" si="75"/>
        <v>-31908.003082904004</v>
      </c>
      <c r="DH63" s="56">
        <f t="shared" si="76"/>
        <v>-179084.49672184521</v>
      </c>
      <c r="DI63" s="56">
        <f t="shared" si="77"/>
        <v>-69031.25000000163</v>
      </c>
      <c r="DJ63" s="56">
        <f t="shared" si="78"/>
        <v>139952.65666666697</v>
      </c>
      <c r="DK63" s="56">
        <f t="shared" si="79"/>
        <v>-10540.026222144923</v>
      </c>
      <c r="DL63" s="56">
        <f t="shared" si="80"/>
        <v>19858.470724201383</v>
      </c>
      <c r="DM63" s="56">
        <f t="shared" si="81"/>
        <v>7074.9999999997672</v>
      </c>
      <c r="DN63" s="56">
        <f t="shared" si="82"/>
        <v>9697.3100000001723</v>
      </c>
      <c r="DO63" s="56">
        <f t="shared" si="83"/>
        <v>-10540.026222144923</v>
      </c>
      <c r="DP63" s="56">
        <f t="shared" si="84"/>
        <v>19858.470724201383</v>
      </c>
      <c r="DQ63" s="56">
        <f t="shared" si="85"/>
        <v>7074.9999999997672</v>
      </c>
      <c r="DR63" s="56">
        <f t="shared" si="86"/>
        <v>9697.3100000001723</v>
      </c>
      <c r="DS63" s="56">
        <f>SUM(DO$15:DO63)</f>
        <v>-40302.331003440398</v>
      </c>
      <c r="DT63" s="56">
        <f>SUM(DP$15:DP63)</f>
        <v>-171474.87630102879</v>
      </c>
      <c r="DU63" s="56">
        <f>SUM(DQ$15:DQ63)</f>
        <v>-54349.999999998952</v>
      </c>
      <c r="DV63" s="56">
        <f>SUM(DR$15:DR63)</f>
        <v>122438.8900000001</v>
      </c>
      <c r="DZ63" s="130">
        <v>45936.625</v>
      </c>
      <c r="EA63" s="147">
        <f t="shared" si="70"/>
        <v>-40302.331003440398</v>
      </c>
      <c r="EB63" s="147">
        <f t="shared" si="72"/>
        <v>-171474.87630102879</v>
      </c>
      <c r="EC63" s="147">
        <f t="shared" si="73"/>
        <v>122438.8900000001</v>
      </c>
      <c r="ED63" s="147">
        <f t="shared" si="74"/>
        <v>-54349.999999998952</v>
      </c>
    </row>
    <row r="64" spans="1:134" x14ac:dyDescent="0.3">
      <c r="A64" s="137">
        <v>45916.625</v>
      </c>
      <c r="B64" s="73">
        <f t="shared" si="27"/>
        <v>92.35</v>
      </c>
      <c r="C64" s="31">
        <f t="shared" si="28"/>
        <v>-346645.36741214315</v>
      </c>
      <c r="D64" s="32">
        <f t="shared" si="29"/>
        <v>-172725</v>
      </c>
      <c r="E64" s="73">
        <f t="shared" si="30"/>
        <v>100.953</v>
      </c>
      <c r="F64" s="31">
        <f t="shared" si="31"/>
        <v>-48383.999999999447</v>
      </c>
      <c r="G64" s="32">
        <f t="shared" si="32"/>
        <v>-61494.813800000004</v>
      </c>
      <c r="H64" s="73">
        <f t="shared" si="33"/>
        <v>120.66</v>
      </c>
      <c r="I64" s="31">
        <f t="shared" si="34"/>
        <v>-367422.47744052671</v>
      </c>
      <c r="J64" s="32">
        <f t="shared" si="35"/>
        <v>-297087</v>
      </c>
      <c r="K64" s="73">
        <f t="shared" si="36"/>
        <v>99.569000000000003</v>
      </c>
      <c r="L64" s="31">
        <f t="shared" si="37"/>
        <v>-65780.400000000853</v>
      </c>
      <c r="M64" s="32">
        <f t="shared" si="38"/>
        <v>-135262.48773333334</v>
      </c>
      <c r="N64" s="79">
        <f t="shared" si="17"/>
        <v>53975.036095048796</v>
      </c>
      <c r="O64" s="79"/>
      <c r="P64" s="79"/>
      <c r="Q64" s="79">
        <f>$G$5*SUM($O$14:O64)-$H$5*SUM($P$14:P64)</f>
        <v>-35590.730199999991</v>
      </c>
      <c r="R64" s="79">
        <f t="shared" si="18"/>
        <v>18384.305895048805</v>
      </c>
      <c r="S64" s="138"/>
      <c r="U64" s="72">
        <v>45859.625</v>
      </c>
      <c r="V64" s="54">
        <v>94.13</v>
      </c>
      <c r="W64" s="72">
        <v>45855.625</v>
      </c>
      <c r="X64" s="54">
        <v>101.328</v>
      </c>
      <c r="Y64" s="122">
        <v>45862.625</v>
      </c>
      <c r="Z64" s="54">
        <v>120.16</v>
      </c>
      <c r="AA64" s="72">
        <v>45931.625</v>
      </c>
      <c r="AB64" s="54">
        <v>99.536000000000001</v>
      </c>
      <c r="AF64" s="130">
        <v>45936.625</v>
      </c>
      <c r="AG64" s="45">
        <f t="shared" si="87"/>
        <v>80.86</v>
      </c>
      <c r="AH64" s="46">
        <f t="shared" si="40"/>
        <v>127408.32815413272</v>
      </c>
      <c r="AI64" s="46">
        <f t="shared" si="41"/>
        <v>-205624.99999999997</v>
      </c>
      <c r="AJ64" s="45">
        <f t="shared" si="88"/>
        <v>100.5859375</v>
      </c>
      <c r="AK64" s="46">
        <f t="shared" si="43"/>
        <v>141462.05357142858</v>
      </c>
      <c r="AL64" s="47">
        <f t="shared" si="44"/>
        <v>-9122.3225911458285</v>
      </c>
      <c r="AM64" s="45">
        <f t="shared" si="89"/>
        <v>111.19</v>
      </c>
      <c r="AN64" s="46">
        <f t="shared" si="46"/>
        <v>572111.53285438253</v>
      </c>
      <c r="AO64" s="47">
        <f t="shared" si="47"/>
        <v>-211500.00000000003</v>
      </c>
      <c r="AP64" s="45">
        <f t="shared" si="90"/>
        <v>100.5859375</v>
      </c>
      <c r="AQ64" s="46">
        <f t="shared" si="49"/>
        <v>123325.89285714287</v>
      </c>
      <c r="AR64" s="47">
        <f t="shared" si="50"/>
        <v>-7952.7940538194525</v>
      </c>
      <c r="AS64" s="45">
        <f t="shared" si="91"/>
        <v>103.828125</v>
      </c>
      <c r="AT64" s="46">
        <f t="shared" si="52"/>
        <v>109654.01785714287</v>
      </c>
      <c r="AU64" s="47">
        <f t="shared" si="53"/>
        <v>3329.7200520833358</v>
      </c>
      <c r="AV64" s="45">
        <f t="shared" si="92"/>
        <v>97.796875</v>
      </c>
      <c r="AW64" s="46">
        <f t="shared" si="55"/>
        <v>226171.875</v>
      </c>
      <c r="AX64" s="47">
        <f t="shared" si="56"/>
        <v>8979.7330729166642</v>
      </c>
      <c r="AY64" s="79">
        <f t="shared" si="93"/>
        <v>-107659.49089506632</v>
      </c>
      <c r="AZ64" s="79"/>
      <c r="BA64" s="79"/>
      <c r="BB64" s="79">
        <f>$AO$4*SUM($AZ$14:AZ64)-$AP$4*SUM($BA$14:BA64)</f>
        <v>71425.005826778885</v>
      </c>
      <c r="BC64" s="79">
        <f t="shared" si="94"/>
        <v>-179084.49672184521</v>
      </c>
      <c r="BE64" s="72">
        <v>45856.625</v>
      </c>
      <c r="BF64" s="54">
        <v>80.25</v>
      </c>
      <c r="BG64" s="72">
        <v>45951.625</v>
      </c>
      <c r="BH64" s="54">
        <v>101.421875</v>
      </c>
      <c r="BI64" s="72">
        <v>45856.625</v>
      </c>
      <c r="BJ64" s="54">
        <v>108.29</v>
      </c>
      <c r="BK64" s="72">
        <v>45951.625</v>
      </c>
      <c r="BL64" s="54">
        <v>101.421875</v>
      </c>
      <c r="BM64" s="72">
        <v>45856.625</v>
      </c>
      <c r="BN64" s="54">
        <v>101.671875</v>
      </c>
      <c r="BO64" s="72">
        <v>45856.625</v>
      </c>
      <c r="BP64" s="54">
        <v>94.21875</v>
      </c>
      <c r="BR64" s="128">
        <f t="shared" si="20"/>
        <v>45936.625</v>
      </c>
      <c r="BS64" s="45">
        <f t="shared" si="95"/>
        <v>108.1194</v>
      </c>
      <c r="BT64" s="46">
        <f t="shared" si="58"/>
        <v>135324.99999999814</v>
      </c>
      <c r="BU64" s="46">
        <f t="shared" si="59"/>
        <v>243055.55555555556</v>
      </c>
      <c r="BV64" s="45">
        <f t="shared" si="96"/>
        <v>46.581000000000003</v>
      </c>
      <c r="BW64" s="46">
        <f t="shared" si="61"/>
        <v>204356.24999999977</v>
      </c>
      <c r="BX64" s="47">
        <f t="shared" si="62"/>
        <v>243055.55555555556</v>
      </c>
      <c r="BY64" s="45">
        <f t="shared" si="97"/>
        <v>-69031.25000000163</v>
      </c>
      <c r="CA64" s="126">
        <v>45861.625</v>
      </c>
      <c r="CB64" s="54">
        <v>107.6756</v>
      </c>
      <c r="CC64" s="126">
        <v>45861.625</v>
      </c>
      <c r="CD64" s="54">
        <v>50.188000000000002</v>
      </c>
      <c r="CF64" s="128">
        <v>45936.625</v>
      </c>
      <c r="CG64" s="45">
        <f t="shared" si="98"/>
        <v>239.226</v>
      </c>
      <c r="CH64" s="46">
        <f t="shared" si="64"/>
        <v>258248.76000000013</v>
      </c>
      <c r="CI64" s="46">
        <f t="shared" si="65"/>
        <v>204166.66666666669</v>
      </c>
      <c r="CJ64" s="45">
        <f t="shared" si="99"/>
        <v>49.597000000000001</v>
      </c>
      <c r="CK64" s="46">
        <f t="shared" si="67"/>
        <v>138712.76999999981</v>
      </c>
      <c r="CL64" s="47">
        <f t="shared" si="68"/>
        <v>183750</v>
      </c>
      <c r="CM64" s="45">
        <f t="shared" si="100"/>
        <v>139952.65666666697</v>
      </c>
      <c r="CO64" s="126">
        <v>45859.625</v>
      </c>
      <c r="CP64" s="54">
        <v>278.05399999999997</v>
      </c>
      <c r="CQ64" s="126">
        <v>45859.625</v>
      </c>
      <c r="CR64" s="54">
        <v>54.119</v>
      </c>
      <c r="DF64" s="130">
        <v>45937.625</v>
      </c>
      <c r="DG64" s="56">
        <f t="shared" si="75"/>
        <v>-104281.8252669642</v>
      </c>
      <c r="DH64" s="56">
        <f t="shared" si="76"/>
        <v>-205138.2530238007</v>
      </c>
      <c r="DI64" s="56">
        <f t="shared" si="77"/>
        <v>-64131.250000001863</v>
      </c>
      <c r="DJ64" s="56">
        <f t="shared" si="78"/>
        <v>131938.61333333363</v>
      </c>
      <c r="DK64" s="56">
        <f t="shared" si="79"/>
        <v>-72373.822184060191</v>
      </c>
      <c r="DL64" s="56">
        <f t="shared" si="80"/>
        <v>-26053.756301955495</v>
      </c>
      <c r="DM64" s="56">
        <f t="shared" si="81"/>
        <v>4899.9999999997672</v>
      </c>
      <c r="DN64" s="56">
        <f t="shared" si="82"/>
        <v>-8014.0433333333349</v>
      </c>
      <c r="DO64" s="56">
        <f t="shared" si="83"/>
        <v>-72373.822184060191</v>
      </c>
      <c r="DP64" s="56">
        <f t="shared" si="84"/>
        <v>-26053.756301955495</v>
      </c>
      <c r="DQ64" s="56">
        <f t="shared" si="85"/>
        <v>4899.9999999997672</v>
      </c>
      <c r="DR64" s="56">
        <f t="shared" si="86"/>
        <v>-8014.0433333333349</v>
      </c>
      <c r="DS64" s="56">
        <f>SUM(DO$15:DO64)</f>
        <v>-112676.15318750059</v>
      </c>
      <c r="DT64" s="56">
        <f>SUM(DP$15:DP64)</f>
        <v>-197528.63260298429</v>
      </c>
      <c r="DU64" s="56">
        <f>SUM(DQ$15:DQ64)</f>
        <v>-49449.999999999185</v>
      </c>
      <c r="DV64" s="56">
        <f>SUM(DR$15:DR64)</f>
        <v>114424.84666666677</v>
      </c>
      <c r="DZ64" s="130">
        <v>45937.625</v>
      </c>
      <c r="EA64" s="147">
        <f t="shared" si="70"/>
        <v>-112676.15318750059</v>
      </c>
      <c r="EB64" s="147">
        <f t="shared" si="72"/>
        <v>-197528.63260298429</v>
      </c>
      <c r="EC64" s="147">
        <f t="shared" si="73"/>
        <v>114424.84666666677</v>
      </c>
      <c r="ED64" s="147">
        <f t="shared" si="74"/>
        <v>-49449.999999999185</v>
      </c>
    </row>
    <row r="65" spans="1:134" x14ac:dyDescent="0.3">
      <c r="A65" s="137">
        <v>45917.625</v>
      </c>
      <c r="B65" s="73">
        <f t="shared" si="27"/>
        <v>92.39</v>
      </c>
      <c r="C65" s="31">
        <f t="shared" si="28"/>
        <v>-337699.68051118235</v>
      </c>
      <c r="D65" s="32">
        <f t="shared" si="29"/>
        <v>-175192.49999999997</v>
      </c>
      <c r="E65" s="73">
        <f t="shared" si="30"/>
        <v>100.971</v>
      </c>
      <c r="F65" s="31">
        <f t="shared" si="31"/>
        <v>-45359.999999999331</v>
      </c>
      <c r="G65" s="32">
        <f t="shared" si="32"/>
        <v>-62373.311140000005</v>
      </c>
      <c r="H65" s="73">
        <f t="shared" si="33"/>
        <v>120.67</v>
      </c>
      <c r="I65" s="31">
        <f t="shared" si="34"/>
        <v>-364459.39294503926</v>
      </c>
      <c r="J65" s="32">
        <f t="shared" si="35"/>
        <v>-301331.09999999998</v>
      </c>
      <c r="K65" s="73">
        <f t="shared" si="36"/>
        <v>99.600999999999999</v>
      </c>
      <c r="L65" s="31">
        <f t="shared" si="37"/>
        <v>-54759.600000002079</v>
      </c>
      <c r="M65" s="32">
        <f t="shared" si="38"/>
        <v>-137194.80898666667</v>
      </c>
      <c r="N65" s="79">
        <f t="shared" si="17"/>
        <v>68677.214587187511</v>
      </c>
      <c r="O65" s="79"/>
      <c r="P65" s="79"/>
      <c r="Q65" s="79">
        <f>$G$5*SUM($O$14:O65)-$H$5*SUM($P$14:P65)</f>
        <v>-35590.730199999991</v>
      </c>
      <c r="R65" s="79">
        <f t="shared" si="18"/>
        <v>33086.48438718752</v>
      </c>
      <c r="S65" s="138"/>
      <c r="U65" s="72">
        <v>45860.625</v>
      </c>
      <c r="V65" s="54">
        <v>94.13</v>
      </c>
      <c r="W65" s="72">
        <v>45856.625</v>
      </c>
      <c r="X65" s="54">
        <v>101.28</v>
      </c>
      <c r="Y65" s="122">
        <v>45863.625</v>
      </c>
      <c r="Z65" s="54">
        <v>120.06</v>
      </c>
      <c r="AA65" s="72">
        <v>45932.625</v>
      </c>
      <c r="AB65" s="54">
        <v>99.51</v>
      </c>
      <c r="AF65" s="130">
        <v>45937.625</v>
      </c>
      <c r="AG65" s="45">
        <f t="shared" si="87"/>
        <v>80.77</v>
      </c>
      <c r="AH65" s="46">
        <f t="shared" si="40"/>
        <v>99440.64636420169</v>
      </c>
      <c r="AI65" s="46">
        <f t="shared" si="41"/>
        <v>-208562.49999999997</v>
      </c>
      <c r="AJ65" s="45">
        <f t="shared" si="88"/>
        <v>100.7421875</v>
      </c>
      <c r="AK65" s="46">
        <f t="shared" si="43"/>
        <v>163225.44642857142</v>
      </c>
      <c r="AL65" s="47">
        <f t="shared" si="44"/>
        <v>-9252.6414853050665</v>
      </c>
      <c r="AM65" s="45">
        <f t="shared" si="89"/>
        <v>111.4</v>
      </c>
      <c r="AN65" s="46">
        <f t="shared" si="46"/>
        <v>621757.57496158313</v>
      </c>
      <c r="AO65" s="47">
        <f t="shared" si="47"/>
        <v>-214521.42857142858</v>
      </c>
      <c r="AP65" s="45">
        <f t="shared" si="90"/>
        <v>100.7421875</v>
      </c>
      <c r="AQ65" s="46">
        <f t="shared" si="49"/>
        <v>142299.10714285716</v>
      </c>
      <c r="AR65" s="47">
        <f t="shared" si="50"/>
        <v>-8066.4053974454291</v>
      </c>
      <c r="AS65" s="45">
        <f t="shared" si="91"/>
        <v>104.09375</v>
      </c>
      <c r="AT65" s="46">
        <f t="shared" si="52"/>
        <v>123883.92857142858</v>
      </c>
      <c r="AU65" s="47">
        <f t="shared" si="53"/>
        <v>3377.2874813988092</v>
      </c>
      <c r="AV65" s="45">
        <f t="shared" si="92"/>
        <v>98.328125</v>
      </c>
      <c r="AW65" s="46">
        <f t="shared" si="55"/>
        <v>266015.625</v>
      </c>
      <c r="AX65" s="47">
        <f t="shared" si="56"/>
        <v>9108.0149739583358</v>
      </c>
      <c r="AY65" s="79">
        <f t="shared" si="93"/>
        <v>-133713.24719702182</v>
      </c>
      <c r="AZ65" s="79"/>
      <c r="BA65" s="79"/>
      <c r="BB65" s="79">
        <f>$AO$4*SUM($AZ$14:AZ65)-$AP$4*SUM($BA$14:BA65)</f>
        <v>71425.005826778885</v>
      </c>
      <c r="BC65" s="79">
        <f t="shared" si="94"/>
        <v>-205138.2530238007</v>
      </c>
      <c r="BE65" s="72">
        <v>45859.625</v>
      </c>
      <c r="BF65" s="54">
        <v>80.36</v>
      </c>
      <c r="BG65" s="72">
        <v>45952.625</v>
      </c>
      <c r="BH65" s="54">
        <v>101.421875</v>
      </c>
      <c r="BI65" s="72">
        <v>45859.625</v>
      </c>
      <c r="BJ65" s="54">
        <v>108.71</v>
      </c>
      <c r="BK65" s="72">
        <v>45952.625</v>
      </c>
      <c r="BL65" s="54">
        <v>101.421875</v>
      </c>
      <c r="BM65" s="72">
        <v>45859.625</v>
      </c>
      <c r="BN65" s="54">
        <v>102.03125</v>
      </c>
      <c r="BO65" s="72">
        <v>45859.625</v>
      </c>
      <c r="BP65" s="54">
        <v>94.96875</v>
      </c>
      <c r="BR65" s="128">
        <f t="shared" si="20"/>
        <v>45937.625</v>
      </c>
      <c r="BS65" s="45">
        <f t="shared" si="95"/>
        <v>108.0094</v>
      </c>
      <c r="BT65" s="46">
        <f t="shared" si="58"/>
        <v>107824.99999999828</v>
      </c>
      <c r="BU65" s="46">
        <f t="shared" si="59"/>
        <v>246527.77777777775</v>
      </c>
      <c r="BV65" s="45">
        <f t="shared" si="96"/>
        <v>47.156999999999996</v>
      </c>
      <c r="BW65" s="46">
        <f t="shared" si="61"/>
        <v>171956.25000000012</v>
      </c>
      <c r="BX65" s="47">
        <f t="shared" si="62"/>
        <v>246527.77777777775</v>
      </c>
      <c r="BY65" s="45">
        <f t="shared" si="97"/>
        <v>-64131.250000001863</v>
      </c>
      <c r="CA65" s="126">
        <v>45862.625</v>
      </c>
      <c r="CB65" s="54">
        <v>107.5968</v>
      </c>
      <c r="CC65" s="126">
        <v>45862.625</v>
      </c>
      <c r="CD65" s="54">
        <v>50.165999999999997</v>
      </c>
      <c r="CF65" s="128">
        <v>45937.625</v>
      </c>
      <c r="CG65" s="45">
        <f t="shared" si="98"/>
        <v>242.00200000000001</v>
      </c>
      <c r="CH65" s="46">
        <f t="shared" si="64"/>
        <v>232598.52000000005</v>
      </c>
      <c r="CI65" s="46">
        <f t="shared" si="65"/>
        <v>207083.33333333334</v>
      </c>
      <c r="CJ65" s="45">
        <f t="shared" si="99"/>
        <v>49.996000000000002</v>
      </c>
      <c r="CK65" s="46">
        <f t="shared" si="67"/>
        <v>121368.23999999976</v>
      </c>
      <c r="CL65" s="47">
        <f t="shared" si="68"/>
        <v>186375</v>
      </c>
      <c r="CM65" s="45">
        <f t="shared" si="100"/>
        <v>131938.61333333363</v>
      </c>
      <c r="CO65" s="126">
        <v>45860.625</v>
      </c>
      <c r="CP65" s="54">
        <v>280.26299999999998</v>
      </c>
      <c r="CQ65" s="126">
        <v>45860.625</v>
      </c>
      <c r="CR65" s="54">
        <v>54.722000000000001</v>
      </c>
      <c r="DF65" s="130">
        <v>45938.625</v>
      </c>
      <c r="DG65" s="56">
        <f t="shared" si="75"/>
        <v>-124356.60667124439</v>
      </c>
      <c r="DH65" s="56">
        <f t="shared" si="76"/>
        <v>-206236.56819611689</v>
      </c>
      <c r="DI65" s="56">
        <f t="shared" si="77"/>
        <v>-65618.750000002794</v>
      </c>
      <c r="DJ65" s="56">
        <f t="shared" si="78"/>
        <v>114953.79000000027</v>
      </c>
      <c r="DK65" s="56">
        <f t="shared" si="79"/>
        <v>-20074.781404280191</v>
      </c>
      <c r="DL65" s="56">
        <f t="shared" si="80"/>
        <v>-1098.3151723161864</v>
      </c>
      <c r="DM65" s="56">
        <f t="shared" si="81"/>
        <v>-1487.5000000009313</v>
      </c>
      <c r="DN65" s="56">
        <f t="shared" si="82"/>
        <v>-16984.823333333363</v>
      </c>
      <c r="DO65" s="56">
        <f t="shared" si="83"/>
        <v>-20074.781404280191</v>
      </c>
      <c r="DP65" s="56">
        <f t="shared" si="84"/>
        <v>-1098.3151723161864</v>
      </c>
      <c r="DQ65" s="56">
        <f t="shared" si="85"/>
        <v>-1487.5000000009313</v>
      </c>
      <c r="DR65" s="56">
        <f t="shared" si="86"/>
        <v>-16984.823333333363</v>
      </c>
      <c r="DS65" s="56">
        <f>SUM(DO$15:DO65)</f>
        <v>-132750.93459178077</v>
      </c>
      <c r="DT65" s="56">
        <f>SUM(DP$15:DP65)</f>
        <v>-198626.94777530048</v>
      </c>
      <c r="DU65" s="56">
        <f>SUM(DQ$15:DQ65)</f>
        <v>-50937.500000000116</v>
      </c>
      <c r="DV65" s="56">
        <f>SUM(DR$15:DR65)</f>
        <v>97440.023333333404</v>
      </c>
      <c r="DZ65" s="130">
        <v>45938.625</v>
      </c>
      <c r="EA65" s="147">
        <f t="shared" si="70"/>
        <v>-132750.93459178077</v>
      </c>
      <c r="EB65" s="147">
        <f t="shared" si="72"/>
        <v>-198626.94777530048</v>
      </c>
      <c r="EC65" s="147">
        <f t="shared" si="73"/>
        <v>97440.023333333404</v>
      </c>
      <c r="ED65" s="147">
        <f t="shared" si="74"/>
        <v>-50937.500000000116</v>
      </c>
    </row>
    <row r="66" spans="1:134" x14ac:dyDescent="0.3">
      <c r="A66" s="137">
        <v>45918.625</v>
      </c>
      <c r="B66" s="73">
        <f t="shared" si="27"/>
        <v>92.67</v>
      </c>
      <c r="C66" s="31">
        <f t="shared" si="28"/>
        <v>-275079.87220447336</v>
      </c>
      <c r="D66" s="32">
        <f t="shared" si="29"/>
        <v>-177660</v>
      </c>
      <c r="E66" s="73">
        <f t="shared" si="30"/>
        <v>100.956</v>
      </c>
      <c r="F66" s="31">
        <f t="shared" si="31"/>
        <v>-47879.999999999425</v>
      </c>
      <c r="G66" s="32">
        <f t="shared" si="32"/>
        <v>-63251.808479999992</v>
      </c>
      <c r="H66" s="73">
        <f t="shared" si="33"/>
        <v>120.7</v>
      </c>
      <c r="I66" s="31">
        <f t="shared" si="34"/>
        <v>-355570.13945857302</v>
      </c>
      <c r="J66" s="32">
        <f t="shared" si="35"/>
        <v>-305575.2</v>
      </c>
      <c r="K66" s="73">
        <f t="shared" si="36"/>
        <v>99.516000000000005</v>
      </c>
      <c r="L66" s="31">
        <f t="shared" si="37"/>
        <v>-84033.599999999919</v>
      </c>
      <c r="M66" s="32">
        <f t="shared" si="38"/>
        <v>-139127.13024000003</v>
      </c>
      <c r="N66" s="79">
        <f t="shared" si="17"/>
        <v>96376.545494099148</v>
      </c>
      <c r="O66" s="79"/>
      <c r="P66" s="79"/>
      <c r="Q66" s="79">
        <f>$G$5*SUM($O$14:O66)-$H$5*SUM($P$14:P66)</f>
        <v>-35590.730199999991</v>
      </c>
      <c r="R66" s="79">
        <f t="shared" si="18"/>
        <v>60785.815294099157</v>
      </c>
      <c r="S66" s="138"/>
      <c r="U66" s="72">
        <v>45861.625</v>
      </c>
      <c r="V66" s="54">
        <v>94.21</v>
      </c>
      <c r="W66" s="72">
        <v>45859.625</v>
      </c>
      <c r="X66" s="54">
        <v>101.45</v>
      </c>
      <c r="Y66" s="122">
        <v>45866.625</v>
      </c>
      <c r="Z66" s="54">
        <v>120.25</v>
      </c>
      <c r="AA66" s="72">
        <v>45933.625</v>
      </c>
      <c r="AB66" s="54">
        <v>99.492999999999995</v>
      </c>
      <c r="AF66" s="130">
        <v>45938.625</v>
      </c>
      <c r="AG66" s="45">
        <f t="shared" si="87"/>
        <v>80.650000000000006</v>
      </c>
      <c r="AH66" s="46">
        <f t="shared" si="40"/>
        <v>62150.403977628834</v>
      </c>
      <c r="AI66" s="46">
        <f t="shared" si="41"/>
        <v>-211500</v>
      </c>
      <c r="AJ66" s="45">
        <f t="shared" si="88"/>
        <v>100.6875</v>
      </c>
      <c r="AK66" s="46">
        <f t="shared" si="43"/>
        <v>155608.25892857142</v>
      </c>
      <c r="AL66" s="47">
        <f t="shared" si="44"/>
        <v>-9382.9603794642753</v>
      </c>
      <c r="AM66" s="45">
        <f t="shared" si="89"/>
        <v>111.26</v>
      </c>
      <c r="AN66" s="46">
        <f t="shared" si="46"/>
        <v>588660.2135567884</v>
      </c>
      <c r="AO66" s="47">
        <f t="shared" si="47"/>
        <v>-217542.85714285716</v>
      </c>
      <c r="AP66" s="45">
        <f t="shared" si="90"/>
        <v>100.6875</v>
      </c>
      <c r="AQ66" s="46">
        <f t="shared" si="49"/>
        <v>135658.48214285716</v>
      </c>
      <c r="AR66" s="47">
        <f t="shared" si="50"/>
        <v>-8180.0167410714203</v>
      </c>
      <c r="AS66" s="45">
        <f t="shared" si="91"/>
        <v>104.0625</v>
      </c>
      <c r="AT66" s="46">
        <f t="shared" si="52"/>
        <v>122209.82142857143</v>
      </c>
      <c r="AU66" s="47">
        <f t="shared" si="53"/>
        <v>3424.8549107142899</v>
      </c>
      <c r="AV66" s="45">
        <f t="shared" si="92"/>
        <v>98.375</v>
      </c>
      <c r="AW66" s="46">
        <f t="shared" si="55"/>
        <v>269531.25</v>
      </c>
      <c r="AX66" s="47">
        <f t="shared" si="56"/>
        <v>9236.2968750000073</v>
      </c>
      <c r="AY66" s="79">
        <f t="shared" si="93"/>
        <v>-134811.562369338</v>
      </c>
      <c r="AZ66" s="79"/>
      <c r="BA66" s="79"/>
      <c r="BB66" s="79">
        <f>$AO$4*SUM($AZ$14:AZ66)-$AP$4*SUM($BA$14:BA66)</f>
        <v>71425.005826778885</v>
      </c>
      <c r="BC66" s="79">
        <f t="shared" si="94"/>
        <v>-206236.56819611689</v>
      </c>
      <c r="BE66" s="72">
        <v>45860.625</v>
      </c>
      <c r="BF66" s="54">
        <v>80.5</v>
      </c>
      <c r="BG66" s="72">
        <v>45953.625</v>
      </c>
      <c r="BH66" s="54">
        <v>101.1875</v>
      </c>
      <c r="BI66" s="72">
        <v>45860.625</v>
      </c>
      <c r="BJ66" s="54">
        <v>108.97</v>
      </c>
      <c r="BK66" s="72">
        <v>45953.625</v>
      </c>
      <c r="BL66" s="54">
        <v>101.1875</v>
      </c>
      <c r="BM66" s="72">
        <v>45860.625</v>
      </c>
      <c r="BN66" s="54">
        <v>102.328125</v>
      </c>
      <c r="BO66" s="72">
        <v>45860.625</v>
      </c>
      <c r="BP66" s="54">
        <v>95.484375</v>
      </c>
      <c r="BR66" s="128">
        <f t="shared" si="20"/>
        <v>45938.625</v>
      </c>
      <c r="BS66" s="45">
        <f t="shared" si="95"/>
        <v>107.92919999999999</v>
      </c>
      <c r="BT66" s="46">
        <f t="shared" si="58"/>
        <v>87774.999999997046</v>
      </c>
      <c r="BU66" s="46">
        <f t="shared" si="59"/>
        <v>250000</v>
      </c>
      <c r="BV66" s="45">
        <f t="shared" si="96"/>
        <v>47.487000000000002</v>
      </c>
      <c r="BW66" s="46">
        <f t="shared" si="61"/>
        <v>153393.74999999983</v>
      </c>
      <c r="BX66" s="47">
        <f t="shared" si="62"/>
        <v>250000</v>
      </c>
      <c r="BY66" s="45">
        <f t="shared" si="97"/>
        <v>-65618.750000002794</v>
      </c>
      <c r="CA66" s="126">
        <v>45863.625</v>
      </c>
      <c r="CB66" s="54">
        <v>107.6135</v>
      </c>
      <c r="CC66" s="126">
        <v>45863.625</v>
      </c>
      <c r="CD66" s="54">
        <v>49.981999999999999</v>
      </c>
      <c r="CF66" s="128">
        <v>45938.625</v>
      </c>
      <c r="CG66" s="45">
        <f t="shared" si="98"/>
        <v>244.23400000000001</v>
      </c>
      <c r="CH66" s="46">
        <f t="shared" si="64"/>
        <v>211974.84000000008</v>
      </c>
      <c r="CI66" s="46">
        <f t="shared" si="65"/>
        <v>210000</v>
      </c>
      <c r="CJ66" s="45">
        <f t="shared" si="99"/>
        <v>50.073</v>
      </c>
      <c r="CK66" s="46">
        <f t="shared" si="67"/>
        <v>118021.04999999984</v>
      </c>
      <c r="CL66" s="47">
        <f t="shared" si="68"/>
        <v>189000</v>
      </c>
      <c r="CM66" s="45">
        <f t="shared" si="100"/>
        <v>114953.79000000027</v>
      </c>
      <c r="CO66" s="126">
        <v>45861.625</v>
      </c>
      <c r="CP66" s="54">
        <v>276.29399999999998</v>
      </c>
      <c r="CQ66" s="126">
        <v>45861.625</v>
      </c>
      <c r="CR66" s="54">
        <v>53.884</v>
      </c>
      <c r="DF66" s="130">
        <v>45939.625</v>
      </c>
      <c r="DG66" s="56">
        <f t="shared" si="75"/>
        <v>-143366.79284610899</v>
      </c>
      <c r="DH66" s="56">
        <f t="shared" si="76"/>
        <v>-232007.72939624547</v>
      </c>
      <c r="DI66" s="56">
        <f t="shared" si="77"/>
        <v>-84606.250000002678</v>
      </c>
      <c r="DJ66" s="56">
        <f t="shared" si="78"/>
        <v>96547.056666666991</v>
      </c>
      <c r="DK66" s="56">
        <f t="shared" si="79"/>
        <v>-19010.186174864604</v>
      </c>
      <c r="DL66" s="56">
        <f t="shared" si="80"/>
        <v>-25771.161200128583</v>
      </c>
      <c r="DM66" s="56">
        <f t="shared" si="81"/>
        <v>-18987.499999999884</v>
      </c>
      <c r="DN66" s="56">
        <f t="shared" si="82"/>
        <v>-18406.733333333279</v>
      </c>
      <c r="DO66" s="56">
        <f t="shared" si="83"/>
        <v>-19010.186174864604</v>
      </c>
      <c r="DP66" s="56">
        <f t="shared" si="84"/>
        <v>-25771.161200128583</v>
      </c>
      <c r="DQ66" s="56">
        <f t="shared" si="85"/>
        <v>-18987.499999999884</v>
      </c>
      <c r="DR66" s="56">
        <f t="shared" si="86"/>
        <v>-18406.733333333279</v>
      </c>
      <c r="DS66" s="56">
        <f>SUM(DO$15:DO66)</f>
        <v>-151761.12076664536</v>
      </c>
      <c r="DT66" s="56">
        <f>SUM(DP$15:DP66)</f>
        <v>-224398.10897542906</v>
      </c>
      <c r="DU66" s="56">
        <f>SUM(DQ$15:DQ66)</f>
        <v>-69925</v>
      </c>
      <c r="DV66" s="56">
        <f>SUM(DR$15:DR66)</f>
        <v>79033.290000000125</v>
      </c>
      <c r="DZ66" s="130">
        <v>45939.625</v>
      </c>
      <c r="EA66" s="147">
        <f t="shared" si="70"/>
        <v>-151761.12076664536</v>
      </c>
      <c r="EB66" s="147">
        <f t="shared" si="72"/>
        <v>-224398.10897542906</v>
      </c>
      <c r="EC66" s="147">
        <f t="shared" si="73"/>
        <v>79033.290000000125</v>
      </c>
      <c r="ED66" s="147">
        <f t="shared" si="74"/>
        <v>-69925</v>
      </c>
    </row>
    <row r="67" spans="1:134" x14ac:dyDescent="0.3">
      <c r="A67" s="137">
        <v>45919.625</v>
      </c>
      <c r="B67" s="73">
        <f t="shared" si="27"/>
        <v>92.67</v>
      </c>
      <c r="C67" s="31">
        <f t="shared" si="28"/>
        <v>-275079.87220447336</v>
      </c>
      <c r="D67" s="32">
        <f t="shared" si="29"/>
        <v>-180127.5</v>
      </c>
      <c r="E67" s="73">
        <f t="shared" si="30"/>
        <v>100.904</v>
      </c>
      <c r="F67" s="31">
        <f t="shared" si="31"/>
        <v>-56616.000000000553</v>
      </c>
      <c r="G67" s="32">
        <f t="shared" si="32"/>
        <v>-64130.305820000009</v>
      </c>
      <c r="H67" s="73">
        <f t="shared" si="33"/>
        <v>120.71</v>
      </c>
      <c r="I67" s="31">
        <f t="shared" si="34"/>
        <v>-352607.05496308964</v>
      </c>
      <c r="J67" s="32">
        <f t="shared" si="35"/>
        <v>-309819.3</v>
      </c>
      <c r="K67" s="73">
        <f t="shared" si="36"/>
        <v>99.414000000000001</v>
      </c>
      <c r="L67" s="31">
        <f t="shared" si="37"/>
        <v>-119162.40000000126</v>
      </c>
      <c r="M67" s="32">
        <f t="shared" si="38"/>
        <v>-141059.45149333336</v>
      </c>
      <c r="N67" s="79">
        <f t="shared" si="17"/>
        <v>67743.437085282261</v>
      </c>
      <c r="O67" s="79"/>
      <c r="P67" s="79"/>
      <c r="Q67" s="79">
        <f>$G$5*SUM($O$14:O67)-$H$5*SUM($P$14:P67)</f>
        <v>-35590.730199999991</v>
      </c>
      <c r="R67" s="79">
        <f t="shared" si="18"/>
        <v>32152.70688528227</v>
      </c>
      <c r="S67" s="138"/>
      <c r="U67" s="72">
        <v>45862.625</v>
      </c>
      <c r="V67" s="54">
        <v>94.34</v>
      </c>
      <c r="W67" s="72">
        <v>45860.625</v>
      </c>
      <c r="X67" s="54">
        <v>101.5</v>
      </c>
      <c r="Y67" s="122">
        <v>45867.625</v>
      </c>
      <c r="Z67" s="54">
        <v>120.32</v>
      </c>
      <c r="AA67" s="72">
        <v>45936.625</v>
      </c>
      <c r="AB67" s="54">
        <v>99.536000000000001</v>
      </c>
      <c r="AF67" s="130">
        <v>45939.625</v>
      </c>
      <c r="AG67" s="45">
        <f t="shared" si="87"/>
        <v>80.42</v>
      </c>
      <c r="AH67" s="46">
        <f t="shared" si="40"/>
        <v>-9322.5605966446019</v>
      </c>
      <c r="AI67" s="46">
        <f t="shared" si="41"/>
        <v>-214437.49999999997</v>
      </c>
      <c r="AJ67" s="45">
        <f t="shared" si="88"/>
        <v>100.625</v>
      </c>
      <c r="AK67" s="46">
        <f t="shared" si="43"/>
        <v>146902.90178571429</v>
      </c>
      <c r="AL67" s="47">
        <f t="shared" si="44"/>
        <v>-9513.2792736235133</v>
      </c>
      <c r="AM67" s="45">
        <f t="shared" si="89"/>
        <v>111.04</v>
      </c>
      <c r="AN67" s="46">
        <f t="shared" si="46"/>
        <v>536650.074206391</v>
      </c>
      <c r="AO67" s="47">
        <f t="shared" si="47"/>
        <v>-220564.28571428571</v>
      </c>
      <c r="AP67" s="45">
        <f t="shared" si="90"/>
        <v>100.625</v>
      </c>
      <c r="AQ67" s="46">
        <f t="shared" si="49"/>
        <v>128069.19642857145</v>
      </c>
      <c r="AR67" s="47">
        <f t="shared" si="50"/>
        <v>-8293.6280846974114</v>
      </c>
      <c r="AS67" s="45">
        <f t="shared" si="91"/>
        <v>103.984375</v>
      </c>
      <c r="AT67" s="46">
        <f t="shared" si="52"/>
        <v>118024.55357142857</v>
      </c>
      <c r="AU67" s="47">
        <f t="shared" si="53"/>
        <v>3472.4223400297633</v>
      </c>
      <c r="AV67" s="45">
        <f t="shared" si="92"/>
        <v>98.328125</v>
      </c>
      <c r="AW67" s="46">
        <f t="shared" si="55"/>
        <v>266015.625</v>
      </c>
      <c r="AX67" s="47">
        <f t="shared" si="56"/>
        <v>9364.5787760416642</v>
      </c>
      <c r="AY67" s="79">
        <f t="shared" si="93"/>
        <v>-160582.72356946659</v>
      </c>
      <c r="AZ67" s="79"/>
      <c r="BA67" s="79"/>
      <c r="BB67" s="79">
        <f>$AO$4*SUM($AZ$14:AZ67)-$AP$4*SUM($BA$14:BA67)</f>
        <v>71425.005826778885</v>
      </c>
      <c r="BC67" s="79">
        <f t="shared" si="94"/>
        <v>-232007.72939624547</v>
      </c>
      <c r="BE67" s="72">
        <v>45861.625</v>
      </c>
      <c r="BF67" s="54">
        <v>80.540000000000006</v>
      </c>
      <c r="BG67" s="72">
        <v>45954.625</v>
      </c>
      <c r="BH67" s="54">
        <v>101.2265625</v>
      </c>
      <c r="BI67" s="72">
        <v>45861.625</v>
      </c>
      <c r="BJ67" s="54">
        <v>108.8</v>
      </c>
      <c r="BK67" s="72">
        <v>45954.625</v>
      </c>
      <c r="BL67" s="54">
        <v>101.2265625</v>
      </c>
      <c r="BM67" s="72">
        <v>45861.625</v>
      </c>
      <c r="BN67" s="54">
        <v>101.953125</v>
      </c>
      <c r="BO67" s="72">
        <v>45861.625</v>
      </c>
      <c r="BP67" s="54">
        <v>94.96875</v>
      </c>
      <c r="BR67" s="128">
        <f t="shared" si="20"/>
        <v>45939.625</v>
      </c>
      <c r="BS67" s="45">
        <f t="shared" si="95"/>
        <v>107.73399999999999</v>
      </c>
      <c r="BT67" s="46">
        <f t="shared" si="58"/>
        <v>38974.999999997097</v>
      </c>
      <c r="BU67" s="46">
        <f t="shared" si="59"/>
        <v>253472.22222222222</v>
      </c>
      <c r="BV67" s="45">
        <f t="shared" si="96"/>
        <v>48.017000000000003</v>
      </c>
      <c r="BW67" s="46">
        <f t="shared" si="61"/>
        <v>123581.24999999975</v>
      </c>
      <c r="BX67" s="47">
        <f t="shared" si="62"/>
        <v>253472.22222222225</v>
      </c>
      <c r="BY67" s="45">
        <f t="shared" si="97"/>
        <v>-84606.250000002678</v>
      </c>
      <c r="CA67" s="126">
        <v>45866.625</v>
      </c>
      <c r="CB67" s="54">
        <v>107.57810000000001</v>
      </c>
      <c r="CC67" s="126">
        <v>45866.625</v>
      </c>
      <c r="CD67" s="54">
        <v>50.213999999999999</v>
      </c>
      <c r="CF67" s="128">
        <v>45939.625</v>
      </c>
      <c r="CG67" s="45">
        <f t="shared" si="98"/>
        <v>249.739</v>
      </c>
      <c r="CH67" s="46">
        <f t="shared" si="64"/>
        <v>161108.64000000007</v>
      </c>
      <c r="CI67" s="46">
        <f t="shared" si="65"/>
        <v>212916.66666666666</v>
      </c>
      <c r="CJ67" s="45">
        <f t="shared" si="99"/>
        <v>50.813000000000002</v>
      </c>
      <c r="CK67" s="46">
        <f t="shared" si="67"/>
        <v>85853.249999999753</v>
      </c>
      <c r="CL67" s="47">
        <f t="shared" si="68"/>
        <v>191625</v>
      </c>
      <c r="CM67" s="45">
        <f t="shared" si="100"/>
        <v>96547.056666666991</v>
      </c>
      <c r="CO67" s="126">
        <v>45862.625</v>
      </c>
      <c r="CP67" s="54">
        <v>269.95100000000002</v>
      </c>
      <c r="CQ67" s="126">
        <v>45862.625</v>
      </c>
      <c r="CR67" s="54">
        <v>52.994999999999997</v>
      </c>
      <c r="DF67" s="130">
        <v>45940.625</v>
      </c>
      <c r="DG67" s="56">
        <f t="shared" si="75"/>
        <v>-139527.97921020104</v>
      </c>
      <c r="DH67" s="56">
        <f t="shared" si="76"/>
        <v>-303580.68973480002</v>
      </c>
      <c r="DI67" s="56">
        <f t="shared" si="77"/>
        <v>-95912.499999999651</v>
      </c>
      <c r="DJ67" s="56">
        <f t="shared" si="78"/>
        <v>93832.783333333849</v>
      </c>
      <c r="DK67" s="56">
        <f t="shared" si="79"/>
        <v>3838.8136359079508</v>
      </c>
      <c r="DL67" s="56">
        <f t="shared" si="80"/>
        <v>-71572.960338554549</v>
      </c>
      <c r="DM67" s="56">
        <f t="shared" si="81"/>
        <v>-11306.249999996973</v>
      </c>
      <c r="DN67" s="56">
        <f t="shared" si="82"/>
        <v>-2714.2733333331416</v>
      </c>
      <c r="DO67" s="56">
        <f t="shared" si="83"/>
        <v>3838.8136359079508</v>
      </c>
      <c r="DP67" s="56">
        <f t="shared" si="84"/>
        <v>-71572.960338554549</v>
      </c>
      <c r="DQ67" s="56">
        <f t="shared" si="85"/>
        <v>-11306.249999996973</v>
      </c>
      <c r="DR67" s="56">
        <f t="shared" si="86"/>
        <v>-2714.2733333331416</v>
      </c>
      <c r="DS67" s="56">
        <f>SUM(DO$15:DO67)</f>
        <v>-147922.3071307374</v>
      </c>
      <c r="DT67" s="56">
        <f>SUM(DP$15:DP67)</f>
        <v>-295971.06931398361</v>
      </c>
      <c r="DU67" s="56">
        <f>SUM(DQ$15:DQ67)</f>
        <v>-81231.249999996973</v>
      </c>
      <c r="DV67" s="56">
        <f>SUM(DR$15:DR67)</f>
        <v>76319.016666666983</v>
      </c>
      <c r="DZ67" s="130">
        <v>45940.625</v>
      </c>
      <c r="EA67" s="147">
        <f t="shared" si="70"/>
        <v>-147922.3071307374</v>
      </c>
      <c r="EB67" s="147">
        <f t="shared" si="72"/>
        <v>-295971.06931398361</v>
      </c>
      <c r="EC67" s="147">
        <f t="shared" si="73"/>
        <v>76319.016666666983</v>
      </c>
      <c r="ED67" s="147">
        <f t="shared" si="74"/>
        <v>-81231.249999996973</v>
      </c>
    </row>
    <row r="68" spans="1:134" x14ac:dyDescent="0.3">
      <c r="A68" s="137">
        <v>45922.625</v>
      </c>
      <c r="B68" s="73">
        <f t="shared" si="27"/>
        <v>92.52</v>
      </c>
      <c r="C68" s="31">
        <f t="shared" si="28"/>
        <v>-308626.19808306923</v>
      </c>
      <c r="D68" s="32">
        <f t="shared" si="29"/>
        <v>-187529.99999999997</v>
      </c>
      <c r="E68" s="73">
        <f t="shared" si="30"/>
        <v>100.913</v>
      </c>
      <c r="F68" s="31">
        <f t="shared" si="31"/>
        <v>-55104.000000000495</v>
      </c>
      <c r="G68" s="32">
        <f t="shared" si="32"/>
        <v>-66765.797839999956</v>
      </c>
      <c r="H68" s="73">
        <f t="shared" si="33"/>
        <v>120.61</v>
      </c>
      <c r="I68" s="31">
        <f t="shared" si="34"/>
        <v>-382237.89991796773</v>
      </c>
      <c r="J68" s="32">
        <f t="shared" si="35"/>
        <v>-322551.59999999998</v>
      </c>
      <c r="K68" s="73">
        <f t="shared" si="36"/>
        <v>99.441000000000003</v>
      </c>
      <c r="L68" s="31">
        <f t="shared" si="37"/>
        <v>-109863.60000000089</v>
      </c>
      <c r="M68" s="32">
        <f t="shared" si="38"/>
        <v>-146856.41525333331</v>
      </c>
      <c r="N68" s="79">
        <f t="shared" si="17"/>
        <v>73783.084421564738</v>
      </c>
      <c r="O68" s="79"/>
      <c r="P68" s="79"/>
      <c r="Q68" s="79">
        <f>$G$5*SUM($O$14:O68)-$H$5*SUM($P$14:P68)</f>
        <v>-35590.730199999991</v>
      </c>
      <c r="R68" s="79">
        <f t="shared" si="18"/>
        <v>38192.354221564747</v>
      </c>
      <c r="S68" s="138"/>
      <c r="U68" s="72">
        <v>45863.625</v>
      </c>
      <c r="V68" s="54">
        <v>94.27</v>
      </c>
      <c r="W68" s="72">
        <v>45861.625</v>
      </c>
      <c r="X68" s="54">
        <v>101.505</v>
      </c>
      <c r="Y68" s="122">
        <v>45868.625</v>
      </c>
      <c r="Z68" s="54">
        <v>120.21</v>
      </c>
      <c r="AA68" s="72">
        <v>45937.625</v>
      </c>
      <c r="AB68" s="54">
        <v>99.483000000000004</v>
      </c>
      <c r="AF68" s="130">
        <v>45940.625</v>
      </c>
      <c r="AG68" s="45">
        <f t="shared" si="87"/>
        <v>79.984999999999999</v>
      </c>
      <c r="AH68" s="46">
        <f t="shared" si="40"/>
        <v>-144499.68924798162</v>
      </c>
      <c r="AI68" s="46">
        <f t="shared" si="41"/>
        <v>-217375</v>
      </c>
      <c r="AJ68" s="45">
        <f t="shared" si="88"/>
        <v>101.0078125</v>
      </c>
      <c r="AK68" s="46">
        <f t="shared" si="43"/>
        <v>200223.21428571429</v>
      </c>
      <c r="AL68" s="47">
        <f t="shared" si="44"/>
        <v>-9643.5981677827222</v>
      </c>
      <c r="AM68" s="45">
        <f t="shared" si="89"/>
        <v>111.36</v>
      </c>
      <c r="AN68" s="46">
        <f t="shared" si="46"/>
        <v>612301.18598878465</v>
      </c>
      <c r="AO68" s="47">
        <f t="shared" si="47"/>
        <v>-223585.71428571429</v>
      </c>
      <c r="AP68" s="45">
        <f t="shared" si="90"/>
        <v>101.0078125</v>
      </c>
      <c r="AQ68" s="46">
        <f t="shared" si="49"/>
        <v>174553.57142857145</v>
      </c>
      <c r="AR68" s="47">
        <f t="shared" si="50"/>
        <v>-8407.2394283234025</v>
      </c>
      <c r="AS68" s="45">
        <f t="shared" si="91"/>
        <v>104.671875</v>
      </c>
      <c r="AT68" s="46">
        <f t="shared" si="52"/>
        <v>154854.91071428574</v>
      </c>
      <c r="AU68" s="47">
        <f t="shared" si="53"/>
        <v>3519.989769345244</v>
      </c>
      <c r="AV68" s="45">
        <f t="shared" si="92"/>
        <v>99.78125</v>
      </c>
      <c r="AW68" s="46">
        <f t="shared" si="55"/>
        <v>375000</v>
      </c>
      <c r="AX68" s="47">
        <f t="shared" si="56"/>
        <v>9492.8606770833358</v>
      </c>
      <c r="AY68" s="79">
        <f t="shared" si="93"/>
        <v>-232155.68390802111</v>
      </c>
      <c r="AZ68" s="79"/>
      <c r="BA68" s="79"/>
      <c r="BB68" s="79">
        <f>$AO$4*SUM($AZ$14:AZ68)-$AP$4*SUM($BA$14:BA68)</f>
        <v>71425.005826778885</v>
      </c>
      <c r="BC68" s="79">
        <f t="shared" si="94"/>
        <v>-303580.68973480002</v>
      </c>
      <c r="BE68" s="72">
        <v>45862.625</v>
      </c>
      <c r="BF68" s="54">
        <v>80.44</v>
      </c>
      <c r="BG68" s="72">
        <v>45957.625</v>
      </c>
      <c r="BH68" s="54">
        <v>101.1640625</v>
      </c>
      <c r="BI68" s="72">
        <v>45862.625</v>
      </c>
      <c r="BJ68" s="54">
        <v>108.64</v>
      </c>
      <c r="BK68" s="72">
        <v>45957.625</v>
      </c>
      <c r="BL68" s="54">
        <v>101.1640625</v>
      </c>
      <c r="BM68" s="72">
        <v>45862.625</v>
      </c>
      <c r="BN68" s="54">
        <v>101.796875</v>
      </c>
      <c r="BO68" s="72">
        <v>45862.625</v>
      </c>
      <c r="BP68" s="54">
        <v>94.84375</v>
      </c>
      <c r="BR68" s="128">
        <f t="shared" si="20"/>
        <v>45940.625</v>
      </c>
      <c r="BS68" s="45">
        <f t="shared" si="95"/>
        <v>107.01220000000001</v>
      </c>
      <c r="BT68" s="46">
        <f t="shared" si="58"/>
        <v>-141474.9999999998</v>
      </c>
      <c r="BU68" s="46">
        <f t="shared" si="59"/>
        <v>256944.44444444447</v>
      </c>
      <c r="BV68" s="45">
        <f t="shared" si="96"/>
        <v>51.024000000000001</v>
      </c>
      <c r="BW68" s="46">
        <f t="shared" si="61"/>
        <v>-45562.500000000131</v>
      </c>
      <c r="BX68" s="47">
        <f t="shared" si="62"/>
        <v>256944.44444444444</v>
      </c>
      <c r="BY68" s="45">
        <f t="shared" si="97"/>
        <v>-95912.499999999651</v>
      </c>
      <c r="CA68" s="126">
        <v>45867.625</v>
      </c>
      <c r="CB68" s="54">
        <v>107.3954</v>
      </c>
      <c r="CC68" s="126">
        <v>45867.625</v>
      </c>
      <c r="CD68" s="54">
        <v>50.765000000000001</v>
      </c>
      <c r="CF68" s="128">
        <v>45940.625</v>
      </c>
      <c r="CG68" s="45">
        <f t="shared" si="98"/>
        <v>260.29199999999997</v>
      </c>
      <c r="CH68" s="46">
        <f t="shared" si="64"/>
        <v>63598.920000000362</v>
      </c>
      <c r="CI68" s="46">
        <f t="shared" si="65"/>
        <v>215833.33333333331</v>
      </c>
      <c r="CJ68" s="45">
        <f t="shared" si="99"/>
        <v>52.987000000000002</v>
      </c>
      <c r="CK68" s="46">
        <f t="shared" si="67"/>
        <v>-8650.5300000002244</v>
      </c>
      <c r="CL68" s="47">
        <f t="shared" si="68"/>
        <v>194250</v>
      </c>
      <c r="CM68" s="45">
        <f t="shared" si="100"/>
        <v>93832.783333333849</v>
      </c>
      <c r="CO68" s="126">
        <v>45863.625</v>
      </c>
      <c r="CP68" s="54">
        <v>269.66199999999998</v>
      </c>
      <c r="CQ68" s="126">
        <v>45863.625</v>
      </c>
      <c r="CR68" s="54">
        <v>52.911000000000001</v>
      </c>
      <c r="DF68" s="130">
        <v>45943.625</v>
      </c>
      <c r="DG68" s="56">
        <f t="shared" si="75"/>
        <v>-124190.47417984054</v>
      </c>
      <c r="DH68" s="56">
        <f t="shared" si="76"/>
        <v>-220751.04391397614</v>
      </c>
      <c r="DI68" s="56">
        <f t="shared" si="77"/>
        <v>-95912.499999999593</v>
      </c>
      <c r="DJ68" s="56">
        <f t="shared" si="78"/>
        <v>99275.493333333521</v>
      </c>
      <c r="DK68" s="56">
        <f t="shared" si="79"/>
        <v>15337.505030360495</v>
      </c>
      <c r="DL68" s="56">
        <f t="shared" si="80"/>
        <v>82829.645820823876</v>
      </c>
      <c r="DM68" s="56">
        <f t="shared" si="81"/>
        <v>0</v>
      </c>
      <c r="DN68" s="56">
        <f t="shared" si="82"/>
        <v>5442.7099999996717</v>
      </c>
      <c r="DO68" s="56">
        <f t="shared" si="83"/>
        <v>15337.505030360495</v>
      </c>
      <c r="DP68" s="56">
        <f t="shared" si="84"/>
        <v>82829.645820823876</v>
      </c>
      <c r="DQ68" s="56">
        <f t="shared" si="85"/>
        <v>0</v>
      </c>
      <c r="DR68" s="56">
        <f t="shared" si="86"/>
        <v>5442.7099999996717</v>
      </c>
      <c r="DS68" s="56">
        <f>SUM(DO$15:DO68)</f>
        <v>-132584.80210037692</v>
      </c>
      <c r="DT68" s="56">
        <f>SUM(DP$15:DP68)</f>
        <v>-213141.42349315973</v>
      </c>
      <c r="DU68" s="56">
        <f>SUM(DQ$15:DQ68)</f>
        <v>-81231.249999996973</v>
      </c>
      <c r="DV68" s="56">
        <f>SUM(DR$15:DR68)</f>
        <v>81761.726666666655</v>
      </c>
      <c r="DZ68" s="130">
        <v>45943.625</v>
      </c>
      <c r="EA68" s="147">
        <f t="shared" si="70"/>
        <v>-132584.80210037692</v>
      </c>
      <c r="EB68" s="147">
        <f t="shared" si="72"/>
        <v>-213141.42349315973</v>
      </c>
      <c r="EC68" s="147">
        <f t="shared" si="73"/>
        <v>81761.726666666655</v>
      </c>
      <c r="ED68" s="147">
        <f t="shared" si="74"/>
        <v>-81231.249999996973</v>
      </c>
    </row>
    <row r="69" spans="1:134" x14ac:dyDescent="0.3">
      <c r="A69" s="137">
        <v>45923.625</v>
      </c>
      <c r="B69" s="73">
        <f t="shared" si="27"/>
        <v>92.67</v>
      </c>
      <c r="C69" s="31">
        <f t="shared" si="28"/>
        <v>-275079.87220447336</v>
      </c>
      <c r="D69" s="32">
        <f t="shared" si="29"/>
        <v>-189997.49999999997</v>
      </c>
      <c r="E69" s="73">
        <f t="shared" si="30"/>
        <v>100.883</v>
      </c>
      <c r="F69" s="31">
        <f t="shared" si="31"/>
        <v>-60144.000000000691</v>
      </c>
      <c r="G69" s="32">
        <f t="shared" si="32"/>
        <v>-67644.295179999986</v>
      </c>
      <c r="H69" s="73">
        <f t="shared" si="33"/>
        <v>120.6</v>
      </c>
      <c r="I69" s="31">
        <f t="shared" si="34"/>
        <v>-385200.98441345512</v>
      </c>
      <c r="J69" s="32">
        <f t="shared" si="35"/>
        <v>-326795.69999999995</v>
      </c>
      <c r="K69" s="73">
        <f t="shared" si="36"/>
        <v>99.381</v>
      </c>
      <c r="L69" s="31">
        <f t="shared" si="37"/>
        <v>-130527.60000000169</v>
      </c>
      <c r="M69" s="32">
        <f t="shared" si="38"/>
        <v>-148788.73650666664</v>
      </c>
      <c r="N69" s="79">
        <f t="shared" si="17"/>
        <v>95391.2708823141</v>
      </c>
      <c r="O69" s="79"/>
      <c r="P69" s="79"/>
      <c r="Q69" s="79">
        <f>$G$5*SUM($O$14:O69)-$H$5*SUM($P$14:P69)</f>
        <v>-35590.730199999991</v>
      </c>
      <c r="R69" s="79">
        <f t="shared" si="18"/>
        <v>59800.540682314109</v>
      </c>
      <c r="S69" s="138"/>
      <c r="U69" s="72">
        <v>45866.625</v>
      </c>
      <c r="V69" s="54">
        <v>94.37</v>
      </c>
      <c r="W69" s="72">
        <v>45862.625</v>
      </c>
      <c r="X69" s="54">
        <v>101.15300000000001</v>
      </c>
      <c r="Y69" s="122">
        <v>45869.625</v>
      </c>
      <c r="Z69" s="54">
        <v>120.26</v>
      </c>
      <c r="AA69" s="72">
        <v>45938.625</v>
      </c>
      <c r="AB69" s="54">
        <v>99.673000000000002</v>
      </c>
      <c r="AF69" s="130">
        <v>45943.625</v>
      </c>
      <c r="AG69" s="45">
        <f t="shared" si="87"/>
        <v>80.45</v>
      </c>
      <c r="AH69" s="46">
        <f t="shared" si="40"/>
        <v>0</v>
      </c>
      <c r="AI69" s="46">
        <f t="shared" si="41"/>
        <v>-226187.49999999997</v>
      </c>
      <c r="AJ69" s="45">
        <f t="shared" si="88"/>
        <v>101.109375</v>
      </c>
      <c r="AK69" s="46">
        <f t="shared" si="43"/>
        <v>214369.41964285716</v>
      </c>
      <c r="AL69" s="47">
        <f t="shared" si="44"/>
        <v>-10034.554850260407</v>
      </c>
      <c r="AM69" s="45">
        <f t="shared" si="89"/>
        <v>111.73</v>
      </c>
      <c r="AN69" s="46">
        <f t="shared" si="46"/>
        <v>699772.78398718487</v>
      </c>
      <c r="AO69" s="47">
        <f t="shared" si="47"/>
        <v>-232649.99999999997</v>
      </c>
      <c r="AP69" s="45">
        <f t="shared" si="90"/>
        <v>101.109375</v>
      </c>
      <c r="AQ69" s="46">
        <f t="shared" si="49"/>
        <v>186886.16071428571</v>
      </c>
      <c r="AR69" s="47">
        <f t="shared" si="50"/>
        <v>-8748.073459201376</v>
      </c>
      <c r="AS69" s="45">
        <f t="shared" si="91"/>
        <v>104.84375</v>
      </c>
      <c r="AT69" s="46">
        <f t="shared" si="52"/>
        <v>164062.5</v>
      </c>
      <c r="AU69" s="47">
        <f t="shared" si="53"/>
        <v>3662.6920572916715</v>
      </c>
      <c r="AV69" s="45">
        <f t="shared" si="92"/>
        <v>100.015625</v>
      </c>
      <c r="AW69" s="46">
        <f t="shared" si="55"/>
        <v>392578.125</v>
      </c>
      <c r="AX69" s="47">
        <f t="shared" si="56"/>
        <v>9877.7063802083358</v>
      </c>
      <c r="AY69" s="79">
        <f t="shared" si="93"/>
        <v>-149326.03808719726</v>
      </c>
      <c r="AZ69" s="79"/>
      <c r="BA69" s="79"/>
      <c r="BB69" s="79">
        <f>$AO$4*SUM($AZ$14:AZ69)-$AP$4*SUM($BA$14:BA69)</f>
        <v>71425.005826778885</v>
      </c>
      <c r="BC69" s="79">
        <f t="shared" si="94"/>
        <v>-220751.04391397614</v>
      </c>
      <c r="BE69" s="72">
        <v>45863.625</v>
      </c>
      <c r="BF69" s="54">
        <v>80.489999999999995</v>
      </c>
      <c r="BG69" s="72">
        <v>45958.625</v>
      </c>
      <c r="BH69" s="54">
        <v>101.203125</v>
      </c>
      <c r="BI69" s="72">
        <v>45863.625</v>
      </c>
      <c r="BJ69" s="54">
        <v>108.99</v>
      </c>
      <c r="BK69" s="72">
        <v>45958.625</v>
      </c>
      <c r="BL69" s="54">
        <v>101.203125</v>
      </c>
      <c r="BM69" s="72">
        <v>45863.625</v>
      </c>
      <c r="BN69" s="54">
        <v>102.015625</v>
      </c>
      <c r="BO69" s="72">
        <v>45863.625</v>
      </c>
      <c r="BP69" s="54">
        <v>95.34375</v>
      </c>
      <c r="BR69" s="128">
        <f t="shared" si="20"/>
        <v>45943.625</v>
      </c>
      <c r="BS69" s="45">
        <f t="shared" si="95"/>
        <v>107.01220000000001</v>
      </c>
      <c r="BT69" s="46">
        <f t="shared" si="58"/>
        <v>-141474.9999999998</v>
      </c>
      <c r="BU69" s="46">
        <f t="shared" si="59"/>
        <v>267361.11111111112</v>
      </c>
      <c r="BV69" s="45">
        <f t="shared" si="96"/>
        <v>51.024000000000001</v>
      </c>
      <c r="BW69" s="46">
        <f t="shared" si="61"/>
        <v>-45562.500000000131</v>
      </c>
      <c r="BX69" s="47">
        <f t="shared" si="62"/>
        <v>267361.11111111107</v>
      </c>
      <c r="BY69" s="45">
        <f t="shared" si="97"/>
        <v>-95912.499999999593</v>
      </c>
      <c r="CA69" s="126">
        <v>45868.625</v>
      </c>
      <c r="CB69" s="54">
        <v>107.27</v>
      </c>
      <c r="CC69" s="126">
        <v>45868.625</v>
      </c>
      <c r="CD69" s="54">
        <v>50.996000000000002</v>
      </c>
      <c r="CF69" s="128">
        <v>45943.625</v>
      </c>
      <c r="CG69" s="45">
        <f t="shared" si="98"/>
        <v>260.25400000000002</v>
      </c>
      <c r="CH69" s="46">
        <f t="shared" si="64"/>
        <v>63950.039999999943</v>
      </c>
      <c r="CI69" s="46">
        <f t="shared" si="65"/>
        <v>224583.33333333331</v>
      </c>
      <c r="CJ69" s="45">
        <f t="shared" si="99"/>
        <v>53.084000000000003</v>
      </c>
      <c r="CK69" s="46">
        <f t="shared" si="67"/>
        <v>-12867.120000000281</v>
      </c>
      <c r="CL69" s="47">
        <f t="shared" si="68"/>
        <v>202125</v>
      </c>
      <c r="CM69" s="45">
        <f t="shared" si="100"/>
        <v>99275.493333333521</v>
      </c>
      <c r="CO69" s="126">
        <v>45866.625</v>
      </c>
      <c r="CP69" s="54">
        <v>267.17500000000001</v>
      </c>
      <c r="CQ69" s="126">
        <v>45866.625</v>
      </c>
      <c r="CR69" s="54">
        <v>52.787999999999997</v>
      </c>
      <c r="DF69" s="130">
        <v>45944.625</v>
      </c>
      <c r="DG69" s="56">
        <f t="shared" si="75"/>
        <v>-123426.01269662936</v>
      </c>
      <c r="DH69" s="56">
        <f t="shared" si="76"/>
        <v>-273114.63538440625</v>
      </c>
      <c r="DI69" s="56">
        <f t="shared" si="77"/>
        <v>-102756.25000000201</v>
      </c>
      <c r="DJ69" s="56">
        <f t="shared" si="78"/>
        <v>85794.730000000389</v>
      </c>
      <c r="DK69" s="56">
        <f t="shared" si="79"/>
        <v>764.4614832111838</v>
      </c>
      <c r="DL69" s="56">
        <f t="shared" si="80"/>
        <v>-52363.59147043011</v>
      </c>
      <c r="DM69" s="56">
        <f t="shared" si="81"/>
        <v>-6843.7500000024156</v>
      </c>
      <c r="DN69" s="56">
        <f t="shared" si="82"/>
        <v>-13480.763333333132</v>
      </c>
      <c r="DO69" s="56">
        <f t="shared" si="83"/>
        <v>764.4614832111838</v>
      </c>
      <c r="DP69" s="56">
        <f t="shared" si="84"/>
        <v>-52363.59147043011</v>
      </c>
      <c r="DQ69" s="56">
        <f t="shared" si="85"/>
        <v>-6843.7500000024156</v>
      </c>
      <c r="DR69" s="56">
        <f t="shared" si="86"/>
        <v>-13480.763333333132</v>
      </c>
      <c r="DS69" s="56">
        <f>SUM(DO$15:DO69)</f>
        <v>-131820.34061716573</v>
      </c>
      <c r="DT69" s="56">
        <f>SUM(DP$15:DP69)</f>
        <v>-265505.01496358984</v>
      </c>
      <c r="DU69" s="56">
        <f>SUM(DQ$15:DQ69)</f>
        <v>-88074.999999999389</v>
      </c>
      <c r="DV69" s="56">
        <f>SUM(DR$15:DR69)</f>
        <v>68280.963333333522</v>
      </c>
      <c r="DZ69" s="130">
        <v>45944.625</v>
      </c>
      <c r="EA69" s="147">
        <f t="shared" si="70"/>
        <v>-131820.34061716573</v>
      </c>
      <c r="EB69" s="147">
        <f t="shared" si="72"/>
        <v>-265505.01496358984</v>
      </c>
      <c r="EC69" s="147">
        <f t="shared" si="73"/>
        <v>68280.963333333522</v>
      </c>
      <c r="ED69" s="147">
        <f t="shared" si="74"/>
        <v>-88074.999999999389</v>
      </c>
    </row>
    <row r="70" spans="1:134" x14ac:dyDescent="0.3">
      <c r="A70" s="137">
        <v>45924.625</v>
      </c>
      <c r="B70" s="73">
        <f t="shared" si="27"/>
        <v>92.59</v>
      </c>
      <c r="C70" s="31">
        <f t="shared" si="28"/>
        <v>-292971.24600639025</v>
      </c>
      <c r="D70" s="32">
        <f t="shared" si="29"/>
        <v>-192465</v>
      </c>
      <c r="E70" s="73">
        <f t="shared" si="30"/>
        <v>100.893</v>
      </c>
      <c r="F70" s="31">
        <f t="shared" si="31"/>
        <v>-58463.999999999825</v>
      </c>
      <c r="G70" s="32">
        <f t="shared" si="32"/>
        <v>-68522.792520000003</v>
      </c>
      <c r="H70" s="73">
        <f t="shared" si="33"/>
        <v>120.67</v>
      </c>
      <c r="I70" s="31">
        <f t="shared" si="34"/>
        <v>-364459.39294503926</v>
      </c>
      <c r="J70" s="32">
        <f t="shared" si="35"/>
        <v>-331039.8</v>
      </c>
      <c r="K70" s="73">
        <f t="shared" si="36"/>
        <v>99.414000000000001</v>
      </c>
      <c r="L70" s="31">
        <f t="shared" si="37"/>
        <v>-119162.40000000126</v>
      </c>
      <c r="M70" s="32">
        <f t="shared" si="38"/>
        <v>-150721.05776</v>
      </c>
      <c r="N70" s="79">
        <f t="shared" si="17"/>
        <v>67166.281698647595</v>
      </c>
      <c r="O70" s="79"/>
      <c r="P70" s="79"/>
      <c r="Q70" s="79">
        <f>$G$5*SUM($O$14:O70)-$H$5*SUM($P$14:P70)</f>
        <v>-35590.730199999991</v>
      </c>
      <c r="R70" s="79">
        <f t="shared" si="18"/>
        <v>31575.551498647605</v>
      </c>
      <c r="S70" s="138"/>
      <c r="U70" s="72">
        <v>45867.625</v>
      </c>
      <c r="V70" s="54">
        <v>94.46</v>
      </c>
      <c r="W70" s="72">
        <v>45863.625</v>
      </c>
      <c r="X70" s="54">
        <v>101.054</v>
      </c>
      <c r="Y70" s="122">
        <v>45870.625</v>
      </c>
      <c r="Z70" s="54">
        <v>120.22</v>
      </c>
      <c r="AA70" s="72">
        <v>45939.625</v>
      </c>
      <c r="AB70" s="54">
        <v>99.552999999999997</v>
      </c>
      <c r="AF70" s="130">
        <v>45944.625</v>
      </c>
      <c r="AG70" s="45">
        <f t="shared" si="87"/>
        <v>80.540000000000006</v>
      </c>
      <c r="AH70" s="46">
        <f t="shared" si="40"/>
        <v>27967.68178993103</v>
      </c>
      <c r="AI70" s="46">
        <f t="shared" si="41"/>
        <v>-229125</v>
      </c>
      <c r="AJ70" s="45">
        <f t="shared" si="88"/>
        <v>101.25</v>
      </c>
      <c r="AK70" s="46">
        <f t="shared" si="43"/>
        <v>233956.47321428571</v>
      </c>
      <c r="AL70" s="47">
        <f t="shared" si="44"/>
        <v>-10164.87374441963</v>
      </c>
      <c r="AM70" s="45">
        <f t="shared" si="89"/>
        <v>112.1</v>
      </c>
      <c r="AN70" s="46">
        <f t="shared" si="46"/>
        <v>787244.38198557938</v>
      </c>
      <c r="AO70" s="47">
        <f t="shared" si="47"/>
        <v>-235671.42857142858</v>
      </c>
      <c r="AP70" s="45">
        <f t="shared" si="90"/>
        <v>101.25</v>
      </c>
      <c r="AQ70" s="46">
        <f t="shared" si="49"/>
        <v>203962.05357142858</v>
      </c>
      <c r="AR70" s="47">
        <f t="shared" si="50"/>
        <v>-8861.6848028273816</v>
      </c>
      <c r="AS70" s="45">
        <f t="shared" si="91"/>
        <v>104.953125</v>
      </c>
      <c r="AT70" s="46">
        <f t="shared" si="52"/>
        <v>169921.875</v>
      </c>
      <c r="AU70" s="47">
        <f t="shared" si="53"/>
        <v>3710.2594866071377</v>
      </c>
      <c r="AV70" s="45">
        <f t="shared" si="92"/>
        <v>100.0625</v>
      </c>
      <c r="AW70" s="46">
        <f t="shared" si="55"/>
        <v>396093.75</v>
      </c>
      <c r="AX70" s="47">
        <f t="shared" si="56"/>
        <v>10005.98828125</v>
      </c>
      <c r="AY70" s="79">
        <f t="shared" si="93"/>
        <v>-201689.62955762737</v>
      </c>
      <c r="AZ70" s="79"/>
      <c r="BA70" s="79"/>
      <c r="BB70" s="79">
        <f>$AO$4*SUM($AZ$14:AZ70)-$AP$4*SUM($BA$14:BA70)</f>
        <v>71425.005826778885</v>
      </c>
      <c r="BC70" s="79">
        <f t="shared" si="94"/>
        <v>-273114.63538440625</v>
      </c>
      <c r="BE70" s="72">
        <v>45866.625</v>
      </c>
      <c r="BF70" s="54">
        <v>80.45</v>
      </c>
      <c r="BG70" s="72">
        <v>45959.625</v>
      </c>
      <c r="BH70" s="54">
        <v>100.7578125</v>
      </c>
      <c r="BI70" s="72">
        <v>45866.625</v>
      </c>
      <c r="BJ70" s="54">
        <v>108.77</v>
      </c>
      <c r="BK70" s="72">
        <v>45959.625</v>
      </c>
      <c r="BL70" s="54">
        <v>100.7578125</v>
      </c>
      <c r="BM70" s="72">
        <v>45866.625</v>
      </c>
      <c r="BN70" s="54">
        <v>101.78125</v>
      </c>
      <c r="BO70" s="72">
        <v>45866.625</v>
      </c>
      <c r="BP70" s="54">
        <v>94.78125</v>
      </c>
      <c r="BR70" s="128">
        <f t="shared" si="20"/>
        <v>45944.625</v>
      </c>
      <c r="BS70" s="45">
        <f t="shared" si="95"/>
        <v>107.4841</v>
      </c>
      <c r="BT70" s="46">
        <f t="shared" si="58"/>
        <v>-23500.000000002077</v>
      </c>
      <c r="BU70" s="46">
        <f t="shared" si="59"/>
        <v>270833.33333333337</v>
      </c>
      <c r="BV70" s="45">
        <f t="shared" si="96"/>
        <v>48.805</v>
      </c>
      <c r="BW70" s="46">
        <f t="shared" si="61"/>
        <v>79256.249999999942</v>
      </c>
      <c r="BX70" s="47">
        <f t="shared" si="62"/>
        <v>270833.33333333337</v>
      </c>
      <c r="BY70" s="45">
        <f t="shared" si="97"/>
        <v>-102756.25000000201</v>
      </c>
      <c r="CA70" s="126">
        <v>45869.625</v>
      </c>
      <c r="CB70" s="54">
        <v>107.2366</v>
      </c>
      <c r="CC70" s="126">
        <v>45869.625</v>
      </c>
      <c r="CD70" s="54">
        <v>51.091000000000001</v>
      </c>
      <c r="CF70" s="128">
        <v>45944.625</v>
      </c>
      <c r="CG70" s="45">
        <f t="shared" si="98"/>
        <v>257.16699999999997</v>
      </c>
      <c r="CH70" s="46">
        <f t="shared" si="64"/>
        <v>92473.920000000362</v>
      </c>
      <c r="CI70" s="46">
        <f t="shared" si="65"/>
        <v>227500</v>
      </c>
      <c r="CJ70" s="45">
        <f t="shared" si="99"/>
        <v>52.110999999999997</v>
      </c>
      <c r="CK70" s="46">
        <f t="shared" si="67"/>
        <v>29429.189999999981</v>
      </c>
      <c r="CL70" s="47">
        <f t="shared" si="68"/>
        <v>204750</v>
      </c>
      <c r="CM70" s="45">
        <f t="shared" si="100"/>
        <v>85794.730000000389</v>
      </c>
      <c r="CO70" s="126">
        <v>45867.625</v>
      </c>
      <c r="CP70" s="54">
        <v>264.13499999999999</v>
      </c>
      <c r="CQ70" s="126">
        <v>45867.625</v>
      </c>
      <c r="CR70" s="54">
        <v>52.537999999999997</v>
      </c>
      <c r="DF70" s="130">
        <v>45945.625</v>
      </c>
      <c r="DG70" s="56">
        <f t="shared" si="75"/>
        <v>-72586.033982760768</v>
      </c>
      <c r="DH70" s="56">
        <f t="shared" si="76"/>
        <v>-213192.17833260354</v>
      </c>
      <c r="DI70" s="56">
        <f t="shared" si="77"/>
        <v>-83668.749999999825</v>
      </c>
      <c r="DJ70" s="56">
        <f t="shared" si="78"/>
        <v>97274.566666667059</v>
      </c>
      <c r="DK70" s="56">
        <f t="shared" si="79"/>
        <v>50839.978713868593</v>
      </c>
      <c r="DL70" s="56">
        <f t="shared" si="80"/>
        <v>59922.457051802718</v>
      </c>
      <c r="DM70" s="56">
        <f t="shared" si="81"/>
        <v>19087.500000002183</v>
      </c>
      <c r="DN70" s="56">
        <f t="shared" si="82"/>
        <v>11479.83666666667</v>
      </c>
      <c r="DO70" s="56">
        <f t="shared" si="83"/>
        <v>50839.978713868593</v>
      </c>
      <c r="DP70" s="56">
        <f t="shared" si="84"/>
        <v>59922.457051802718</v>
      </c>
      <c r="DQ70" s="56">
        <f t="shared" si="85"/>
        <v>19087.500000002183</v>
      </c>
      <c r="DR70" s="56">
        <f t="shared" si="86"/>
        <v>11479.83666666667</v>
      </c>
      <c r="DS70" s="56">
        <f>SUM(DO$15:DO70)</f>
        <v>-80980.361903297133</v>
      </c>
      <c r="DT70" s="56">
        <f>SUM(DP$15:DP70)</f>
        <v>-205582.55791178712</v>
      </c>
      <c r="DU70" s="56">
        <f>SUM(DQ$15:DQ70)</f>
        <v>-68987.499999997206</v>
      </c>
      <c r="DV70" s="56">
        <f>SUM(DR$15:DR70)</f>
        <v>79760.800000000192</v>
      </c>
      <c r="DZ70" s="130">
        <v>45945.625</v>
      </c>
      <c r="EA70" s="147">
        <f t="shared" si="70"/>
        <v>-80980.361903297133</v>
      </c>
      <c r="EB70" s="147">
        <f t="shared" si="72"/>
        <v>-205582.55791178712</v>
      </c>
      <c r="EC70" s="147">
        <f t="shared" si="73"/>
        <v>79760.800000000192</v>
      </c>
      <c r="ED70" s="147">
        <f t="shared" si="74"/>
        <v>-68987.499999997206</v>
      </c>
    </row>
    <row r="71" spans="1:134" x14ac:dyDescent="0.3">
      <c r="A71" s="137">
        <v>45925.625</v>
      </c>
      <c r="B71" s="73">
        <f t="shared" si="27"/>
        <v>92.45</v>
      </c>
      <c r="C71" s="31">
        <f t="shared" si="28"/>
        <v>-324281.15015974588</v>
      </c>
      <c r="D71" s="32">
        <f t="shared" si="29"/>
        <v>-194932.49999999997</v>
      </c>
      <c r="E71" s="73">
        <f t="shared" si="30"/>
        <v>100.822</v>
      </c>
      <c r="F71" s="31">
        <f t="shared" si="31"/>
        <v>-70391.999999999476</v>
      </c>
      <c r="G71" s="32">
        <f t="shared" si="32"/>
        <v>-69401.28985999999</v>
      </c>
      <c r="H71" s="73">
        <f t="shared" si="33"/>
        <v>120.43</v>
      </c>
      <c r="I71" s="31">
        <f t="shared" si="34"/>
        <v>-435573.4208367531</v>
      </c>
      <c r="J71" s="32">
        <f t="shared" si="35"/>
        <v>-335283.89999999997</v>
      </c>
      <c r="K71" s="73">
        <f t="shared" si="36"/>
        <v>99.263000000000005</v>
      </c>
      <c r="L71" s="31">
        <f t="shared" si="37"/>
        <v>-171166.79999999996</v>
      </c>
      <c r="M71" s="32">
        <f t="shared" si="38"/>
        <v>-152653.37901333332</v>
      </c>
      <c r="N71" s="79">
        <f t="shared" si="17"/>
        <v>67616.781523673388</v>
      </c>
      <c r="O71" s="79"/>
      <c r="P71" s="79"/>
      <c r="Q71" s="79">
        <f>$G$5*SUM($O$14:O71)-$H$5*SUM($P$14:P71)</f>
        <v>-35590.730199999991</v>
      </c>
      <c r="R71" s="79">
        <f t="shared" si="18"/>
        <v>32026.051323673397</v>
      </c>
      <c r="S71" s="138"/>
      <c r="U71" s="72">
        <v>45868.625</v>
      </c>
      <c r="V71" s="54">
        <v>94.48</v>
      </c>
      <c r="W71" s="72">
        <v>45866.625</v>
      </c>
      <c r="X71" s="54">
        <v>101.17</v>
      </c>
      <c r="Y71" s="122">
        <v>45873.625</v>
      </c>
      <c r="Z71" s="54">
        <v>120.41</v>
      </c>
      <c r="AA71" s="72">
        <v>45940.625</v>
      </c>
      <c r="AB71" s="54">
        <v>99.754000000000005</v>
      </c>
      <c r="AF71" s="130">
        <v>45945.625</v>
      </c>
      <c r="AG71" s="45">
        <f t="shared" si="87"/>
        <v>80.8</v>
      </c>
      <c r="AH71" s="46">
        <f t="shared" si="40"/>
        <v>108763.20696084351</v>
      </c>
      <c r="AI71" s="46">
        <f t="shared" si="41"/>
        <v>-232062.49999999997</v>
      </c>
      <c r="AJ71" s="45">
        <f t="shared" si="88"/>
        <v>101.140625</v>
      </c>
      <c r="AK71" s="46">
        <f t="shared" si="43"/>
        <v>218722.09821428571</v>
      </c>
      <c r="AL71" s="47">
        <f t="shared" si="44"/>
        <v>-10295.192638578868</v>
      </c>
      <c r="AM71" s="45">
        <f t="shared" si="89"/>
        <v>112.1</v>
      </c>
      <c r="AN71" s="46">
        <f t="shared" si="46"/>
        <v>787244.38198557938</v>
      </c>
      <c r="AO71" s="47">
        <f t="shared" si="47"/>
        <v>-238692.85714285716</v>
      </c>
      <c r="AP71" s="45">
        <f t="shared" si="90"/>
        <v>101.140625</v>
      </c>
      <c r="AQ71" s="46">
        <f t="shared" si="49"/>
        <v>190680.80357142855</v>
      </c>
      <c r="AR71" s="47">
        <f t="shared" si="50"/>
        <v>-8975.2961464533582</v>
      </c>
      <c r="AS71" s="45">
        <f t="shared" si="91"/>
        <v>104.828125</v>
      </c>
      <c r="AT71" s="46">
        <f t="shared" si="52"/>
        <v>163225.44642857142</v>
      </c>
      <c r="AU71" s="47">
        <f t="shared" si="53"/>
        <v>3757.8269159226256</v>
      </c>
      <c r="AV71" s="45">
        <f t="shared" si="92"/>
        <v>99.84375</v>
      </c>
      <c r="AW71" s="46">
        <f t="shared" si="55"/>
        <v>379687.5</v>
      </c>
      <c r="AX71" s="47">
        <f t="shared" si="56"/>
        <v>10134.270182291672</v>
      </c>
      <c r="AY71" s="79">
        <f t="shared" si="93"/>
        <v>-141767.17250582465</v>
      </c>
      <c r="AZ71" s="79"/>
      <c r="BA71" s="79"/>
      <c r="BB71" s="79">
        <f>$AO$4*SUM($AZ$14:AZ71)-$AP$4*SUM($BA$14:BA71)</f>
        <v>71425.005826778885</v>
      </c>
      <c r="BC71" s="79">
        <f t="shared" si="94"/>
        <v>-213192.17833260354</v>
      </c>
      <c r="BE71" s="72">
        <v>45867.625</v>
      </c>
      <c r="BF71" s="54">
        <v>80.5</v>
      </c>
      <c r="BG71" s="72">
        <v>45960.625</v>
      </c>
      <c r="BH71" s="54">
        <v>100.71875</v>
      </c>
      <c r="BI71" s="72">
        <v>45867.625</v>
      </c>
      <c r="BJ71" s="54">
        <v>109.49</v>
      </c>
      <c r="BK71" s="72">
        <v>45960.625</v>
      </c>
      <c r="BL71" s="54">
        <v>100.71875</v>
      </c>
      <c r="BM71" s="72">
        <v>45867.625</v>
      </c>
      <c r="BN71" s="54">
        <v>102.484375</v>
      </c>
      <c r="BO71" s="72">
        <v>45867.625</v>
      </c>
      <c r="BP71" s="54">
        <v>96.3125</v>
      </c>
      <c r="BR71" s="128">
        <f t="shared" si="20"/>
        <v>45945.625</v>
      </c>
      <c r="BS71" s="45">
        <f t="shared" si="95"/>
        <v>107.62390000000001</v>
      </c>
      <c r="BT71" s="46">
        <f t="shared" si="58"/>
        <v>11449.99999999996</v>
      </c>
      <c r="BU71" s="46">
        <f t="shared" si="59"/>
        <v>274305.55555555556</v>
      </c>
      <c r="BV71" s="45">
        <f t="shared" si="96"/>
        <v>48.523000000000003</v>
      </c>
      <c r="BW71" s="46">
        <f t="shared" si="61"/>
        <v>95118.749999999753</v>
      </c>
      <c r="BX71" s="47">
        <f t="shared" si="62"/>
        <v>274305.55555555556</v>
      </c>
      <c r="BY71" s="45">
        <f t="shared" si="97"/>
        <v>-83668.749999999825</v>
      </c>
      <c r="CA71" s="126">
        <v>45870.625</v>
      </c>
      <c r="CB71" s="54">
        <v>106.53149999999999</v>
      </c>
      <c r="CC71" s="126">
        <v>45870.625</v>
      </c>
      <c r="CD71" s="54">
        <v>54.185000000000002</v>
      </c>
      <c r="CF71" s="128">
        <v>45945.625</v>
      </c>
      <c r="CG71" s="45">
        <f t="shared" si="98"/>
        <v>245.131</v>
      </c>
      <c r="CH71" s="46">
        <f t="shared" si="64"/>
        <v>203686.56000000011</v>
      </c>
      <c r="CI71" s="46">
        <f t="shared" si="65"/>
        <v>230416.66666666666</v>
      </c>
      <c r="CJ71" s="45">
        <f t="shared" si="99"/>
        <v>49.81</v>
      </c>
      <c r="CK71" s="46">
        <f t="shared" si="67"/>
        <v>129453.65999999976</v>
      </c>
      <c r="CL71" s="47">
        <f t="shared" si="68"/>
        <v>207375</v>
      </c>
      <c r="CM71" s="45">
        <f t="shared" si="100"/>
        <v>97274.566666667059</v>
      </c>
      <c r="CO71" s="126">
        <v>45868.625</v>
      </c>
      <c r="CP71" s="54">
        <v>265.81200000000001</v>
      </c>
      <c r="CQ71" s="126">
        <v>45868.625</v>
      </c>
      <c r="CR71" s="54">
        <v>52.783999999999999</v>
      </c>
      <c r="DF71" s="130">
        <v>45946.625</v>
      </c>
      <c r="DG71" s="56">
        <f t="shared" si="75"/>
        <v>-111260.21478370373</v>
      </c>
      <c r="DH71" s="56">
        <f t="shared" si="76"/>
        <v>-301508.55114452378</v>
      </c>
      <c r="DI71" s="56">
        <f t="shared" si="77"/>
        <v>-97062.500000001659</v>
      </c>
      <c r="DJ71" s="56">
        <f t="shared" si="78"/>
        <v>79248.563333333645</v>
      </c>
      <c r="DK71" s="56">
        <f t="shared" si="79"/>
        <v>-38674.180800942966</v>
      </c>
      <c r="DL71" s="56">
        <f t="shared" si="80"/>
        <v>-88316.372811920242</v>
      </c>
      <c r="DM71" s="56">
        <f t="shared" si="81"/>
        <v>-13393.750000001834</v>
      </c>
      <c r="DN71" s="56">
        <f t="shared" si="82"/>
        <v>-18026.003333333414</v>
      </c>
      <c r="DO71" s="56">
        <f t="shared" si="83"/>
        <v>-38674.180800942966</v>
      </c>
      <c r="DP71" s="56">
        <f t="shared" si="84"/>
        <v>-88316.372811920242</v>
      </c>
      <c r="DQ71" s="56">
        <f t="shared" si="85"/>
        <v>-13393.750000001834</v>
      </c>
      <c r="DR71" s="56">
        <f t="shared" si="86"/>
        <v>-18026.003333333414</v>
      </c>
      <c r="DS71" s="56">
        <f>SUM(DO$15:DO71)</f>
        <v>-119654.5427042401</v>
      </c>
      <c r="DT71" s="56">
        <f>SUM(DP$15:DP71)</f>
        <v>-293898.93072370737</v>
      </c>
      <c r="DU71" s="56">
        <f>SUM(DQ$15:DQ71)</f>
        <v>-82381.24999999904</v>
      </c>
      <c r="DV71" s="56">
        <f>SUM(DR$15:DR71)</f>
        <v>61734.796666666778</v>
      </c>
      <c r="DZ71" s="130">
        <v>45946.625</v>
      </c>
      <c r="EA71" s="147">
        <f t="shared" si="70"/>
        <v>-119654.5427042401</v>
      </c>
      <c r="EB71" s="147">
        <f t="shared" si="72"/>
        <v>-293898.93072370737</v>
      </c>
      <c r="EC71" s="147">
        <f t="shared" si="73"/>
        <v>61734.796666666778</v>
      </c>
      <c r="ED71" s="147">
        <f t="shared" si="74"/>
        <v>-82381.24999999904</v>
      </c>
    </row>
    <row r="72" spans="1:134" x14ac:dyDescent="0.3">
      <c r="A72" s="137">
        <v>45926.625</v>
      </c>
      <c r="B72" s="73">
        <f t="shared" si="27"/>
        <v>92.46</v>
      </c>
      <c r="C72" s="31">
        <f t="shared" si="28"/>
        <v>-322044.72843450803</v>
      </c>
      <c r="D72" s="32">
        <f t="shared" si="29"/>
        <v>-197399.99999999997</v>
      </c>
      <c r="E72" s="73">
        <f t="shared" si="30"/>
        <v>100.866</v>
      </c>
      <c r="F72" s="31">
        <f t="shared" si="31"/>
        <v>-63000</v>
      </c>
      <c r="G72" s="32">
        <f t="shared" si="32"/>
        <v>-70279.787199999962</v>
      </c>
      <c r="H72" s="73">
        <f t="shared" si="33"/>
        <v>120.43</v>
      </c>
      <c r="I72" s="31">
        <f t="shared" si="34"/>
        <v>-435573.4208367531</v>
      </c>
      <c r="J72" s="32">
        <f t="shared" si="35"/>
        <v>-339527.99999999994</v>
      </c>
      <c r="K72" s="73">
        <f t="shared" si="36"/>
        <v>99.38</v>
      </c>
      <c r="L72" s="31">
        <f t="shared" si="37"/>
        <v>-130872.00000000333</v>
      </c>
      <c r="M72" s="32">
        <f t="shared" si="38"/>
        <v>-154585.70026666665</v>
      </c>
      <c r="N72" s="79">
        <f t="shared" si="17"/>
        <v>103478.77933557506</v>
      </c>
      <c r="O72" s="79"/>
      <c r="P72" s="79"/>
      <c r="Q72" s="79">
        <f>$G$5*SUM($O$14:O72)-$H$5*SUM($P$14:P72)</f>
        <v>-35590.730199999991</v>
      </c>
      <c r="R72" s="79">
        <f t="shared" si="18"/>
        <v>67888.049135575071</v>
      </c>
      <c r="S72" s="138"/>
      <c r="U72" s="72">
        <v>45869.625</v>
      </c>
      <c r="V72" s="54">
        <v>94.45</v>
      </c>
      <c r="W72" s="72">
        <v>45867.625</v>
      </c>
      <c r="X72" s="54">
        <v>101.105</v>
      </c>
      <c r="Y72" s="122">
        <v>45874.625</v>
      </c>
      <c r="Z72" s="54">
        <v>120.52</v>
      </c>
      <c r="AA72" s="72">
        <v>45943.625</v>
      </c>
      <c r="AB72" s="54">
        <v>99.923000000000002</v>
      </c>
      <c r="AF72" s="130">
        <v>45946.625</v>
      </c>
      <c r="AG72" s="45">
        <f t="shared" si="87"/>
        <v>80.510000000000005</v>
      </c>
      <c r="AH72" s="46">
        <f t="shared" si="40"/>
        <v>18645.121193289204</v>
      </c>
      <c r="AI72" s="46">
        <f t="shared" si="41"/>
        <v>-234999.99999999997</v>
      </c>
      <c r="AJ72" s="45">
        <f t="shared" si="88"/>
        <v>101.46875</v>
      </c>
      <c r="AK72" s="46">
        <f t="shared" si="43"/>
        <v>264425.22321428574</v>
      </c>
      <c r="AL72" s="47">
        <f t="shared" si="44"/>
        <v>-10425.511532738092</v>
      </c>
      <c r="AM72" s="45">
        <f t="shared" si="89"/>
        <v>112.42</v>
      </c>
      <c r="AN72" s="46">
        <f t="shared" si="46"/>
        <v>862895.49376797862</v>
      </c>
      <c r="AO72" s="47">
        <f t="shared" si="47"/>
        <v>-241714.28571428571</v>
      </c>
      <c r="AP72" s="45">
        <f t="shared" si="90"/>
        <v>101.46875</v>
      </c>
      <c r="AQ72" s="46">
        <f t="shared" si="49"/>
        <v>230524.55357142861</v>
      </c>
      <c r="AR72" s="47">
        <f t="shared" si="50"/>
        <v>-9088.9074900793639</v>
      </c>
      <c r="AS72" s="45">
        <f t="shared" si="91"/>
        <v>105.328125</v>
      </c>
      <c r="AT72" s="46">
        <f t="shared" si="52"/>
        <v>190011.16071428571</v>
      </c>
      <c r="AU72" s="47">
        <f t="shared" si="53"/>
        <v>3805.394345238099</v>
      </c>
      <c r="AV72" s="45">
        <f t="shared" si="92"/>
        <v>100.59375</v>
      </c>
      <c r="AW72" s="46">
        <f t="shared" si="55"/>
        <v>435937.5</v>
      </c>
      <c r="AX72" s="47">
        <f t="shared" si="56"/>
        <v>10262.552083333343</v>
      </c>
      <c r="AY72" s="79">
        <f t="shared" si="93"/>
        <v>-230083.54531774487</v>
      </c>
      <c r="AZ72" s="79"/>
      <c r="BA72" s="79"/>
      <c r="BB72" s="79">
        <f>$AO$4*SUM($AZ$14:AZ72)-$AP$4*SUM($BA$14:BA72)</f>
        <v>71425.005826778885</v>
      </c>
      <c r="BC72" s="79">
        <f t="shared" si="94"/>
        <v>-301508.55114452378</v>
      </c>
      <c r="BE72" s="72">
        <v>45868.625</v>
      </c>
      <c r="BF72" s="54">
        <v>80.33</v>
      </c>
      <c r="BG72" s="72">
        <v>45961.625</v>
      </c>
      <c r="BH72" s="54">
        <v>100.7734375</v>
      </c>
      <c r="BI72" s="72">
        <v>45868.625</v>
      </c>
      <c r="BJ72" s="54">
        <v>109.08</v>
      </c>
      <c r="BK72" s="72">
        <v>45961.625</v>
      </c>
      <c r="BL72" s="54">
        <v>100.7734375</v>
      </c>
      <c r="BM72" s="72">
        <v>45868.625</v>
      </c>
      <c r="BN72" s="54">
        <v>102.125</v>
      </c>
      <c r="BO72" s="72">
        <v>45868.625</v>
      </c>
      <c r="BP72" s="54">
        <v>95.75</v>
      </c>
      <c r="BR72" s="128">
        <f t="shared" si="20"/>
        <v>45946.625</v>
      </c>
      <c r="BS72" s="45">
        <f t="shared" si="95"/>
        <v>107.2029</v>
      </c>
      <c r="BT72" s="46">
        <f t="shared" si="58"/>
        <v>-93800.000000001659</v>
      </c>
      <c r="BU72" s="46">
        <f t="shared" si="59"/>
        <v>277777.77777777775</v>
      </c>
      <c r="BV72" s="45">
        <f t="shared" si="96"/>
        <v>50.155999999999999</v>
      </c>
      <c r="BW72" s="46">
        <f t="shared" si="61"/>
        <v>3262.4999999999909</v>
      </c>
      <c r="BX72" s="47">
        <f t="shared" si="62"/>
        <v>277777.77777777775</v>
      </c>
      <c r="BY72" s="45">
        <f t="shared" si="97"/>
        <v>-97062.500000001659</v>
      </c>
      <c r="CA72" s="126">
        <v>45873.625</v>
      </c>
      <c r="CB72" s="54">
        <v>107.0245</v>
      </c>
      <c r="CC72" s="126">
        <v>45873.625</v>
      </c>
      <c r="CD72" s="54">
        <v>52.07</v>
      </c>
      <c r="CF72" s="128">
        <v>45946.625</v>
      </c>
      <c r="CG72" s="45">
        <f t="shared" si="98"/>
        <v>250.49600000000001</v>
      </c>
      <c r="CH72" s="46">
        <f t="shared" si="64"/>
        <v>154113.96000000005</v>
      </c>
      <c r="CI72" s="46">
        <f t="shared" si="65"/>
        <v>233333.33333333331</v>
      </c>
      <c r="CJ72" s="45">
        <f t="shared" si="99"/>
        <v>50.529000000000003</v>
      </c>
      <c r="CK72" s="46">
        <f t="shared" si="67"/>
        <v>98198.72999999969</v>
      </c>
      <c r="CL72" s="47">
        <f t="shared" si="68"/>
        <v>210000</v>
      </c>
      <c r="CM72" s="45">
        <f t="shared" si="100"/>
        <v>79248.563333333645</v>
      </c>
      <c r="CO72" s="126">
        <v>45869.625</v>
      </c>
      <c r="CP72" s="54">
        <v>268.60899999999998</v>
      </c>
      <c r="CQ72" s="126">
        <v>45869.625</v>
      </c>
      <c r="CR72" s="54">
        <v>53.713999999999999</v>
      </c>
      <c r="DF72" s="137">
        <v>45947.625</v>
      </c>
      <c r="DG72" s="56">
        <f t="shared" ref="DG72:DG75" si="101">VLOOKUP(DF72,A73:R145,18)</f>
        <v>-118663.56066576528</v>
      </c>
      <c r="DH72" s="56">
        <f t="shared" ref="DH72:DH75" si="102">VLOOKUP(DF72,AF73:BC109,24)</f>
        <v>-206676.05573673226</v>
      </c>
      <c r="DI72" s="56">
        <f t="shared" ref="DI72:DI75" si="103">VLOOKUP(DF72,BR73:BY109,8)</f>
        <v>-109543.7500000002</v>
      </c>
      <c r="DJ72" s="56">
        <f t="shared" ref="DJ72:DJ75" si="104">VLOOKUP(DF72,CF73:CM109,8)</f>
        <v>95208.540000000445</v>
      </c>
      <c r="DK72" s="56">
        <f t="shared" ref="DK72:DK75" si="105">DG72-DG71</f>
        <v>-7403.3458820615488</v>
      </c>
      <c r="DL72" s="56">
        <f t="shared" ref="DL72:DL75" si="106">DH72-DH71</f>
        <v>94832.495407791517</v>
      </c>
      <c r="DM72" s="56">
        <f t="shared" ref="DM72:DM75" si="107">DI72-DI71</f>
        <v>-12481.249999998545</v>
      </c>
      <c r="DN72" s="56">
        <f t="shared" ref="DN72:DN75" si="108">DJ72-DJ71</f>
        <v>15959.9766666668</v>
      </c>
      <c r="DO72" s="56">
        <f t="shared" ref="DO72:DO75" si="109">DK$11*DK72</f>
        <v>-7403.3458820615488</v>
      </c>
      <c r="DP72" s="56">
        <f t="shared" ref="DP72:DP75" si="110">DL$11*DL72</f>
        <v>94832.495407791517</v>
      </c>
      <c r="DQ72" s="56">
        <f t="shared" ref="DQ72:DQ75" si="111">DM$11*DM72</f>
        <v>-12481.249999998545</v>
      </c>
      <c r="DR72" s="56">
        <f t="shared" ref="DR72:DR75" si="112">DN$11*DN72</f>
        <v>15959.9766666668</v>
      </c>
      <c r="DS72" s="56">
        <f>SUM(DO$15:DO72)</f>
        <v>-127057.88858630165</v>
      </c>
      <c r="DT72" s="56">
        <f>SUM(DP$15:DP72)</f>
        <v>-199066.43531591585</v>
      </c>
      <c r="DU72" s="56">
        <f>SUM(DQ$15:DQ72)</f>
        <v>-94862.499999997584</v>
      </c>
      <c r="DV72" s="56">
        <f>SUM(DR$15:DR72)</f>
        <v>77694.773333333578</v>
      </c>
      <c r="DZ72" s="137">
        <v>45947.625</v>
      </c>
      <c r="EA72" s="147">
        <f t="shared" si="70"/>
        <v>-127057.88858630165</v>
      </c>
      <c r="EB72" s="147">
        <f t="shared" si="72"/>
        <v>-199066.43531591585</v>
      </c>
      <c r="EC72" s="147">
        <f t="shared" si="73"/>
        <v>77694.773333333578</v>
      </c>
      <c r="ED72" s="147">
        <f t="shared" si="74"/>
        <v>-94862.499999997584</v>
      </c>
    </row>
    <row r="73" spans="1:134" x14ac:dyDescent="0.3">
      <c r="A73" s="137">
        <v>45929.625</v>
      </c>
      <c r="B73" s="73">
        <f t="shared" si="27"/>
        <v>92.5</v>
      </c>
      <c r="C73" s="31">
        <f t="shared" si="28"/>
        <v>-313099.04153354728</v>
      </c>
      <c r="D73" s="32">
        <f t="shared" si="29"/>
        <v>-204802.50000000003</v>
      </c>
      <c r="E73" s="73">
        <f t="shared" si="30"/>
        <v>100.89</v>
      </c>
      <c r="F73" s="31">
        <f t="shared" si="31"/>
        <v>-58967.999999999847</v>
      </c>
      <c r="G73" s="32">
        <f t="shared" si="32"/>
        <v>-72915.279219999997</v>
      </c>
      <c r="H73" s="73">
        <f t="shared" si="33"/>
        <v>120.76</v>
      </c>
      <c r="I73" s="31">
        <f t="shared" si="34"/>
        <v>-337791.6324856446</v>
      </c>
      <c r="J73" s="32">
        <f t="shared" si="35"/>
        <v>-352260.30000000005</v>
      </c>
      <c r="K73" s="73">
        <f t="shared" si="36"/>
        <v>99.456000000000003</v>
      </c>
      <c r="L73" s="31">
        <f t="shared" si="37"/>
        <v>-104697.6000000007</v>
      </c>
      <c r="M73" s="32">
        <f t="shared" si="38"/>
        <v>-160382.66402666672</v>
      </c>
      <c r="N73" s="79">
        <f t="shared" si="17"/>
        <v>38953.406145429675</v>
      </c>
      <c r="O73" s="79"/>
      <c r="P73" s="79"/>
      <c r="Q73" s="79">
        <f>$G$5*SUM($O$14:O73)-$H$5*SUM($P$14:P73)</f>
        <v>-35590.730199999991</v>
      </c>
      <c r="R73" s="79">
        <f t="shared" si="18"/>
        <v>3362.6759454296844</v>
      </c>
      <c r="S73" s="138"/>
      <c r="U73" s="72">
        <v>45870.625</v>
      </c>
      <c r="V73" s="54">
        <v>94.32</v>
      </c>
      <c r="W73" s="72">
        <v>45868.625</v>
      </c>
      <c r="X73" s="54">
        <v>101.048</v>
      </c>
      <c r="Y73" s="122">
        <v>45875.625</v>
      </c>
      <c r="Z73" s="54">
        <v>120.41</v>
      </c>
      <c r="AA73" s="72">
        <v>45944.625</v>
      </c>
      <c r="AB73" s="54">
        <v>99.977999999999994</v>
      </c>
      <c r="AF73" s="137">
        <v>45947.625</v>
      </c>
      <c r="AG73" s="45">
        <f t="shared" ref="AG73:AG76" si="113">VLOOKUP($AF73+$J$1,BE:BF,2)</f>
        <v>80.72</v>
      </c>
      <c r="AH73" s="46">
        <f t="shared" si="40"/>
        <v>83903.045369793093</v>
      </c>
      <c r="AI73" s="46">
        <f t="shared" si="41"/>
        <v>-237937.49999999997</v>
      </c>
      <c r="AJ73" s="45">
        <f t="shared" ref="AJ73:AJ76" si="114">VLOOKUP($AF73+$J$1,BG:BH,2)</f>
        <v>101.296875</v>
      </c>
      <c r="AK73" s="46">
        <f t="shared" si="43"/>
        <v>240485.49107142858</v>
      </c>
      <c r="AL73" s="47">
        <f t="shared" si="44"/>
        <v>-10555.83042689733</v>
      </c>
      <c r="AM73" s="45">
        <f t="shared" ref="AM73:AM76" si="115">VLOOKUP($AF73+$J$1,BI:BJ,2)</f>
        <v>112.2</v>
      </c>
      <c r="AN73" s="46">
        <f t="shared" si="46"/>
        <v>810885.35441758134</v>
      </c>
      <c r="AO73" s="47">
        <f t="shared" si="47"/>
        <v>-244735.71428571429</v>
      </c>
      <c r="AP73" s="45">
        <f t="shared" ref="AP73:AP76" si="116">VLOOKUP($AF73+$J$1,BK:BL,2)</f>
        <v>101.296875</v>
      </c>
      <c r="AQ73" s="46">
        <f t="shared" si="49"/>
        <v>209654.01785714287</v>
      </c>
      <c r="AR73" s="47">
        <f t="shared" si="50"/>
        <v>-9202.5188337053405</v>
      </c>
      <c r="AS73" s="45">
        <f t="shared" ref="AS73:AS76" si="117">VLOOKUP($AF73+$J$1,BM:BN,2)</f>
        <v>105.109375</v>
      </c>
      <c r="AT73" s="46">
        <f t="shared" si="52"/>
        <v>178292.41071428571</v>
      </c>
      <c r="AU73" s="47">
        <f t="shared" si="53"/>
        <v>3852.9617745535725</v>
      </c>
      <c r="AV73" s="45">
        <f t="shared" ref="AV73:AV76" si="118">VLOOKUP($AF73+$J$1,BO:BP,2)</f>
        <v>100.40625</v>
      </c>
      <c r="AW73" s="46">
        <f t="shared" si="55"/>
        <v>421875</v>
      </c>
      <c r="AX73" s="47">
        <f t="shared" si="56"/>
        <v>10390.833984375</v>
      </c>
      <c r="AY73" s="79">
        <f t="shared" ref="AY73:AY76" si="119">AH73+AI73-AK73-AL73-AN73-AO73+AQ73+AR73+AT73+AU73+AW73+AX73</f>
        <v>-135251.04990995338</v>
      </c>
      <c r="AZ73" s="79"/>
      <c r="BA73" s="79"/>
      <c r="BB73" s="79">
        <f>$AO$4*SUM($AZ$14:AZ73)-$AP$4*SUM($BA$14:BA73)</f>
        <v>71425.005826778885</v>
      </c>
      <c r="BC73" s="79">
        <f t="shared" ref="BC73:BC76" si="120">AY73-BB73</f>
        <v>-206676.05573673226</v>
      </c>
      <c r="BE73" s="72">
        <v>45869.625</v>
      </c>
      <c r="BF73" s="54">
        <v>80.38</v>
      </c>
      <c r="BI73" s="72">
        <v>45869.625</v>
      </c>
      <c r="BJ73" s="54">
        <v>109.11</v>
      </c>
      <c r="BM73" s="72">
        <v>45869.625</v>
      </c>
      <c r="BN73" s="54">
        <v>102.1875</v>
      </c>
      <c r="BO73" s="72">
        <v>45869.625</v>
      </c>
      <c r="BP73" s="54">
        <v>95.828125</v>
      </c>
      <c r="BR73" s="128">
        <f t="shared" si="20"/>
        <v>45947.625</v>
      </c>
      <c r="BS73" s="45">
        <f t="shared" ref="BS73:BS76" si="121">VLOOKUP(BR73+BV$4,CA:CB,2)</f>
        <v>107.2891</v>
      </c>
      <c r="BT73" s="46">
        <f t="shared" si="58"/>
        <v>-72250.000000000378</v>
      </c>
      <c r="BU73" s="46">
        <f t="shared" si="59"/>
        <v>281250</v>
      </c>
      <c r="BV73" s="45">
        <f t="shared" ref="BV73:BV76" si="122">VLOOKUP(BR73+BV$4,CC:CD,2)</f>
        <v>49.551000000000002</v>
      </c>
      <c r="BW73" s="46">
        <f t="shared" si="61"/>
        <v>37293.749999999818</v>
      </c>
      <c r="BX73" s="47">
        <f t="shared" si="62"/>
        <v>281250</v>
      </c>
      <c r="BY73" s="45">
        <f t="shared" ref="BY73:BY76" si="123">BT73+BU73-BW73-BX73</f>
        <v>-109543.7500000002</v>
      </c>
      <c r="CA73" s="126">
        <v>45874.625</v>
      </c>
      <c r="CB73" s="54">
        <v>106.9378</v>
      </c>
      <c r="CC73" s="126">
        <v>45874.625</v>
      </c>
      <c r="CD73" s="54">
        <v>52.485999999999997</v>
      </c>
      <c r="CF73" s="137">
        <v>45947.625</v>
      </c>
      <c r="CG73" s="45">
        <f t="shared" ref="CG73:CG77" si="124">VLOOKUP(CF73+CJ$4,CO:CP,2)</f>
        <v>255.01499999999999</v>
      </c>
      <c r="CH73" s="46">
        <f t="shared" si="64"/>
        <v>112358.40000000024</v>
      </c>
      <c r="CI73" s="46">
        <f t="shared" si="65"/>
        <v>236250</v>
      </c>
      <c r="CJ73" s="45">
        <f t="shared" ref="CJ73:CJ77" si="125">VLOOKUP(CF73+CJ$4,CQ:CR,2)</f>
        <v>51.85</v>
      </c>
      <c r="CK73" s="46">
        <f t="shared" si="67"/>
        <v>40774.859999999797</v>
      </c>
      <c r="CL73" s="47">
        <f t="shared" si="68"/>
        <v>212625</v>
      </c>
      <c r="CM73" s="45">
        <f t="shared" ref="CM73:CM77" si="126">CH73+CI73-CK73-CL73</f>
        <v>95208.540000000445</v>
      </c>
      <c r="CO73" s="126">
        <v>45870.625</v>
      </c>
      <c r="CP73" s="54">
        <v>281.363</v>
      </c>
      <c r="CQ73" s="126">
        <v>45870.625</v>
      </c>
      <c r="CR73" s="54">
        <v>56.575000000000003</v>
      </c>
      <c r="DF73" s="137">
        <v>45948.625</v>
      </c>
      <c r="DG73" s="56">
        <f t="shared" si="101"/>
        <v>-117940.78457909863</v>
      </c>
      <c r="DH73" s="56">
        <f t="shared" si="102"/>
        <v>-206399.57028441329</v>
      </c>
      <c r="DI73" s="56">
        <f t="shared" si="103"/>
        <v>-109543.7500000002</v>
      </c>
      <c r="DJ73" s="56">
        <f t="shared" si="104"/>
        <v>95500.206666667073</v>
      </c>
      <c r="DK73" s="56">
        <f t="shared" si="105"/>
        <v>722.77608666665037</v>
      </c>
      <c r="DL73" s="56">
        <f t="shared" si="106"/>
        <v>276.48545231897151</v>
      </c>
      <c r="DM73" s="56">
        <f t="shared" si="107"/>
        <v>0</v>
      </c>
      <c r="DN73" s="56">
        <f t="shared" si="108"/>
        <v>291.66666666662786</v>
      </c>
      <c r="DO73" s="56">
        <f t="shared" si="109"/>
        <v>722.77608666665037</v>
      </c>
      <c r="DP73" s="56">
        <f t="shared" si="110"/>
        <v>276.48545231897151</v>
      </c>
      <c r="DQ73" s="56">
        <f t="shared" si="111"/>
        <v>0</v>
      </c>
      <c r="DR73" s="56">
        <f t="shared" si="112"/>
        <v>291.66666666662786</v>
      </c>
      <c r="DS73" s="56">
        <f>SUM(DO$15:DO73)</f>
        <v>-126335.112499635</v>
      </c>
      <c r="DT73" s="56">
        <f>SUM(DP$15:DP73)</f>
        <v>-198789.94986359688</v>
      </c>
      <c r="DU73" s="56">
        <f>SUM(DQ$15:DQ73)</f>
        <v>-94862.499999997584</v>
      </c>
      <c r="DV73" s="56">
        <f>SUM(DR$15:DR73)</f>
        <v>77986.440000000206</v>
      </c>
      <c r="DZ73" s="137">
        <v>45948.625</v>
      </c>
      <c r="EA73" s="147">
        <f t="shared" si="70"/>
        <v>-126335.112499635</v>
      </c>
      <c r="EB73" s="147">
        <f t="shared" si="72"/>
        <v>-198789.94986359688</v>
      </c>
      <c r="EC73" s="147">
        <f t="shared" si="73"/>
        <v>77986.440000000206</v>
      </c>
      <c r="ED73" s="147">
        <f t="shared" si="74"/>
        <v>-94862.499999997584</v>
      </c>
    </row>
    <row r="74" spans="1:134" x14ac:dyDescent="0.3">
      <c r="A74" s="137">
        <v>45930.625</v>
      </c>
      <c r="B74" s="73">
        <f t="shared" si="27"/>
        <v>92.47</v>
      </c>
      <c r="C74" s="31">
        <f t="shared" si="28"/>
        <v>-319808.30670926551</v>
      </c>
      <c r="D74" s="32">
        <f t="shared" si="29"/>
        <v>-207270</v>
      </c>
      <c r="E74" s="73">
        <f t="shared" si="30"/>
        <v>100.89400000000001</v>
      </c>
      <c r="F74" s="31">
        <f t="shared" si="31"/>
        <v>-58295.999999999025</v>
      </c>
      <c r="G74" s="32">
        <f t="shared" si="32"/>
        <v>-73793.776559999998</v>
      </c>
      <c r="H74" s="73">
        <f t="shared" si="33"/>
        <v>120.78</v>
      </c>
      <c r="I74" s="31">
        <f t="shared" si="34"/>
        <v>-331865.46349466976</v>
      </c>
      <c r="J74" s="32">
        <f t="shared" si="35"/>
        <v>-356504.4</v>
      </c>
      <c r="K74" s="73">
        <f t="shared" si="36"/>
        <v>99.484999999999999</v>
      </c>
      <c r="L74" s="31">
        <f t="shared" si="37"/>
        <v>-94710.00000000195</v>
      </c>
      <c r="M74" s="32">
        <f t="shared" si="38"/>
        <v>-162314.98527999996</v>
      </c>
      <c r="N74" s="79">
        <f t="shared" si="17"/>
        <v>36356.348065401282</v>
      </c>
      <c r="O74" s="79"/>
      <c r="P74" s="79"/>
      <c r="Q74" s="79">
        <f>$G$5*SUM($O$14:O74)-$H$5*SUM($P$14:P74)</f>
        <v>-35590.730199999991</v>
      </c>
      <c r="R74" s="79">
        <f t="shared" si="18"/>
        <v>765.61786540129106</v>
      </c>
      <c r="S74" s="138"/>
      <c r="U74" s="72">
        <v>45873.625</v>
      </c>
      <c r="V74" s="54">
        <v>94.38</v>
      </c>
      <c r="W74" s="72">
        <v>45869.625</v>
      </c>
      <c r="X74" s="54">
        <v>101.02200000000001</v>
      </c>
      <c r="Y74" s="122">
        <v>45876.625</v>
      </c>
      <c r="Z74" s="54">
        <v>120.52</v>
      </c>
      <c r="AA74" s="72">
        <v>45945.625</v>
      </c>
      <c r="AB74" s="54">
        <v>100.18899999999999</v>
      </c>
      <c r="AF74" s="137">
        <v>45948.625</v>
      </c>
      <c r="AG74" s="45">
        <f t="shared" si="113"/>
        <v>80.72</v>
      </c>
      <c r="AH74" s="46">
        <f t="shared" si="40"/>
        <v>83903.045369793093</v>
      </c>
      <c r="AI74" s="46">
        <f t="shared" si="41"/>
        <v>-240874.99999999997</v>
      </c>
      <c r="AJ74" s="45">
        <f t="shared" si="114"/>
        <v>101.296875</v>
      </c>
      <c r="AK74" s="46">
        <f t="shared" si="43"/>
        <v>240485.49107142858</v>
      </c>
      <c r="AL74" s="47">
        <f t="shared" si="44"/>
        <v>-10686.149321056568</v>
      </c>
      <c r="AM74" s="45">
        <f t="shared" si="115"/>
        <v>112.2</v>
      </c>
      <c r="AN74" s="46">
        <f t="shared" si="46"/>
        <v>810885.35441758134</v>
      </c>
      <c r="AO74" s="47">
        <f t="shared" si="47"/>
        <v>-247757.14285714284</v>
      </c>
      <c r="AP74" s="45">
        <f t="shared" si="116"/>
        <v>101.296875</v>
      </c>
      <c r="AQ74" s="46">
        <f t="shared" si="49"/>
        <v>209654.01785714287</v>
      </c>
      <c r="AR74" s="47">
        <f t="shared" si="50"/>
        <v>-9316.1301773313462</v>
      </c>
      <c r="AS74" s="45">
        <f t="shared" si="117"/>
        <v>105.109375</v>
      </c>
      <c r="AT74" s="46">
        <f t="shared" si="52"/>
        <v>178292.41071428571</v>
      </c>
      <c r="AU74" s="47">
        <f t="shared" si="53"/>
        <v>3900.5292038690532</v>
      </c>
      <c r="AV74" s="45">
        <f t="shared" si="118"/>
        <v>100.40625</v>
      </c>
      <c r="AW74" s="46">
        <f t="shared" si="55"/>
        <v>421875</v>
      </c>
      <c r="AX74" s="47">
        <f t="shared" si="56"/>
        <v>10519.115885416672</v>
      </c>
      <c r="AY74" s="79">
        <f t="shared" si="119"/>
        <v>-134974.56445763441</v>
      </c>
      <c r="AZ74" s="79"/>
      <c r="BA74" s="79"/>
      <c r="BB74" s="79">
        <f>$AO$4*SUM($AZ$14:AZ74)-$AP$4*SUM($BA$14:BA74)</f>
        <v>71425.005826778885</v>
      </c>
      <c r="BC74" s="79">
        <f t="shared" si="120"/>
        <v>-206399.57028441329</v>
      </c>
      <c r="BE74" s="72">
        <v>45870.625</v>
      </c>
      <c r="BF74" s="54">
        <v>79.98</v>
      </c>
      <c r="BI74" s="72">
        <v>45870.625</v>
      </c>
      <c r="BJ74" s="54">
        <v>109.63</v>
      </c>
      <c r="BM74" s="72">
        <v>45870.625</v>
      </c>
      <c r="BN74" s="54">
        <v>103.359375</v>
      </c>
      <c r="BO74" s="72">
        <v>45870.625</v>
      </c>
      <c r="BP74" s="54">
        <v>97.03125</v>
      </c>
      <c r="BR74" s="128">
        <f t="shared" si="20"/>
        <v>45948.625</v>
      </c>
      <c r="BS74" s="45">
        <f t="shared" si="121"/>
        <v>107.2891</v>
      </c>
      <c r="BT74" s="46">
        <f t="shared" si="58"/>
        <v>-72250.000000000378</v>
      </c>
      <c r="BU74" s="46">
        <f t="shared" si="59"/>
        <v>284722.22222222219</v>
      </c>
      <c r="BV74" s="45">
        <f t="shared" si="122"/>
        <v>49.551000000000002</v>
      </c>
      <c r="BW74" s="46">
        <f t="shared" si="61"/>
        <v>37293.749999999818</v>
      </c>
      <c r="BX74" s="47">
        <f t="shared" si="62"/>
        <v>284722.22222222219</v>
      </c>
      <c r="BY74" s="45">
        <f t="shared" si="123"/>
        <v>-109543.7500000002</v>
      </c>
      <c r="CA74" s="126">
        <v>45875.625</v>
      </c>
      <c r="CB74" s="54">
        <v>107.005</v>
      </c>
      <c r="CC74" s="126">
        <v>45875.625</v>
      </c>
      <c r="CD74" s="54">
        <v>52.058999999999997</v>
      </c>
      <c r="CF74" s="137">
        <v>45948.625</v>
      </c>
      <c r="CG74" s="45">
        <f t="shared" si="124"/>
        <v>255.01499999999999</v>
      </c>
      <c r="CH74" s="46">
        <f t="shared" si="64"/>
        <v>112358.40000000024</v>
      </c>
      <c r="CI74" s="46">
        <f t="shared" si="65"/>
        <v>239166.66666666666</v>
      </c>
      <c r="CJ74" s="45">
        <f t="shared" si="125"/>
        <v>51.85</v>
      </c>
      <c r="CK74" s="46">
        <f t="shared" si="67"/>
        <v>40774.859999999797</v>
      </c>
      <c r="CL74" s="47">
        <f t="shared" si="68"/>
        <v>215250</v>
      </c>
      <c r="CM74" s="45">
        <f t="shared" si="126"/>
        <v>95500.206666667073</v>
      </c>
      <c r="CO74" s="126">
        <v>45873.625</v>
      </c>
      <c r="CP74" s="54">
        <v>276.33199999999999</v>
      </c>
      <c r="CQ74" s="126">
        <v>45873.625</v>
      </c>
      <c r="CR74" s="54">
        <v>55.798000000000002</v>
      </c>
      <c r="DF74" s="137">
        <v>45949.625</v>
      </c>
      <c r="DG74" s="56">
        <f t="shared" si="101"/>
        <v>-117218.00849243195</v>
      </c>
      <c r="DH74" s="56">
        <f t="shared" si="102"/>
        <v>-206123.08483209435</v>
      </c>
      <c r="DI74" s="56">
        <f t="shared" si="103"/>
        <v>-109543.75000000026</v>
      </c>
      <c r="DJ74" s="56">
        <f t="shared" si="104"/>
        <v>95791.873333333817</v>
      </c>
      <c r="DK74" s="56">
        <f t="shared" si="105"/>
        <v>722.77608666667948</v>
      </c>
      <c r="DL74" s="56">
        <f t="shared" si="106"/>
        <v>276.48545231894241</v>
      </c>
      <c r="DM74" s="56">
        <f t="shared" si="107"/>
        <v>0</v>
      </c>
      <c r="DN74" s="56">
        <f t="shared" si="108"/>
        <v>291.66666666674428</v>
      </c>
      <c r="DO74" s="56">
        <f t="shared" si="109"/>
        <v>722.77608666667948</v>
      </c>
      <c r="DP74" s="56">
        <f t="shared" si="110"/>
        <v>276.48545231894241</v>
      </c>
      <c r="DQ74" s="56">
        <f t="shared" si="111"/>
        <v>0</v>
      </c>
      <c r="DR74" s="56">
        <f t="shared" si="112"/>
        <v>291.66666666674428</v>
      </c>
      <c r="DS74" s="56">
        <f>SUM(DO$15:DO74)</f>
        <v>-125612.33641296832</v>
      </c>
      <c r="DT74" s="56">
        <f>SUM(DP$15:DP74)</f>
        <v>-198513.46441127794</v>
      </c>
      <c r="DU74" s="56">
        <f>SUM(DQ$15:DQ74)</f>
        <v>-94862.499999997584</v>
      </c>
      <c r="DV74" s="56">
        <f>SUM(DR$15:DR74)</f>
        <v>78278.10666666695</v>
      </c>
      <c r="DZ74" s="137">
        <v>45949.625</v>
      </c>
      <c r="EA74" s="147">
        <f t="shared" si="70"/>
        <v>-125612.33641296832</v>
      </c>
      <c r="EB74" s="147">
        <f t="shared" si="72"/>
        <v>-198513.46441127794</v>
      </c>
      <c r="EC74" s="147">
        <f t="shared" si="73"/>
        <v>78278.10666666695</v>
      </c>
      <c r="ED74" s="147">
        <f t="shared" si="74"/>
        <v>-94862.499999997584</v>
      </c>
    </row>
    <row r="75" spans="1:134" x14ac:dyDescent="0.3">
      <c r="A75" s="137">
        <v>45931.625</v>
      </c>
      <c r="B75" s="73">
        <f t="shared" si="27"/>
        <v>92.57</v>
      </c>
      <c r="C75" s="31">
        <f t="shared" si="28"/>
        <v>-297444.08945687296</v>
      </c>
      <c r="D75" s="32">
        <f t="shared" si="29"/>
        <v>-209737.5</v>
      </c>
      <c r="E75" s="73">
        <f t="shared" si="30"/>
        <v>100.92</v>
      </c>
      <c r="F75" s="31">
        <f t="shared" si="31"/>
        <v>-53927.999999999651</v>
      </c>
      <c r="G75" s="32">
        <f t="shared" si="32"/>
        <v>-74672.273900000015</v>
      </c>
      <c r="H75" s="73">
        <f t="shared" si="33"/>
        <v>120.85</v>
      </c>
      <c r="I75" s="31">
        <f t="shared" si="34"/>
        <v>-311123.8720262539</v>
      </c>
      <c r="J75" s="32">
        <f t="shared" si="35"/>
        <v>-360748.5</v>
      </c>
      <c r="K75" s="73">
        <f t="shared" si="36"/>
        <v>99.536000000000001</v>
      </c>
      <c r="L75" s="31">
        <f t="shared" si="37"/>
        <v>-77145.600000001286</v>
      </c>
      <c r="M75" s="32">
        <f t="shared" si="38"/>
        <v>-164247.30653333335</v>
      </c>
      <c r="N75" s="79">
        <f t="shared" si="17"/>
        <v>51898.149936045986</v>
      </c>
      <c r="O75" s="79"/>
      <c r="P75" s="79"/>
      <c r="Q75" s="79">
        <f>$G$5*SUM($O$14:O75)-$H$5*SUM($P$14:P75)</f>
        <v>-35590.730199999991</v>
      </c>
      <c r="R75" s="79">
        <f t="shared" si="18"/>
        <v>16307.419736045995</v>
      </c>
      <c r="S75" s="138"/>
      <c r="U75" s="72">
        <v>45874.625</v>
      </c>
      <c r="V75" s="54">
        <v>94.45</v>
      </c>
      <c r="W75" s="72">
        <v>45870.625</v>
      </c>
      <c r="X75" s="54">
        <v>101.155</v>
      </c>
      <c r="Y75" s="122">
        <v>45877.625</v>
      </c>
      <c r="Z75" s="54">
        <v>120.29</v>
      </c>
      <c r="AA75" s="72">
        <v>45946.625</v>
      </c>
      <c r="AB75" s="54">
        <v>100.14700000000001</v>
      </c>
      <c r="AF75" s="137">
        <v>45949.625</v>
      </c>
      <c r="AG75" s="45">
        <f t="shared" si="113"/>
        <v>80.72</v>
      </c>
      <c r="AH75" s="46">
        <f t="shared" si="40"/>
        <v>83903.045369793093</v>
      </c>
      <c r="AI75" s="46">
        <f t="shared" si="41"/>
        <v>-243812.5</v>
      </c>
      <c r="AJ75" s="45">
        <f t="shared" si="114"/>
        <v>101.296875</v>
      </c>
      <c r="AK75" s="46">
        <f t="shared" si="43"/>
        <v>240485.49107142858</v>
      </c>
      <c r="AL75" s="47">
        <f t="shared" si="44"/>
        <v>-10816.468215215762</v>
      </c>
      <c r="AM75" s="45">
        <f t="shared" si="115"/>
        <v>112.2</v>
      </c>
      <c r="AN75" s="46">
        <f t="shared" si="46"/>
        <v>810885.35441758134</v>
      </c>
      <c r="AO75" s="47">
        <f t="shared" si="47"/>
        <v>-250778.57142857145</v>
      </c>
      <c r="AP75" s="45">
        <f t="shared" si="116"/>
        <v>101.296875</v>
      </c>
      <c r="AQ75" s="46">
        <f t="shared" si="49"/>
        <v>209654.01785714287</v>
      </c>
      <c r="AR75" s="47">
        <f t="shared" si="50"/>
        <v>-9429.7415209573228</v>
      </c>
      <c r="AS75" s="45">
        <f t="shared" si="117"/>
        <v>105.109375</v>
      </c>
      <c r="AT75" s="46">
        <f t="shared" si="52"/>
        <v>178292.41071428571</v>
      </c>
      <c r="AU75" s="47">
        <f t="shared" si="53"/>
        <v>3948.0966331845339</v>
      </c>
      <c r="AV75" s="45">
        <f t="shared" si="118"/>
        <v>100.40625</v>
      </c>
      <c r="AW75" s="46">
        <f t="shared" si="55"/>
        <v>421875</v>
      </c>
      <c r="AX75" s="47">
        <f t="shared" si="56"/>
        <v>10647.397786458343</v>
      </c>
      <c r="AY75" s="79">
        <f t="shared" si="119"/>
        <v>-134698.07900531546</v>
      </c>
      <c r="AZ75" s="79"/>
      <c r="BA75" s="79"/>
      <c r="BB75" s="79">
        <f>$AO$4*SUM($AZ$14:AZ75)-$AP$4*SUM($BA$14:BA75)</f>
        <v>71425.005826778885</v>
      </c>
      <c r="BC75" s="79">
        <f t="shared" si="120"/>
        <v>-206123.08483209435</v>
      </c>
      <c r="BE75" s="72">
        <v>45873.625</v>
      </c>
      <c r="BF75" s="54">
        <v>80.25</v>
      </c>
      <c r="BI75" s="72">
        <v>45873.625</v>
      </c>
      <c r="BJ75" s="54">
        <v>109.82</v>
      </c>
      <c r="BM75" s="72">
        <v>45873.625</v>
      </c>
      <c r="BN75" s="54">
        <v>103.46875</v>
      </c>
      <c r="BO75" s="72">
        <v>45873.625</v>
      </c>
      <c r="BP75" s="54">
        <v>97.28125</v>
      </c>
      <c r="BR75" s="128">
        <f t="shared" si="20"/>
        <v>45949.625</v>
      </c>
      <c r="BS75" s="45">
        <f t="shared" si="121"/>
        <v>107.2891</v>
      </c>
      <c r="BT75" s="46">
        <f t="shared" si="58"/>
        <v>-72250.000000000378</v>
      </c>
      <c r="BU75" s="46">
        <f t="shared" si="59"/>
        <v>288194.44444444444</v>
      </c>
      <c r="BV75" s="45">
        <f t="shared" si="122"/>
        <v>49.551000000000002</v>
      </c>
      <c r="BW75" s="46">
        <f t="shared" si="61"/>
        <v>37293.749999999818</v>
      </c>
      <c r="BX75" s="47">
        <f t="shared" si="62"/>
        <v>288194.4444444445</v>
      </c>
      <c r="BY75" s="45">
        <f t="shared" si="123"/>
        <v>-109543.75000000026</v>
      </c>
      <c r="CA75" s="126">
        <v>45876.625</v>
      </c>
      <c r="CB75" s="54">
        <v>106.95959999999999</v>
      </c>
      <c r="CC75" s="126">
        <v>45876.625</v>
      </c>
      <c r="CD75" s="54">
        <v>52.031999999999996</v>
      </c>
      <c r="CF75" s="137">
        <v>45949.625</v>
      </c>
      <c r="CG75" s="45">
        <f t="shared" si="124"/>
        <v>255.01499999999999</v>
      </c>
      <c r="CH75" s="46">
        <f t="shared" si="64"/>
        <v>112358.40000000024</v>
      </c>
      <c r="CI75" s="46">
        <f t="shared" si="65"/>
        <v>242083.33333333337</v>
      </c>
      <c r="CJ75" s="45">
        <f t="shared" si="125"/>
        <v>51.85</v>
      </c>
      <c r="CK75" s="46">
        <f t="shared" si="67"/>
        <v>40774.859999999797</v>
      </c>
      <c r="CL75" s="47">
        <f t="shared" si="68"/>
        <v>217875</v>
      </c>
      <c r="CM75" s="45">
        <f t="shared" si="126"/>
        <v>95791.873333333817</v>
      </c>
      <c r="CO75" s="126">
        <v>45874.625</v>
      </c>
      <c r="CP75" s="54">
        <v>275.041</v>
      </c>
      <c r="CQ75" s="126">
        <v>45874.625</v>
      </c>
      <c r="CR75" s="54">
        <v>55.579000000000001</v>
      </c>
      <c r="DF75" s="137">
        <v>45950.625</v>
      </c>
      <c r="DG75" s="56">
        <f t="shared" si="101"/>
        <v>-96108.039698179142</v>
      </c>
      <c r="DH75" s="56">
        <f t="shared" si="102"/>
        <v>-202995.53782361589</v>
      </c>
      <c r="DI75" s="56">
        <f t="shared" si="103"/>
        <v>-124100.00000000338</v>
      </c>
      <c r="DJ75" s="56">
        <f t="shared" si="104"/>
        <v>89817.770000000251</v>
      </c>
      <c r="DK75" s="56">
        <f t="shared" si="105"/>
        <v>21109.968794252811</v>
      </c>
      <c r="DL75" s="56">
        <f t="shared" si="106"/>
        <v>3127.5470084784611</v>
      </c>
      <c r="DM75" s="56">
        <f t="shared" si="107"/>
        <v>-14556.250000003114</v>
      </c>
      <c r="DN75" s="56">
        <f t="shared" si="108"/>
        <v>-5974.1033333335654</v>
      </c>
      <c r="DO75" s="56">
        <f t="shared" si="109"/>
        <v>21109.968794252811</v>
      </c>
      <c r="DP75" s="56">
        <f t="shared" si="110"/>
        <v>3127.5470084784611</v>
      </c>
      <c r="DQ75" s="56">
        <f t="shared" si="111"/>
        <v>-14556.250000003114</v>
      </c>
      <c r="DR75" s="56">
        <f t="shared" si="112"/>
        <v>-5974.1033333335654</v>
      </c>
      <c r="DS75" s="56">
        <f>SUM(DO$15:DO75)</f>
        <v>-104502.36761871551</v>
      </c>
      <c r="DT75" s="56">
        <f>SUM(DP$15:DP75)</f>
        <v>-195385.91740279947</v>
      </c>
      <c r="DU75" s="56">
        <f>SUM(DQ$15:DQ75)</f>
        <v>-109418.7500000007</v>
      </c>
      <c r="DV75" s="56">
        <f>SUM(DR$15:DR75)</f>
        <v>72304.003333333385</v>
      </c>
      <c r="DZ75" s="137">
        <v>45950.625</v>
      </c>
      <c r="EA75" s="147">
        <f t="shared" si="70"/>
        <v>-104502.36761871551</v>
      </c>
      <c r="EB75" s="147">
        <f t="shared" si="72"/>
        <v>-195385.91740279947</v>
      </c>
      <c r="EC75" s="147">
        <f t="shared" si="73"/>
        <v>72304.003333333385</v>
      </c>
      <c r="ED75" s="147">
        <f t="shared" si="74"/>
        <v>-109418.7500000007</v>
      </c>
    </row>
    <row r="76" spans="1:134" x14ac:dyDescent="0.3">
      <c r="A76" s="137">
        <v>45932.625</v>
      </c>
      <c r="B76" s="73">
        <f t="shared" si="27"/>
        <v>92.64</v>
      </c>
      <c r="C76" s="31">
        <f t="shared" si="28"/>
        <v>-281789.13738019398</v>
      </c>
      <c r="D76" s="32">
        <f t="shared" si="29"/>
        <v>-212205</v>
      </c>
      <c r="E76" s="73">
        <f t="shared" si="30"/>
        <v>100.905</v>
      </c>
      <c r="F76" s="31">
        <f t="shared" si="31"/>
        <v>-56447.999999999753</v>
      </c>
      <c r="G76" s="32">
        <f t="shared" si="32"/>
        <v>-75550.771240000031</v>
      </c>
      <c r="H76" s="73">
        <f t="shared" si="33"/>
        <v>120.92</v>
      </c>
      <c r="I76" s="31">
        <f t="shared" si="34"/>
        <v>-290382.28055783408</v>
      </c>
      <c r="J76" s="32">
        <f t="shared" si="35"/>
        <v>-364992.6</v>
      </c>
      <c r="K76" s="73">
        <f t="shared" si="36"/>
        <v>99.51</v>
      </c>
      <c r="L76" s="31">
        <f t="shared" si="37"/>
        <v>-86100</v>
      </c>
      <c r="M76" s="32">
        <f t="shared" si="38"/>
        <v>-166179.62778666659</v>
      </c>
      <c r="N76" s="79">
        <f t="shared" si="17"/>
        <v>41099.886630973284</v>
      </c>
      <c r="O76" s="79"/>
      <c r="P76" s="79"/>
      <c r="Q76" s="79">
        <f>$G$5*SUM($O$14:O76)-$H$5*SUM($P$14:P76)</f>
        <v>-35590.730199999991</v>
      </c>
      <c r="R76" s="79">
        <f t="shared" si="18"/>
        <v>5509.156430973293</v>
      </c>
      <c r="S76" s="138"/>
      <c r="U76" s="72">
        <v>45875.625</v>
      </c>
      <c r="V76" s="54">
        <v>94.47</v>
      </c>
      <c r="W76" s="72">
        <v>45873.625</v>
      </c>
      <c r="X76" s="54">
        <v>101.214</v>
      </c>
      <c r="Y76" s="122">
        <v>45880.625</v>
      </c>
      <c r="Z76" s="54">
        <v>120.27</v>
      </c>
      <c r="AA76" s="72">
        <v>45947.625</v>
      </c>
      <c r="AB76" s="54">
        <v>100.146</v>
      </c>
      <c r="AF76" s="137">
        <v>45950.625</v>
      </c>
      <c r="AG76" s="45">
        <f t="shared" si="113"/>
        <v>80.88</v>
      </c>
      <c r="AH76" s="46">
        <f t="shared" si="40"/>
        <v>133623.36855189395</v>
      </c>
      <c r="AI76" s="46">
        <f t="shared" si="41"/>
        <v>-246749.99999999997</v>
      </c>
      <c r="AJ76" s="45">
        <f t="shared" si="114"/>
        <v>101.3515625</v>
      </c>
      <c r="AK76" s="46">
        <f t="shared" si="43"/>
        <v>248102.67857142855</v>
      </c>
      <c r="AL76" s="47">
        <f t="shared" si="44"/>
        <v>-10946.787109375</v>
      </c>
      <c r="AM76" s="45">
        <f t="shared" si="115"/>
        <v>112.54</v>
      </c>
      <c r="AN76" s="46">
        <f t="shared" si="46"/>
        <v>891264.66068637988</v>
      </c>
      <c r="AO76" s="47">
        <f t="shared" si="47"/>
        <v>-253800.00000000003</v>
      </c>
      <c r="AP76" s="45">
        <f t="shared" si="116"/>
        <v>101.3515625</v>
      </c>
      <c r="AQ76" s="46">
        <f t="shared" si="49"/>
        <v>216294.64285714284</v>
      </c>
      <c r="AR76" s="47">
        <f t="shared" si="50"/>
        <v>-9543.3528645833285</v>
      </c>
      <c r="AS76" s="45">
        <f t="shared" si="117"/>
        <v>105.25</v>
      </c>
      <c r="AT76" s="46">
        <f t="shared" si="52"/>
        <v>185825.89285714287</v>
      </c>
      <c r="AU76" s="47">
        <f t="shared" si="53"/>
        <v>3995.6640625</v>
      </c>
      <c r="AV76" s="45">
        <f t="shared" si="118"/>
        <v>100.765625</v>
      </c>
      <c r="AW76" s="46">
        <f t="shared" si="55"/>
        <v>448828.125</v>
      </c>
      <c r="AX76" s="47">
        <f t="shared" si="56"/>
        <v>10775.6796875</v>
      </c>
      <c r="AY76" s="79">
        <f t="shared" si="119"/>
        <v>-131570.531996837</v>
      </c>
      <c r="AZ76" s="79"/>
      <c r="BA76" s="79"/>
      <c r="BB76" s="79">
        <f>$AO$4*SUM($AZ$14:AZ76)-$AP$4*SUM($BA$14:BA76)</f>
        <v>71425.005826778885</v>
      </c>
      <c r="BC76" s="79">
        <f t="shared" si="120"/>
        <v>-202995.53782361589</v>
      </c>
      <c r="BE76" s="72">
        <v>45874.625</v>
      </c>
      <c r="BF76" s="54">
        <v>80.209999999999994</v>
      </c>
      <c r="BI76" s="72">
        <v>45874.625</v>
      </c>
      <c r="BJ76" s="54">
        <v>109.9</v>
      </c>
      <c r="BM76" s="72">
        <v>45874.625</v>
      </c>
      <c r="BN76" s="54">
        <v>103.4375</v>
      </c>
      <c r="BO76" s="72">
        <v>45874.625</v>
      </c>
      <c r="BP76" s="54">
        <v>97.59375</v>
      </c>
      <c r="BR76" s="128">
        <f t="shared" si="20"/>
        <v>45950.625</v>
      </c>
      <c r="BS76" s="45">
        <f t="shared" si="121"/>
        <v>107.59739999999999</v>
      </c>
      <c r="BT76" s="46">
        <f t="shared" si="58"/>
        <v>4824.9999999967486</v>
      </c>
      <c r="BU76" s="46">
        <f t="shared" si="59"/>
        <v>291666.66666666669</v>
      </c>
      <c r="BV76" s="45">
        <f t="shared" si="122"/>
        <v>47.921999999999997</v>
      </c>
      <c r="BW76" s="46">
        <f t="shared" si="61"/>
        <v>128925.00000000012</v>
      </c>
      <c r="BX76" s="47">
        <f t="shared" si="62"/>
        <v>291666.66666666669</v>
      </c>
      <c r="BY76" s="45">
        <f t="shared" si="123"/>
        <v>-124100.00000000338</v>
      </c>
      <c r="CA76" s="126">
        <v>45877.625</v>
      </c>
      <c r="CB76" s="54">
        <v>107.1588</v>
      </c>
      <c r="CC76" s="126">
        <v>45877.625</v>
      </c>
      <c r="CD76" s="54">
        <v>51.154000000000003</v>
      </c>
      <c r="CF76" s="137">
        <v>45950.625</v>
      </c>
      <c r="CG76" s="45">
        <f t="shared" si="124"/>
        <v>246.98500000000001</v>
      </c>
      <c r="CH76" s="46">
        <f t="shared" si="64"/>
        <v>186555.6</v>
      </c>
      <c r="CI76" s="46">
        <f t="shared" si="65"/>
        <v>245000</v>
      </c>
      <c r="CJ76" s="45">
        <f t="shared" si="125"/>
        <v>49.999000000000002</v>
      </c>
      <c r="CK76" s="46">
        <f t="shared" si="67"/>
        <v>121237.82999999975</v>
      </c>
      <c r="CL76" s="47">
        <f t="shared" si="68"/>
        <v>220500</v>
      </c>
      <c r="CM76" s="45">
        <f t="shared" si="126"/>
        <v>89817.770000000251</v>
      </c>
      <c r="CO76" s="126">
        <v>45875.625</v>
      </c>
      <c r="CP76" s="54">
        <v>276.83699999999999</v>
      </c>
      <c r="CQ76" s="126">
        <v>45875.625</v>
      </c>
      <c r="CR76" s="54">
        <v>55.622999999999998</v>
      </c>
      <c r="DF76" s="137">
        <v>45951.625</v>
      </c>
      <c r="DG76" s="56">
        <f t="shared" ref="DG76" si="127">VLOOKUP(DF76,A77:R149,18)</f>
        <v>-67497.263611509843</v>
      </c>
      <c r="DH76" s="56">
        <f t="shared" ref="DH76" si="128">VLOOKUP(DF76,AF77:BC113,24)</f>
        <v>-197611.37317284028</v>
      </c>
      <c r="DI76" s="56">
        <f t="shared" ref="DI76" si="129">VLOOKUP(DF76,BR77:BY113,8)</f>
        <v>-116825.00000000119</v>
      </c>
      <c r="DJ76" s="56">
        <f t="shared" ref="DJ76" si="130">VLOOKUP(DF76,CF77:CM113,8)</f>
        <v>78120.326666666951</v>
      </c>
      <c r="DK76" s="56">
        <f t="shared" ref="DK76" si="131">DG76-DG75</f>
        <v>28610.776086669299</v>
      </c>
      <c r="DL76" s="56">
        <f t="shared" ref="DL76" si="132">DH76-DH75</f>
        <v>5384.1646507756086</v>
      </c>
      <c r="DM76" s="56">
        <f t="shared" ref="DM76" si="133">DI76-DI75</f>
        <v>7275.0000000021828</v>
      </c>
      <c r="DN76" s="56">
        <f t="shared" ref="DN76" si="134">DJ76-DJ75</f>
        <v>-11697.4433333333</v>
      </c>
      <c r="DO76" s="56">
        <f t="shared" ref="DO76" si="135">DK$11*DK76</f>
        <v>28610.776086669299</v>
      </c>
      <c r="DP76" s="56">
        <f t="shared" ref="DP76" si="136">DL$11*DL76</f>
        <v>5384.1646507756086</v>
      </c>
      <c r="DQ76" s="56">
        <f t="shared" ref="DQ76" si="137">DM$11*DM76</f>
        <v>7275.0000000021828</v>
      </c>
      <c r="DR76" s="56">
        <f t="shared" ref="DR76" si="138">DN$11*DN76</f>
        <v>-11697.4433333333</v>
      </c>
      <c r="DS76" s="56">
        <f>SUM(DO$15:DO76)</f>
        <v>-75891.591532046208</v>
      </c>
      <c r="DT76" s="56">
        <f>SUM(DP$15:DP76)</f>
        <v>-190001.75275202387</v>
      </c>
      <c r="DU76" s="56">
        <f>SUM(DQ$15:DQ76)</f>
        <v>-102143.74999999852</v>
      </c>
      <c r="DV76" s="56">
        <f>SUM(DR$15:DR76)</f>
        <v>60606.560000000085</v>
      </c>
      <c r="DZ76" s="137">
        <v>45951.625</v>
      </c>
      <c r="EA76" s="147">
        <f t="shared" ref="EA76" si="139">VLOOKUP(DZ76,DF:DS,14)</f>
        <v>-75891.591532046208</v>
      </c>
      <c r="EB76" s="147">
        <f t="shared" ref="EB76" si="140">VLOOKUP(DZ76,DF:DT,15)</f>
        <v>-190001.75275202387</v>
      </c>
      <c r="EC76" s="147">
        <f t="shared" ref="EC76" si="141">VLOOKUP(DZ76,DF:DV,17)</f>
        <v>60606.560000000085</v>
      </c>
      <c r="ED76" s="147">
        <f t="shared" ref="ED76" si="142">VLOOKUP(DZ76,DF:DU,16)</f>
        <v>-102143.74999999852</v>
      </c>
    </row>
    <row r="77" spans="1:134" x14ac:dyDescent="0.3">
      <c r="A77" s="137">
        <v>45933.625</v>
      </c>
      <c r="B77" s="73">
        <f t="shared" si="27"/>
        <v>92.6</v>
      </c>
      <c r="C77" s="31">
        <f t="shared" si="28"/>
        <v>-290734.8242811524</v>
      </c>
      <c r="D77" s="32">
        <f t="shared" si="29"/>
        <v>-214672.49999999997</v>
      </c>
      <c r="E77" s="73">
        <f t="shared" si="30"/>
        <v>100.893</v>
      </c>
      <c r="F77" s="31">
        <f t="shared" si="31"/>
        <v>-58463.999999999825</v>
      </c>
      <c r="G77" s="32">
        <f t="shared" si="32"/>
        <v>-76429.268579999931</v>
      </c>
      <c r="H77" s="73">
        <f t="shared" si="33"/>
        <v>120.97</v>
      </c>
      <c r="I77" s="31">
        <f t="shared" si="34"/>
        <v>-275566.85808039701</v>
      </c>
      <c r="J77" s="32">
        <f t="shared" si="35"/>
        <v>-369236.69999999995</v>
      </c>
      <c r="K77" s="73">
        <f t="shared" si="36"/>
        <v>99.492999999999995</v>
      </c>
      <c r="L77" s="31">
        <f t="shared" si="37"/>
        <v>-91954.800000003481</v>
      </c>
      <c r="M77" s="32">
        <f t="shared" si="38"/>
        <v>-168111.94903999998</v>
      </c>
      <c r="N77" s="79">
        <f t="shared" si="17"/>
        <v>14222.75333924091</v>
      </c>
      <c r="O77" s="79"/>
      <c r="P77" s="79"/>
      <c r="Q77" s="79">
        <f>$G$5*SUM($O$14:O77)-$H$5*SUM($P$14:P77)</f>
        <v>-35590.730199999991</v>
      </c>
      <c r="R77" s="79">
        <f t="shared" si="18"/>
        <v>-21367.976860759081</v>
      </c>
      <c r="S77" s="138"/>
      <c r="U77" s="72">
        <v>45876.625</v>
      </c>
      <c r="V77" s="54">
        <v>94.64</v>
      </c>
      <c r="W77" s="72">
        <v>45874.625</v>
      </c>
      <c r="X77" s="54">
        <v>101.217</v>
      </c>
      <c r="Y77" s="122">
        <v>45881.625</v>
      </c>
      <c r="Z77" s="54">
        <v>120.15</v>
      </c>
      <c r="AA77" s="72">
        <v>45950.625</v>
      </c>
      <c r="AB77" s="54">
        <v>100.10599999999999</v>
      </c>
      <c r="AF77" s="137">
        <v>45951.625</v>
      </c>
      <c r="AG77" s="45">
        <f t="shared" ref="AG77" si="143">VLOOKUP($AF77+$J$1,BE:BF,2)</f>
        <v>80.760000000000005</v>
      </c>
      <c r="AH77" s="46">
        <f t="shared" si="40"/>
        <v>96333.126165321082</v>
      </c>
      <c r="AI77" s="46">
        <f t="shared" si="41"/>
        <v>-249687.5</v>
      </c>
      <c r="AJ77" s="45">
        <f t="shared" ref="AJ77" si="144">VLOOKUP($AF77+$J$1,BG:BH,2)</f>
        <v>101.421875</v>
      </c>
      <c r="AK77" s="46">
        <f t="shared" si="43"/>
        <v>257896.20535714287</v>
      </c>
      <c r="AL77" s="47">
        <f t="shared" si="44"/>
        <v>-11077.106003534223</v>
      </c>
      <c r="AM77" s="45">
        <f t="shared" ref="AM77" si="145">VLOOKUP($AF77+$J$1,BI:BJ,2)</f>
        <v>112.56</v>
      </c>
      <c r="AN77" s="46">
        <f t="shared" si="46"/>
        <v>895992.85517277906</v>
      </c>
      <c r="AO77" s="47">
        <f t="shared" si="47"/>
        <v>-256821.42857142858</v>
      </c>
      <c r="AP77" s="45">
        <f t="shared" ref="AP77" si="146">VLOOKUP($AF77+$J$1,BK:BL,2)</f>
        <v>101.421875</v>
      </c>
      <c r="AQ77" s="46">
        <f t="shared" si="49"/>
        <v>224832.58928571432</v>
      </c>
      <c r="AR77" s="47">
        <f t="shared" si="50"/>
        <v>-9656.9642082093342</v>
      </c>
      <c r="AS77" s="45">
        <f t="shared" ref="AS77" si="147">VLOOKUP($AF77+$J$1,BM:BN,2)</f>
        <v>105.453125</v>
      </c>
      <c r="AT77" s="46">
        <f t="shared" si="52"/>
        <v>196707.58928571429</v>
      </c>
      <c r="AU77" s="47">
        <f t="shared" si="53"/>
        <v>4043.2314918154734</v>
      </c>
      <c r="AV77" s="45">
        <f t="shared" ref="AV77" si="148">VLOOKUP($AF77+$J$1,BO:BP,2)</f>
        <v>101.265625</v>
      </c>
      <c r="AW77" s="46">
        <f t="shared" si="55"/>
        <v>486328.12500000006</v>
      </c>
      <c r="AX77" s="47">
        <f t="shared" si="56"/>
        <v>10903.961588541672</v>
      </c>
      <c r="AY77" s="79">
        <f t="shared" ref="AY77" si="149">AH77+AI77-AK77-AL77-AN77-AO77+AQ77+AR77+AT77+AU77+AW77+AX77</f>
        <v>-126186.36734606141</v>
      </c>
      <c r="AZ77" s="79"/>
      <c r="BA77" s="79"/>
      <c r="BB77" s="79">
        <f>$AO$4*SUM($AZ$14:AZ77)-$AP$4*SUM($BA$14:BA77)</f>
        <v>71425.005826778885</v>
      </c>
      <c r="BC77" s="79">
        <f t="shared" ref="BC77" si="150">AY77-BB77</f>
        <v>-197611.37317284028</v>
      </c>
      <c r="BE77" s="72">
        <v>45875.625</v>
      </c>
      <c r="BF77" s="54">
        <v>80.290000000000006</v>
      </c>
      <c r="BI77" s="72">
        <v>45875.625</v>
      </c>
      <c r="BJ77" s="54">
        <v>109.87</v>
      </c>
      <c r="BM77" s="72">
        <v>45875.625</v>
      </c>
      <c r="BN77" s="54">
        <v>103.296875</v>
      </c>
      <c r="BO77" s="72">
        <v>45875.625</v>
      </c>
      <c r="BP77" s="54">
        <v>97</v>
      </c>
      <c r="BR77" s="128">
        <f t="shared" si="20"/>
        <v>45951.625</v>
      </c>
      <c r="BS77" s="45">
        <f t="shared" ref="BS77" si="151">VLOOKUP(BR77+BV$4,CA:CB,2)</f>
        <v>107.5437</v>
      </c>
      <c r="BT77" s="46">
        <f t="shared" si="58"/>
        <v>-8600.0000000012733</v>
      </c>
      <c r="BU77" s="46">
        <f t="shared" si="59"/>
        <v>295138.88888888893</v>
      </c>
      <c r="BV77" s="45">
        <f t="shared" ref="BV77" si="152">VLOOKUP(BR77+BV$4,CC:CD,2)</f>
        <v>48.29</v>
      </c>
      <c r="BW77" s="46">
        <f t="shared" si="61"/>
        <v>108224.99999999997</v>
      </c>
      <c r="BX77" s="47">
        <f t="shared" si="62"/>
        <v>295138.88888888888</v>
      </c>
      <c r="BY77" s="45">
        <f t="shared" ref="BY77" si="153">BT77+BU77-BW77-BX77</f>
        <v>-116825.00000000119</v>
      </c>
      <c r="CA77" s="126">
        <v>45880.625</v>
      </c>
      <c r="CB77" s="54">
        <v>107.04949999999999</v>
      </c>
      <c r="CC77" s="126">
        <v>45880.625</v>
      </c>
      <c r="CD77" s="54">
        <v>51.481000000000002</v>
      </c>
      <c r="CF77" s="137">
        <v>45951.625</v>
      </c>
      <c r="CG77" s="45">
        <f t="shared" si="124"/>
        <v>245.77500000000001</v>
      </c>
      <c r="CH77" s="46">
        <f t="shared" si="64"/>
        <v>197736.00000000009</v>
      </c>
      <c r="CI77" s="46">
        <f t="shared" si="65"/>
        <v>247916.66666666666</v>
      </c>
      <c r="CJ77" s="45">
        <f t="shared" si="125"/>
        <v>49.466000000000001</v>
      </c>
      <c r="CK77" s="46">
        <f t="shared" si="67"/>
        <v>144407.33999999979</v>
      </c>
      <c r="CL77" s="47">
        <f t="shared" si="68"/>
        <v>223125</v>
      </c>
      <c r="CM77" s="45">
        <f t="shared" si="126"/>
        <v>78120.326666666951</v>
      </c>
      <c r="CO77" s="126">
        <v>45876.625</v>
      </c>
      <c r="CP77" s="54">
        <v>269.959</v>
      </c>
      <c r="CQ77" s="126">
        <v>45876.625</v>
      </c>
      <c r="CR77" s="54">
        <v>54.149000000000001</v>
      </c>
      <c r="DF77" s="137">
        <v>45952.625</v>
      </c>
      <c r="DG77" s="56">
        <f t="shared" ref="DG77" si="154">VLOOKUP(DF77,A78:R150,18)</f>
        <v>-100248.67658779188</v>
      </c>
      <c r="DH77" s="56">
        <f t="shared" ref="DH77" si="155">VLOOKUP(DF77,AF78:BC114,24)</f>
        <v>-240666.63684391332</v>
      </c>
      <c r="DI77" s="56">
        <f t="shared" ref="DI77" si="156">VLOOKUP(DF77,BR78:BY114,8)</f>
        <v>-128781.25000000093</v>
      </c>
      <c r="DJ77" s="56">
        <f t="shared" ref="DJ77" si="157">VLOOKUP(DF77,CF78:CM114,8)</f>
        <v>80658.573333333537</v>
      </c>
      <c r="DK77" s="56">
        <f t="shared" ref="DK77" si="158">DG77-DG76</f>
        <v>-32751.412976282038</v>
      </c>
      <c r="DL77" s="56">
        <f t="shared" ref="DL77" si="159">DH77-DH76</f>
        <v>-43055.263671073044</v>
      </c>
      <c r="DM77" s="56">
        <f t="shared" ref="DM77" si="160">DI77-DI76</f>
        <v>-11956.249999999738</v>
      </c>
      <c r="DN77" s="56">
        <f t="shared" ref="DN77" si="161">DJ77-DJ76</f>
        <v>2538.246666666586</v>
      </c>
      <c r="DO77" s="56">
        <f t="shared" ref="DO77" si="162">DK$11*DK77</f>
        <v>-32751.412976282038</v>
      </c>
      <c r="DP77" s="56">
        <f t="shared" ref="DP77" si="163">DL$11*DL77</f>
        <v>-43055.263671073044</v>
      </c>
      <c r="DQ77" s="56">
        <f t="shared" ref="DQ77" si="164">DM$11*DM77</f>
        <v>-11956.249999999738</v>
      </c>
      <c r="DR77" s="56">
        <f t="shared" ref="DR77" si="165">DN$11*DN77</f>
        <v>2538.246666666586</v>
      </c>
      <c r="DS77" s="56">
        <f>SUM(DO$15:DO77)</f>
        <v>-108643.00450832825</v>
      </c>
      <c r="DT77" s="56">
        <f>SUM(DP$15:DP77)</f>
        <v>-233057.01642309691</v>
      </c>
      <c r="DU77" s="56">
        <f>SUM(DQ$15:DQ77)</f>
        <v>-114099.99999999825</v>
      </c>
      <c r="DV77" s="56">
        <f>SUM(DR$15:DR77)</f>
        <v>63144.806666666671</v>
      </c>
      <c r="DZ77" s="137">
        <v>45952.625</v>
      </c>
      <c r="EA77" s="147">
        <f t="shared" ref="EA77" si="166">VLOOKUP(DZ77,DF:DS,14)</f>
        <v>-108643.00450832825</v>
      </c>
      <c r="EB77" s="147">
        <f t="shared" ref="EB77" si="167">VLOOKUP(DZ77,DF:DT,15)</f>
        <v>-233057.01642309691</v>
      </c>
      <c r="EC77" s="147">
        <f t="shared" ref="EC77" si="168">VLOOKUP(DZ77,DF:DV,17)</f>
        <v>63144.806666666671</v>
      </c>
      <c r="ED77" s="147">
        <f t="shared" ref="ED77" si="169">VLOOKUP(DZ77,DF:DU,16)</f>
        <v>-114099.99999999825</v>
      </c>
    </row>
    <row r="78" spans="1:134" x14ac:dyDescent="0.3">
      <c r="A78" s="137">
        <v>45936.625</v>
      </c>
      <c r="B78" s="73">
        <f t="shared" si="27"/>
        <v>92.49</v>
      </c>
      <c r="C78" s="31">
        <f t="shared" si="28"/>
        <v>-315335.46325878747</v>
      </c>
      <c r="D78" s="32">
        <f t="shared" si="29"/>
        <v>-222075</v>
      </c>
      <c r="E78" s="73">
        <f t="shared" si="30"/>
        <v>100.928</v>
      </c>
      <c r="F78" s="31">
        <f t="shared" si="31"/>
        <v>-52584.0000000004</v>
      </c>
      <c r="G78" s="32">
        <f t="shared" si="32"/>
        <v>-79064.76059999998</v>
      </c>
      <c r="H78" s="73">
        <f t="shared" si="33"/>
        <v>120.96</v>
      </c>
      <c r="I78" s="31">
        <f t="shared" si="34"/>
        <v>-278529.9425758844</v>
      </c>
      <c r="J78" s="32">
        <f t="shared" si="35"/>
        <v>-381969</v>
      </c>
      <c r="K78" s="73">
        <f t="shared" si="36"/>
        <v>99.536000000000001</v>
      </c>
      <c r="L78" s="31">
        <f t="shared" si="37"/>
        <v>-77145.600000001286</v>
      </c>
      <c r="M78" s="32">
        <f t="shared" si="38"/>
        <v>-173908.91279999999</v>
      </c>
      <c r="N78" s="79">
        <f t="shared" si="17"/>
        <v>3682.7271170959866</v>
      </c>
      <c r="O78" s="79"/>
      <c r="P78" s="79"/>
      <c r="Q78" s="79">
        <f>$G$5*SUM($O$14:O78)-$H$5*SUM($P$14:P78)</f>
        <v>-35590.730199999991</v>
      </c>
      <c r="R78" s="79">
        <f t="shared" si="18"/>
        <v>-31908.003082904004</v>
      </c>
      <c r="S78" s="138"/>
      <c r="U78" s="72">
        <v>45877.625</v>
      </c>
      <c r="V78" s="54">
        <v>94.67</v>
      </c>
      <c r="W78" s="72">
        <v>45875.625</v>
      </c>
      <c r="X78" s="54">
        <v>101.197</v>
      </c>
      <c r="Y78" s="122">
        <v>45882.625</v>
      </c>
      <c r="Z78" s="54">
        <v>120.52</v>
      </c>
      <c r="AA78" s="72">
        <v>45951.625</v>
      </c>
      <c r="AB78" s="54">
        <v>100.206</v>
      </c>
      <c r="AF78" s="137">
        <v>45952.625</v>
      </c>
      <c r="AG78" s="45">
        <f t="shared" ref="AG78" si="170">VLOOKUP($AF78+$J$1,BE:BF,2)</f>
        <v>80.680000000000007</v>
      </c>
      <c r="AH78" s="46">
        <f t="shared" si="40"/>
        <v>71472.964574270663</v>
      </c>
      <c r="AI78" s="46">
        <f t="shared" si="41"/>
        <v>-252625.00000000003</v>
      </c>
      <c r="AJ78" s="45">
        <f t="shared" ref="AJ78" si="171">VLOOKUP($AF78+$J$1,BG:BH,2)</f>
        <v>101.421875</v>
      </c>
      <c r="AK78" s="46">
        <f t="shared" si="43"/>
        <v>257896.20535714287</v>
      </c>
      <c r="AL78" s="47">
        <f t="shared" si="44"/>
        <v>-11207.424897693418</v>
      </c>
      <c r="AM78" s="45">
        <f t="shared" ref="AM78" si="172">VLOOKUP($AF78+$J$1,BI:BJ,2)</f>
        <v>112.67</v>
      </c>
      <c r="AN78" s="46">
        <f t="shared" si="46"/>
        <v>921997.9248479777</v>
      </c>
      <c r="AO78" s="47">
        <f t="shared" si="47"/>
        <v>-259842.85714285716</v>
      </c>
      <c r="AP78" s="45">
        <f t="shared" ref="AP78" si="173">VLOOKUP($AF78+$J$1,BK:BL,2)</f>
        <v>101.421875</v>
      </c>
      <c r="AQ78" s="46">
        <f t="shared" si="49"/>
        <v>224832.58928571432</v>
      </c>
      <c r="AR78" s="47">
        <f t="shared" si="50"/>
        <v>-9770.5755518353108</v>
      </c>
      <c r="AS78" s="45">
        <f t="shared" ref="AS78" si="174">VLOOKUP($AF78+$J$1,BM:BN,2)</f>
        <v>105.484375</v>
      </c>
      <c r="AT78" s="46">
        <f t="shared" si="52"/>
        <v>198381.69642857145</v>
      </c>
      <c r="AU78" s="47">
        <f t="shared" si="53"/>
        <v>4090.7989211309541</v>
      </c>
      <c r="AV78" s="45">
        <f t="shared" ref="AV78" si="175">VLOOKUP($AF78+$J$1,BO:BP,2)</f>
        <v>101.34375</v>
      </c>
      <c r="AW78" s="46">
        <f t="shared" si="55"/>
        <v>492187.5</v>
      </c>
      <c r="AX78" s="47">
        <f t="shared" si="56"/>
        <v>11032.243489583343</v>
      </c>
      <c r="AY78" s="79">
        <f t="shared" ref="AY78" si="176">AH78+AI78-AK78-AL78-AN78-AO78+AQ78+AR78+AT78+AU78+AW78+AX78</f>
        <v>-169241.63101713444</v>
      </c>
      <c r="AZ78" s="79"/>
      <c r="BA78" s="79"/>
      <c r="BB78" s="79">
        <f>$AO$4*SUM($AZ$14:AZ78)-$AP$4*SUM($BA$14:BA78)</f>
        <v>71425.005826778885</v>
      </c>
      <c r="BC78" s="79">
        <f t="shared" ref="BC78" si="177">AY78-BB78</f>
        <v>-240666.63684391332</v>
      </c>
      <c r="BE78" s="72">
        <v>45876.625</v>
      </c>
      <c r="BF78" s="54">
        <v>80.209999999999994</v>
      </c>
      <c r="BI78" s="72">
        <v>45876.625</v>
      </c>
      <c r="BJ78" s="54">
        <v>109.76</v>
      </c>
      <c r="BM78" s="72">
        <v>45876.625</v>
      </c>
      <c r="BN78" s="54">
        <v>103.21875</v>
      </c>
      <c r="BO78" s="72">
        <v>45876.625</v>
      </c>
      <c r="BP78" s="54">
        <v>96.84375</v>
      </c>
      <c r="BR78" s="128">
        <f t="shared" si="20"/>
        <v>45952.625</v>
      </c>
      <c r="BS78" s="45">
        <f t="shared" ref="BS78" si="178">VLOOKUP(BR78+BV$4,CA:CB,2)</f>
        <v>107.3845</v>
      </c>
      <c r="BT78" s="46">
        <f t="shared" si="58"/>
        <v>-48400.000000000888</v>
      </c>
      <c r="BU78" s="46">
        <f t="shared" si="59"/>
        <v>298611.11111111118</v>
      </c>
      <c r="BV78" s="45">
        <f t="shared" ref="BV78" si="179">VLOOKUP(BR78+BV$4,CC:CD,2)</f>
        <v>48.784999999999997</v>
      </c>
      <c r="BW78" s="46">
        <f t="shared" si="61"/>
        <v>80381.250000000131</v>
      </c>
      <c r="BX78" s="47">
        <f t="shared" si="62"/>
        <v>298611.11111111112</v>
      </c>
      <c r="BY78" s="45">
        <f t="shared" ref="BY78" si="180">BT78+BU78-BW78-BX78</f>
        <v>-128781.25000000093</v>
      </c>
      <c r="CA78" s="126">
        <v>45881.625</v>
      </c>
      <c r="CB78" s="54">
        <v>107.3578</v>
      </c>
      <c r="CC78" s="126">
        <v>45881.625</v>
      </c>
      <c r="CD78" s="54">
        <v>50.027000000000001</v>
      </c>
      <c r="CF78" s="137">
        <v>45952.625</v>
      </c>
      <c r="CG78" s="45">
        <f t="shared" ref="CG78" si="181">VLOOKUP(CF78+CJ$4,CO:CP,2)</f>
        <v>247.32900000000001</v>
      </c>
      <c r="CH78" s="46">
        <f t="shared" si="64"/>
        <v>183377.04000000004</v>
      </c>
      <c r="CI78" s="46">
        <f t="shared" si="65"/>
        <v>250833.33333333337</v>
      </c>
      <c r="CJ78" s="45">
        <f t="shared" ref="CJ78" si="182">VLOOKUP(CF78+CJ$4,CQ:CR,2)</f>
        <v>49.847999999999999</v>
      </c>
      <c r="CK78" s="46">
        <f t="shared" si="67"/>
        <v>127801.79999999989</v>
      </c>
      <c r="CL78" s="47">
        <f t="shared" si="68"/>
        <v>225750</v>
      </c>
      <c r="CM78" s="45">
        <f t="shared" ref="CM78" si="183">CH78+CI78-CK78-CL78</f>
        <v>80658.573333333537</v>
      </c>
      <c r="CO78" s="126">
        <v>45877.625</v>
      </c>
      <c r="CP78" s="54">
        <v>267.15899999999999</v>
      </c>
      <c r="CQ78" s="126">
        <v>45877.625</v>
      </c>
      <c r="CR78" s="54">
        <v>53.585000000000001</v>
      </c>
      <c r="DF78" s="137">
        <v>45953.625</v>
      </c>
      <c r="DG78" s="56">
        <f t="shared" ref="DG78" si="184">VLOOKUP(DF78,A79:R151,18)</f>
        <v>-64933.680091057002</v>
      </c>
      <c r="DH78" s="56">
        <f t="shared" ref="DH78" si="185">VLOOKUP(DF78,AF79:BC115,24)</f>
        <v>-220759.58946296124</v>
      </c>
      <c r="DI78" s="56">
        <f t="shared" ref="DI78" si="186">VLOOKUP(DF78,BR79:BY115,8)</f>
        <v>-126625.00000000146</v>
      </c>
      <c r="DJ78" s="56">
        <f t="shared" ref="DJ78" si="187">VLOOKUP(DF78,CF79:CM115,8)</f>
        <v>67449.130000000179</v>
      </c>
      <c r="DK78" s="56">
        <f t="shared" ref="DK78" si="188">DG78-DG77</f>
        <v>35314.996496734879</v>
      </c>
      <c r="DL78" s="56">
        <f t="shared" ref="DL78" si="189">DH78-DH77</f>
        <v>19907.047380952077</v>
      </c>
      <c r="DM78" s="56">
        <f t="shared" ref="DM78" si="190">DI78-DI77</f>
        <v>2156.2499999994761</v>
      </c>
      <c r="DN78" s="56">
        <f t="shared" ref="DN78" si="191">DJ78-DJ77</f>
        <v>-13209.443333333358</v>
      </c>
      <c r="DO78" s="56">
        <f t="shared" ref="DO78" si="192">DK$11*DK78</f>
        <v>35314.996496734879</v>
      </c>
      <c r="DP78" s="56">
        <f t="shared" ref="DP78" si="193">DL$11*DL78</f>
        <v>19907.047380952077</v>
      </c>
      <c r="DQ78" s="56">
        <f t="shared" ref="DQ78" si="194">DM$11*DM78</f>
        <v>2156.2499999994761</v>
      </c>
      <c r="DR78" s="56">
        <f t="shared" ref="DR78" si="195">DN$11*DN78</f>
        <v>-13209.443333333358</v>
      </c>
      <c r="DS78" s="56">
        <f>SUM(DO$15:DO78)</f>
        <v>-73328.008011593367</v>
      </c>
      <c r="DT78" s="56">
        <f>SUM(DP$15:DP78)</f>
        <v>-213149.96904214483</v>
      </c>
      <c r="DU78" s="56">
        <f>SUM(DQ$15:DQ78)</f>
        <v>-111943.74999999878</v>
      </c>
      <c r="DV78" s="56">
        <f>SUM(DR$15:DR78)</f>
        <v>49935.363333333313</v>
      </c>
      <c r="DZ78" s="137">
        <v>45953.625</v>
      </c>
      <c r="EA78" s="147">
        <f t="shared" ref="EA78" si="196">VLOOKUP(DZ78,DF:DS,14)</f>
        <v>-73328.008011593367</v>
      </c>
      <c r="EB78" s="147">
        <f t="shared" ref="EB78" si="197">VLOOKUP(DZ78,DF:DT,15)</f>
        <v>-213149.96904214483</v>
      </c>
      <c r="EC78" s="147">
        <f t="shared" ref="EC78" si="198">VLOOKUP(DZ78,DF:DV,17)</f>
        <v>49935.363333333313</v>
      </c>
      <c r="ED78" s="147">
        <f t="shared" ref="ED78" si="199">VLOOKUP(DZ78,DF:DU,16)</f>
        <v>-111943.74999999878</v>
      </c>
    </row>
    <row r="79" spans="1:134" x14ac:dyDescent="0.3">
      <c r="A79" s="137">
        <v>45937.625</v>
      </c>
      <c r="B79" s="73">
        <f t="shared" si="27"/>
        <v>92.19</v>
      </c>
      <c r="C79" s="31">
        <f t="shared" si="28"/>
        <v>-382428.11501597683</v>
      </c>
      <c r="D79" s="32">
        <f t="shared" si="29"/>
        <v>-224542.49999999997</v>
      </c>
      <c r="E79" s="73">
        <f t="shared" si="30"/>
        <v>100.908</v>
      </c>
      <c r="F79" s="31">
        <f t="shared" si="31"/>
        <v>-55943.999999999731</v>
      </c>
      <c r="G79" s="32">
        <f t="shared" si="32"/>
        <v>-79943.257939999952</v>
      </c>
      <c r="H79" s="73">
        <f t="shared" si="33"/>
        <v>120.93</v>
      </c>
      <c r="I79" s="31">
        <f t="shared" si="34"/>
        <v>-287419.19606234663</v>
      </c>
      <c r="J79" s="32">
        <f t="shared" si="35"/>
        <v>-386213.1</v>
      </c>
      <c r="K79" s="73">
        <f t="shared" si="36"/>
        <v>99.483000000000004</v>
      </c>
      <c r="L79" s="31">
        <f t="shared" si="37"/>
        <v>-95398.800000000352</v>
      </c>
      <c r="M79" s="32">
        <f t="shared" si="38"/>
        <v>-175841.23405333332</v>
      </c>
      <c r="N79" s="79">
        <f t="shared" ref="N79:N86" si="200">C79+D79-F79-G79-I79-J79+L79+M79</f>
        <v>-68691.095066964204</v>
      </c>
      <c r="O79" s="79"/>
      <c r="P79" s="79"/>
      <c r="Q79" s="79">
        <f>$G$5*SUM($O$14:O79)-$H$5*SUM($P$14:P79)</f>
        <v>-35590.730199999991</v>
      </c>
      <c r="R79" s="79">
        <f t="shared" ref="R79:R86" si="201">N79+Q79</f>
        <v>-104281.8252669642</v>
      </c>
      <c r="S79" s="138"/>
      <c r="U79" s="72">
        <v>45880.625</v>
      </c>
      <c r="V79" s="54">
        <v>94.66</v>
      </c>
      <c r="W79" s="72">
        <v>45876.625</v>
      </c>
      <c r="X79" s="54">
        <v>101.16500000000001</v>
      </c>
      <c r="Y79" s="122">
        <v>45883.625</v>
      </c>
      <c r="Z79" s="54">
        <v>120.46</v>
      </c>
      <c r="AA79" s="72">
        <v>45952.625</v>
      </c>
      <c r="AB79" s="54">
        <v>100.13800000000001</v>
      </c>
      <c r="AF79" s="137">
        <v>45953.625</v>
      </c>
      <c r="AG79" s="45">
        <f t="shared" ref="AG79" si="202">VLOOKUP($AF79+$J$1,BE:BF,2)</f>
        <v>80.849999999999994</v>
      </c>
      <c r="AH79" s="46">
        <f t="shared" si="40"/>
        <v>124300.80795524656</v>
      </c>
      <c r="AI79" s="46">
        <f t="shared" si="41"/>
        <v>-255562.5</v>
      </c>
      <c r="AJ79" s="45">
        <f t="shared" ref="AJ79" si="203">VLOOKUP($AF79+$J$1,BG:BH,2)</f>
        <v>101.1875</v>
      </c>
      <c r="AK79" s="46">
        <f t="shared" si="43"/>
        <v>225251.11607142855</v>
      </c>
      <c r="AL79" s="47">
        <f t="shared" si="44"/>
        <v>-11337.743791852656</v>
      </c>
      <c r="AM79" s="45">
        <f t="shared" ref="AM79" si="204">VLOOKUP($AF79+$J$1,BI:BJ,2)</f>
        <v>112.53</v>
      </c>
      <c r="AN79" s="46">
        <f t="shared" si="46"/>
        <v>888900.56344317738</v>
      </c>
      <c r="AO79" s="47">
        <f t="shared" si="47"/>
        <v>-262864.28571428568</v>
      </c>
      <c r="AP79" s="45">
        <f t="shared" ref="AP79" si="205">VLOOKUP($AF79+$J$1,BK:BL,2)</f>
        <v>101.1875</v>
      </c>
      <c r="AQ79" s="46">
        <f t="shared" si="49"/>
        <v>196372.76785714284</v>
      </c>
      <c r="AR79" s="47">
        <f t="shared" si="50"/>
        <v>-9884.1868954613165</v>
      </c>
      <c r="AS79" s="45">
        <f t="shared" ref="AS79" si="206">VLOOKUP($AF79+$J$1,BM:BN,2)</f>
        <v>105.109375</v>
      </c>
      <c r="AT79" s="46">
        <f t="shared" si="52"/>
        <v>178292.41071428571</v>
      </c>
      <c r="AU79" s="47">
        <f t="shared" si="53"/>
        <v>4138.3663504464275</v>
      </c>
      <c r="AV79" s="45">
        <f t="shared" ref="AV79" si="207">VLOOKUP($AF79+$J$1,BO:BP,2)</f>
        <v>100.671875</v>
      </c>
      <c r="AW79" s="46">
        <f t="shared" si="55"/>
        <v>441796.875</v>
      </c>
      <c r="AX79" s="47">
        <f t="shared" si="56"/>
        <v>11160.525390625</v>
      </c>
      <c r="AY79" s="79">
        <f t="shared" ref="AY79" si="208">AH79+AI79-AK79-AL79-AN79-AO79+AQ79+AR79+AT79+AU79+AW79+AX79</f>
        <v>-149334.58363618236</v>
      </c>
      <c r="AZ79" s="79"/>
      <c r="BA79" s="79"/>
      <c r="BB79" s="79">
        <f>$AO$4*SUM($AZ$14:AZ79)-$AP$4*SUM($BA$14:BA79)</f>
        <v>71425.005826778885</v>
      </c>
      <c r="BC79" s="79">
        <f t="shared" ref="BC79" si="209">AY79-BB79</f>
        <v>-220759.58946296124</v>
      </c>
      <c r="BE79" s="72">
        <v>45877.625</v>
      </c>
      <c r="BF79" s="54">
        <v>80.22</v>
      </c>
      <c r="BI79" s="72">
        <v>45877.625</v>
      </c>
      <c r="BJ79" s="54">
        <v>109.41</v>
      </c>
      <c r="BM79" s="72">
        <v>45877.625</v>
      </c>
      <c r="BN79" s="54">
        <v>102.90625</v>
      </c>
      <c r="BO79" s="72">
        <v>45877.625</v>
      </c>
      <c r="BP79" s="54">
        <v>96.375</v>
      </c>
      <c r="BR79" s="128">
        <f t="shared" ref="BR79:BR85" si="210">AF79</f>
        <v>45953.625</v>
      </c>
      <c r="BS79" s="45">
        <f t="shared" ref="BS79" si="211">VLOOKUP(BR79+BV$4,CA:CB,2)</f>
        <v>107.6143</v>
      </c>
      <c r="BT79" s="46">
        <f t="shared" si="58"/>
        <v>9049.9999999984484</v>
      </c>
      <c r="BU79" s="46">
        <f t="shared" si="59"/>
        <v>302083.33333333337</v>
      </c>
      <c r="BV79" s="45">
        <f t="shared" ref="BV79" si="212">VLOOKUP(BR79+BV$4,CC:CD,2)</f>
        <v>47.802</v>
      </c>
      <c r="BW79" s="46">
        <f t="shared" si="61"/>
        <v>135674.99999999994</v>
      </c>
      <c r="BX79" s="47">
        <f t="shared" si="62"/>
        <v>302083.33333333331</v>
      </c>
      <c r="BY79" s="45">
        <f t="shared" ref="BY79" si="213">BT79+BU79-BW79-BX79</f>
        <v>-126625.00000000146</v>
      </c>
      <c r="CA79" s="126">
        <v>45882.625</v>
      </c>
      <c r="CB79" s="54">
        <v>107.5305</v>
      </c>
      <c r="CC79" s="126">
        <v>45882.625</v>
      </c>
      <c r="CD79" s="54">
        <v>49.564</v>
      </c>
      <c r="CF79" s="137">
        <v>45953.625</v>
      </c>
      <c r="CG79" s="45">
        <f t="shared" ref="CG79" si="214">VLOOKUP(CF79+CJ$4,CO:CP,2)</f>
        <v>246.86600000000001</v>
      </c>
      <c r="CH79" s="46">
        <f t="shared" si="64"/>
        <v>187655.16</v>
      </c>
      <c r="CI79" s="46">
        <f t="shared" si="65"/>
        <v>253750</v>
      </c>
      <c r="CJ79" s="45">
        <f t="shared" ref="CJ79" si="215">VLOOKUP(CF79+CJ$4,CQ:CR,2)</f>
        <v>49.439</v>
      </c>
      <c r="CK79" s="46">
        <f t="shared" si="67"/>
        <v>145581.02999999985</v>
      </c>
      <c r="CL79" s="47">
        <f t="shared" si="68"/>
        <v>228375</v>
      </c>
      <c r="CM79" s="45">
        <f t="shared" ref="CM79" si="216">CH79+CI79-CK79-CL79</f>
        <v>67449.130000000179</v>
      </c>
      <c r="CO79" s="126">
        <v>45880.625</v>
      </c>
      <c r="CP79" s="54">
        <v>267.584</v>
      </c>
      <c r="CQ79" s="126">
        <v>45880.625</v>
      </c>
      <c r="CR79" s="54">
        <v>53.674999999999997</v>
      </c>
      <c r="DF79" s="137">
        <v>45954.625</v>
      </c>
      <c r="DG79" s="56">
        <f t="shared" ref="DG79" si="217">VLOOKUP(DF79,A80:R152,18)</f>
        <v>-82452.159707094776</v>
      </c>
      <c r="DH79" s="56">
        <f t="shared" ref="DH79" si="218">VLOOKUP(DF79,AF80:BC116,24)</f>
        <v>-197973.74598573882</v>
      </c>
      <c r="DI79" s="56">
        <f t="shared" ref="DI79" si="219">VLOOKUP(DF79,BR80:BY116,8)</f>
        <v>-120750.00000000253</v>
      </c>
      <c r="DJ79" s="56">
        <f t="shared" ref="DJ79" si="220">VLOOKUP(DF79,CF80:CM116,8)</f>
        <v>72190.696666666947</v>
      </c>
      <c r="DK79" s="56">
        <f t="shared" ref="DK79" si="221">DG79-DG78</f>
        <v>-17518.479616037774</v>
      </c>
      <c r="DL79" s="56">
        <f t="shared" ref="DL79" si="222">DH79-DH78</f>
        <v>22785.843477222428</v>
      </c>
      <c r="DM79" s="56">
        <f t="shared" ref="DM79" si="223">DI79-DI78</f>
        <v>5874.9999999989232</v>
      </c>
      <c r="DN79" s="56">
        <f t="shared" ref="DN79" si="224">DJ79-DJ78</f>
        <v>4741.5666666667676</v>
      </c>
      <c r="DO79" s="56">
        <f t="shared" ref="DO79" si="225">DK$11*DK79</f>
        <v>-17518.479616037774</v>
      </c>
      <c r="DP79" s="56">
        <f t="shared" ref="DP79" si="226">DL$11*DL79</f>
        <v>22785.843477222428</v>
      </c>
      <c r="DQ79" s="56">
        <f t="shared" ref="DQ79" si="227">DM$11*DM79</f>
        <v>5874.9999999989232</v>
      </c>
      <c r="DR79" s="56">
        <f t="shared" ref="DR79" si="228">DN$11*DN79</f>
        <v>4741.5666666667676</v>
      </c>
      <c r="DS79" s="56">
        <f>SUM(DO$15:DO79)</f>
        <v>-90846.487627631141</v>
      </c>
      <c r="DT79" s="56">
        <f>SUM(DP$15:DP79)</f>
        <v>-190364.1255649224</v>
      </c>
      <c r="DU79" s="56">
        <f>SUM(DQ$15:DQ79)</f>
        <v>-106068.74999999985</v>
      </c>
      <c r="DV79" s="56">
        <f>SUM(DR$15:DR79)</f>
        <v>54676.93000000008</v>
      </c>
      <c r="DZ79" s="137">
        <v>45954.625</v>
      </c>
      <c r="EA79" s="147">
        <f t="shared" ref="EA79" si="229">VLOOKUP(DZ79,DF:DS,14)</f>
        <v>-90846.487627631141</v>
      </c>
      <c r="EB79" s="147">
        <f t="shared" ref="EB79" si="230">VLOOKUP(DZ79,DF:DT,15)</f>
        <v>-190364.1255649224</v>
      </c>
      <c r="EC79" s="147">
        <f t="shared" ref="EC79" si="231">VLOOKUP(DZ79,DF:DV,17)</f>
        <v>54676.93000000008</v>
      </c>
      <c r="ED79" s="147">
        <f t="shared" ref="ED79" si="232">VLOOKUP(DZ79,DF:DU,16)</f>
        <v>-106068.74999999985</v>
      </c>
    </row>
    <row r="80" spans="1:134" x14ac:dyDescent="0.3">
      <c r="A80" s="137">
        <v>45938.625</v>
      </c>
      <c r="B80" s="73">
        <f t="shared" ref="B80:B86" si="233">VLOOKUP($A80+$I$2,U$3:V$500,2)</f>
        <v>92.12</v>
      </c>
      <c r="C80" s="31">
        <f t="shared" ref="C80:C96" si="234">(B80/$B$14-1)*$B$5</f>
        <v>-398083.06709265115</v>
      </c>
      <c r="D80" s="32">
        <f t="shared" ref="D80:D96" si="235">-1*(A80-$A$14)/360*$B$7*$B$5</f>
        <v>-227009.99999999997</v>
      </c>
      <c r="E80" s="73">
        <f t="shared" ref="E80:E86" si="236">VLOOKUP($A80+$I$2,W$3:X$500,2)</f>
        <v>100.99299999999999</v>
      </c>
      <c r="F80" s="31">
        <f t="shared" ref="F80:F96" si="237">(E80-$E$14)/100*$C$5</f>
        <v>-41664.000000000779</v>
      </c>
      <c r="G80" s="32">
        <f t="shared" ref="G80:G96" si="238">(A80-$A$14)/360*$C$6*$C$5-(A80-$A$14)/360*$C$7*$C$5*$E$14/100</f>
        <v>-80821.755279999998</v>
      </c>
      <c r="H80" s="73">
        <f t="shared" ref="H80:H86" si="239">VLOOKUP($A80+$I$2,Y$3:Z$500,2)</f>
        <v>121.12</v>
      </c>
      <c r="I80" s="31">
        <f t="shared" ref="I80:I96" si="240">(H80/$H$14-1)*$D$5</f>
        <v>-231120.59064807388</v>
      </c>
      <c r="J80" s="32">
        <f t="shared" ref="J80:J96" si="241">-1*(A80-$A$14)/360*$D$7*$D$5</f>
        <v>-390457.19999999995</v>
      </c>
      <c r="K80" s="73">
        <f t="shared" ref="K80:K86" si="242">VLOOKUP($A80+$I$2,AA$3:AB$500,2)</f>
        <v>99.673000000000002</v>
      </c>
      <c r="L80" s="31">
        <f t="shared" ref="L80:L96" si="243">(K80-$K$14)/100*$E$5</f>
        <v>-29962.800000001134</v>
      </c>
      <c r="M80" s="32">
        <f t="shared" ref="M80:M96" si="244">(A80-$A$14)/360*$E$6*$E$5-(A80-$A$14)/360*$E$7*$E$5*$K$14/100</f>
        <v>-177773.55530666673</v>
      </c>
      <c r="N80" s="79">
        <f t="shared" si="200"/>
        <v>-88765.876471244395</v>
      </c>
      <c r="O80" s="79"/>
      <c r="P80" s="79"/>
      <c r="Q80" s="79">
        <f>$G$5*SUM($O$14:O80)-$H$5*SUM($P$14:P80)</f>
        <v>-35590.730199999991</v>
      </c>
      <c r="R80" s="79">
        <f t="shared" si="201"/>
        <v>-124356.60667124439</v>
      </c>
      <c r="S80" s="138"/>
      <c r="U80" s="72">
        <v>45881.625</v>
      </c>
      <c r="V80" s="54">
        <v>94.75</v>
      </c>
      <c r="W80" s="72">
        <v>45877.625</v>
      </c>
      <c r="X80" s="54">
        <v>101.039</v>
      </c>
      <c r="Y80" s="122">
        <v>45887.625</v>
      </c>
      <c r="Z80" s="54">
        <v>120.14</v>
      </c>
      <c r="AA80" s="72">
        <v>45953.625</v>
      </c>
      <c r="AB80" s="54">
        <v>100.104</v>
      </c>
      <c r="AF80" s="137">
        <v>45954.625</v>
      </c>
      <c r="AG80" s="45">
        <f t="shared" ref="AG80" si="245">VLOOKUP($AF80+$J$1,BE:BF,2)</f>
        <v>81.08</v>
      </c>
      <c r="AH80" s="46">
        <f t="shared" ref="AH80:AH82" si="246">(AG80/$AG$14-1)*$AG$5</f>
        <v>195773.77252952277</v>
      </c>
      <c r="AI80" s="46">
        <f t="shared" ref="AI80:AI82" si="247">-1*(AF80-$AF$14)/360*$AG$5*$AG$7</f>
        <v>-258499.99999999997</v>
      </c>
      <c r="AJ80" s="45">
        <f t="shared" ref="AJ80" si="248">VLOOKUP($AF80+$J$1,BG:BH,2)</f>
        <v>101.2265625</v>
      </c>
      <c r="AK80" s="46">
        <f t="shared" ref="AK80:AK82" si="249">(AJ80-$AJ$14)/100*$AH$5</f>
        <v>230691.96428571432</v>
      </c>
      <c r="AL80" s="47">
        <f t="shared" ref="AL80:AL82" si="250">(AF80-$AF$14)/360*$AH$5*$AH$6-(AF80-$AF$14)/360*$AH$5*$AH$7*$AJ$14/100</f>
        <v>-11468.062686011923</v>
      </c>
      <c r="AM80" s="45">
        <f t="shared" ref="AM80" si="251">VLOOKUP($AF80+$J$1,BI:BJ,2)</f>
        <v>112.72</v>
      </c>
      <c r="AN80" s="46">
        <f t="shared" ref="AN80:AN82" si="252">(AM80/$AM$14-1)*$AI$5</f>
        <v>933818.41106397868</v>
      </c>
      <c r="AO80" s="47">
        <f t="shared" ref="AO80:AO82" si="253">-1*(AF80-$AF$14)/360*$AI$5*$AI$7</f>
        <v>-265885.71428571432</v>
      </c>
      <c r="AP80" s="45">
        <f t="shared" ref="AP80" si="254">VLOOKUP($AF80+$J$1,BK:BL,2)</f>
        <v>101.2265625</v>
      </c>
      <c r="AQ80" s="46">
        <f t="shared" ref="AQ80:AQ82" si="255">(AP80-$AP$14)/100*$AJ$5</f>
        <v>201116.07142857145</v>
      </c>
      <c r="AR80" s="47">
        <f t="shared" ref="AR80:AR82" si="256">(AF80-$AF$14)/360*$AJ$5*$AJ$6-(AF80-$AF$14)/360*$AJ$5*$AJ$7*$AP$14/100</f>
        <v>-9997.798239087293</v>
      </c>
      <c r="AS80" s="45">
        <f t="shared" ref="AS80" si="257">VLOOKUP($AF80+$J$1,BM:BN,2)</f>
        <v>105.15625</v>
      </c>
      <c r="AT80" s="46">
        <f t="shared" ref="AT80:AT82" si="258">(AS80-$AS$14)/100*$AK$5</f>
        <v>180803.57142857145</v>
      </c>
      <c r="AU80" s="47">
        <f t="shared" ref="AU80:AU82" si="259">(AF80-$AF$14)/360*$AK$5*$AK$6-(AF80-$AF$14)/360*$AK$5*$AK$7*$AS$14/100</f>
        <v>4185.933779761901</v>
      </c>
      <c r="AV80" s="45">
        <f t="shared" ref="AV80" si="260">VLOOKUP($AF80+$J$1,BO:BP,2)</f>
        <v>100.59375</v>
      </c>
      <c r="AW80" s="46">
        <f t="shared" ref="AW80:AW82" si="261">(AV80-$AV$14)/100*$AL$5</f>
        <v>435937.5</v>
      </c>
      <c r="AX80" s="47">
        <f t="shared" ref="AX80:AX82" si="262">(AF80-$AF$14)/360*$AL$5*$AL$6-(AF80-$AF$14)/360*$AL$5*$AL$7*$AV$14/100</f>
        <v>11288.807291666672</v>
      </c>
      <c r="AY80" s="79">
        <f t="shared" ref="AY80" si="263">AH80+AI80-AK80-AL80-AN80-AO80+AQ80+AR80+AT80+AU80+AW80+AX80</f>
        <v>-126548.74015895995</v>
      </c>
      <c r="AZ80" s="79"/>
      <c r="BA80" s="79"/>
      <c r="BB80" s="79">
        <f>$AO$4*SUM($AZ$14:AZ80)-$AP$4*SUM($BA$14:BA80)</f>
        <v>71425.005826778885</v>
      </c>
      <c r="BC80" s="79">
        <f t="shared" ref="BC80" si="264">AY80-BB80</f>
        <v>-197973.74598573882</v>
      </c>
      <c r="BE80" s="72">
        <v>45880.625</v>
      </c>
      <c r="BF80" s="54">
        <v>80.22</v>
      </c>
      <c r="BI80" s="72">
        <v>45880.625</v>
      </c>
      <c r="BJ80" s="54">
        <v>109.58499999999999</v>
      </c>
      <c r="BM80" s="72">
        <v>45880.625</v>
      </c>
      <c r="BN80" s="54">
        <v>102.953125</v>
      </c>
      <c r="BO80" s="72">
        <v>45880.625</v>
      </c>
      <c r="BP80" s="54">
        <v>96.46875</v>
      </c>
      <c r="BR80" s="128">
        <f t="shared" si="210"/>
        <v>45954.625</v>
      </c>
      <c r="BS80" s="45">
        <f t="shared" ref="BS80" si="265">VLOOKUP(BR80+BV$4,CA:CB,2)</f>
        <v>107.7854</v>
      </c>
      <c r="BT80" s="46">
        <f t="shared" ref="BT80:BT82" si="266">(BS80-$BS$14)/100*$BS$5</f>
        <v>51824.999999997352</v>
      </c>
      <c r="BU80" s="46">
        <f t="shared" ref="BU80:BU82" si="267">(BR80-BR$14)/360*$BS$5*$BS$6</f>
        <v>305555.55555555556</v>
      </c>
      <c r="BV80" s="45">
        <f t="shared" ref="BV80" si="268">VLOOKUP(BR80+BV$4,CC:CD,2)</f>
        <v>47.146000000000001</v>
      </c>
      <c r="BW80" s="46">
        <f t="shared" ref="BW80:BW82" si="269">-1*(BV80-$BV$14)*10^-4*$BT$8*$BT$5</f>
        <v>172574.99999999991</v>
      </c>
      <c r="BX80" s="47">
        <f t="shared" ref="BX80:BX82" si="270">(BR80-BR$14)/360*$BT$5*$BT$6</f>
        <v>305555.55555555556</v>
      </c>
      <c r="BY80" s="45">
        <f t="shared" ref="BY80" si="271">BT80+BU80-BW80-BX80</f>
        <v>-120750.00000000253</v>
      </c>
      <c r="CA80" s="126">
        <v>45883.625</v>
      </c>
      <c r="CB80" s="54">
        <v>107.40009999999999</v>
      </c>
      <c r="CC80" s="126">
        <v>45883.625</v>
      </c>
      <c r="CD80" s="54">
        <v>49.968000000000004</v>
      </c>
      <c r="CF80" s="137">
        <v>45954.625</v>
      </c>
      <c r="CG80" s="45">
        <f t="shared" ref="CG80" si="272">VLOOKUP(CF80+CJ$4,CO:CP,2)</f>
        <v>242.23500000000001</v>
      </c>
      <c r="CH80" s="46">
        <f t="shared" ref="CH80:CH82" si="273">-1*(CG80-$CG$14)*$CG$8*10^-4*$CG$5</f>
        <v>230445.60000000003</v>
      </c>
      <c r="CI80" s="46">
        <f t="shared" ref="CI80:CI82" si="274">(CF80-CF$14)/360*$CG$5*$CG$6</f>
        <v>256666.66666666666</v>
      </c>
      <c r="CJ80" s="45">
        <f t="shared" ref="CJ80" si="275">VLOOKUP(CF80+CJ$4,CQ:CR,2)</f>
        <v>48.557000000000002</v>
      </c>
      <c r="CK80" s="46">
        <f t="shared" ref="CK80:CK82" si="276">-1*(CJ80-$CJ$14)*10^-4*$CH$8*$CH$5</f>
        <v>183921.56999999977</v>
      </c>
      <c r="CL80" s="47">
        <f t="shared" ref="CL80:CL82" si="277">(CF80-CF$14)/360*$CH$5*$CH$6</f>
        <v>231000</v>
      </c>
      <c r="CM80" s="45">
        <f t="shared" ref="CM80" si="278">CH80+CI80-CK80-CL80</f>
        <v>72190.696666666947</v>
      </c>
      <c r="CO80" s="126">
        <v>45881.625</v>
      </c>
      <c r="CP80" s="54">
        <v>265.14</v>
      </c>
      <c r="CQ80" s="126">
        <v>45881.625</v>
      </c>
      <c r="CR80" s="54">
        <v>52.881999999999998</v>
      </c>
      <c r="DF80" s="137">
        <v>45957.625</v>
      </c>
      <c r="DG80" s="56">
        <f t="shared" ref="DG80" si="279">VLOOKUP(DF80,A81:R153,18)</f>
        <v>-38768.617014274816</v>
      </c>
      <c r="DH80" s="56">
        <f t="shared" ref="DH80" si="280">VLOOKUP(DF80,AF81:BC117,24)</f>
        <v>-150168.42970052559</v>
      </c>
      <c r="DI80" s="56">
        <f t="shared" ref="DI80" si="281">VLOOKUP(DF80,BR81:BY117,8)</f>
        <v>-120806.25000000207</v>
      </c>
      <c r="DJ80" s="56">
        <f t="shared" ref="DJ80" si="282">VLOOKUP(DF80,CF81:CM117,8)</f>
        <v>71070.696666667121</v>
      </c>
      <c r="DK80" s="56">
        <f t="shared" ref="DK80" si="283">DG80-DG79</f>
        <v>43683.542692819959</v>
      </c>
      <c r="DL80" s="56">
        <f t="shared" ref="DL80" si="284">DH80-DH79</f>
        <v>47805.316285213223</v>
      </c>
      <c r="DM80" s="56">
        <f t="shared" ref="DM80" si="285">DI80-DI79</f>
        <v>-56.249999999534339</v>
      </c>
      <c r="DN80" s="56">
        <f t="shared" ref="DN80" si="286">DJ80-DJ79</f>
        <v>-1119.9999999998254</v>
      </c>
      <c r="DO80" s="56">
        <f t="shared" ref="DO80" si="287">DK$11*DK80</f>
        <v>43683.542692819959</v>
      </c>
      <c r="DP80" s="56">
        <f t="shared" ref="DP80" si="288">DL$11*DL80</f>
        <v>47805.316285213223</v>
      </c>
      <c r="DQ80" s="56">
        <f t="shared" ref="DQ80" si="289">DM$11*DM80</f>
        <v>-56.249999999534339</v>
      </c>
      <c r="DR80" s="56">
        <f t="shared" ref="DR80" si="290">DN$11*DN80</f>
        <v>-1119.9999999998254</v>
      </c>
      <c r="DS80" s="56">
        <f>SUM(DO$15:DO80)</f>
        <v>-47162.944934811181</v>
      </c>
      <c r="DT80" s="56">
        <f>SUM(DP$15:DP80)</f>
        <v>-142558.80927970918</v>
      </c>
      <c r="DU80" s="56">
        <f>SUM(DQ$15:DQ80)</f>
        <v>-106124.99999999939</v>
      </c>
      <c r="DV80" s="56">
        <f>SUM(DR$15:DR80)</f>
        <v>53556.930000000255</v>
      </c>
      <c r="DZ80" s="137">
        <v>45957.625</v>
      </c>
      <c r="EA80" s="147">
        <f t="shared" ref="EA80" si="291">VLOOKUP(DZ80,DF:DS,14)</f>
        <v>-47162.944934811181</v>
      </c>
      <c r="EB80" s="147">
        <f t="shared" ref="EB80" si="292">VLOOKUP(DZ80,DF:DT,15)</f>
        <v>-142558.80927970918</v>
      </c>
      <c r="EC80" s="147">
        <f t="shared" ref="EC80" si="293">VLOOKUP(DZ80,DF:DV,17)</f>
        <v>53556.930000000255</v>
      </c>
      <c r="ED80" s="147">
        <f t="shared" ref="ED80" si="294">VLOOKUP(DZ80,DF:DU,16)</f>
        <v>-106124.99999999939</v>
      </c>
    </row>
    <row r="81" spans="1:134" x14ac:dyDescent="0.3">
      <c r="A81" s="137">
        <v>45939.625</v>
      </c>
      <c r="B81" s="73">
        <f t="shared" si="233"/>
        <v>92</v>
      </c>
      <c r="C81" s="31">
        <f t="shared" si="234"/>
        <v>-424920.1277955288</v>
      </c>
      <c r="D81" s="32">
        <f t="shared" si="235"/>
        <v>-229477.5</v>
      </c>
      <c r="E81" s="73">
        <f t="shared" si="236"/>
        <v>100.934</v>
      </c>
      <c r="F81" s="31">
        <f t="shared" si="237"/>
        <v>-51576.000000000364</v>
      </c>
      <c r="G81" s="32">
        <f t="shared" si="238"/>
        <v>-81700.25261999997</v>
      </c>
      <c r="H81" s="73">
        <f t="shared" si="239"/>
        <v>120.99</v>
      </c>
      <c r="I81" s="31">
        <f t="shared" si="240"/>
        <v>-269640.68908942223</v>
      </c>
      <c r="J81" s="32">
        <f t="shared" si="241"/>
        <v>-394701.3</v>
      </c>
      <c r="K81" s="73">
        <f t="shared" si="242"/>
        <v>99.552999999999997</v>
      </c>
      <c r="L81" s="31">
        <f t="shared" si="243"/>
        <v>-71290.800000002695</v>
      </c>
      <c r="M81" s="32">
        <f t="shared" si="244"/>
        <v>-179705.87656</v>
      </c>
      <c r="N81" s="79">
        <f t="shared" si="200"/>
        <v>-107776.062646109</v>
      </c>
      <c r="O81" s="79"/>
      <c r="P81" s="79"/>
      <c r="Q81" s="79">
        <f>$G$5*SUM($O$14:O81)-$H$5*SUM($P$14:P81)</f>
        <v>-35590.730199999991</v>
      </c>
      <c r="R81" s="79">
        <f t="shared" si="201"/>
        <v>-143366.79284610899</v>
      </c>
      <c r="S81" s="138"/>
      <c r="U81" s="72">
        <v>45882.625</v>
      </c>
      <c r="V81" s="54">
        <v>94.88</v>
      </c>
      <c r="W81" s="72">
        <v>45880.625</v>
      </c>
      <c r="X81" s="54">
        <v>101.004</v>
      </c>
      <c r="Y81" s="122">
        <v>45888.625</v>
      </c>
      <c r="Z81" s="54">
        <v>120.27</v>
      </c>
      <c r="AA81" s="72">
        <v>45954.625</v>
      </c>
      <c r="AB81" s="54">
        <v>99.841999999999999</v>
      </c>
      <c r="AF81" s="137">
        <v>45957.625</v>
      </c>
      <c r="AG81" s="45">
        <f t="shared" ref="AG81" si="295">VLOOKUP($AF81+$J$1,BE:BF,2)</f>
        <v>81.28</v>
      </c>
      <c r="AH81" s="46">
        <f t="shared" si="246"/>
        <v>257924.17650714604</v>
      </c>
      <c r="AI81" s="46">
        <f t="shared" si="247"/>
        <v>-267312.49999999994</v>
      </c>
      <c r="AJ81" s="45">
        <f t="shared" ref="AJ81" si="296">VLOOKUP($AF81+$J$1,BG:BH,2)</f>
        <v>101.1640625</v>
      </c>
      <c r="AK81" s="46">
        <f t="shared" si="249"/>
        <v>221986.60714285716</v>
      </c>
      <c r="AL81" s="47">
        <f t="shared" si="250"/>
        <v>-11859.019368489564</v>
      </c>
      <c r="AM81" s="45">
        <f t="shared" ref="AM81" si="297">VLOOKUP($AF81+$J$1,BI:BJ,2)</f>
        <v>112.91</v>
      </c>
      <c r="AN81" s="46">
        <f t="shared" si="252"/>
        <v>978736.2586847744</v>
      </c>
      <c r="AO81" s="47">
        <f t="shared" si="253"/>
        <v>-274950</v>
      </c>
      <c r="AP81" s="45">
        <f t="shared" ref="AP81" si="298">VLOOKUP($AF81+$J$1,BK:BL,2)</f>
        <v>101.1640625</v>
      </c>
      <c r="AQ81" s="46">
        <f t="shared" si="255"/>
        <v>193526.78571428574</v>
      </c>
      <c r="AR81" s="47">
        <f t="shared" si="256"/>
        <v>-10338.632269965281</v>
      </c>
      <c r="AS81" s="45">
        <f t="shared" ref="AS81" si="299">VLOOKUP($AF81+$J$1,BM:BN,2)</f>
        <v>105.1875</v>
      </c>
      <c r="AT81" s="46">
        <f t="shared" si="258"/>
        <v>182477.67857142858</v>
      </c>
      <c r="AU81" s="47">
        <f t="shared" si="259"/>
        <v>4328.6360677083358</v>
      </c>
      <c r="AV81" s="45">
        <f t="shared" ref="AV81" si="300">VLOOKUP($AF81+$J$1,BO:BP,2)</f>
        <v>100.953125</v>
      </c>
      <c r="AW81" s="46">
        <f t="shared" si="261"/>
        <v>462890.625</v>
      </c>
      <c r="AX81" s="47">
        <f t="shared" si="262"/>
        <v>11673.652994791672</v>
      </c>
      <c r="AY81" s="79">
        <f t="shared" ref="AY81" si="301">AH81+AI81-AK81-AL81-AN81-AO81+AQ81+AR81+AT81+AU81+AW81+AX81</f>
        <v>-78743.423873746724</v>
      </c>
      <c r="AZ81" s="79"/>
      <c r="BA81" s="79"/>
      <c r="BB81" s="79">
        <f>$AO$4*SUM($AZ$14:AZ81)-$AP$4*SUM($BA$14:BA81)</f>
        <v>71425.005826778885</v>
      </c>
      <c r="BC81" s="79">
        <f t="shared" ref="BC81" si="302">AY81-BB81</f>
        <v>-150168.42970052559</v>
      </c>
      <c r="BE81" s="72">
        <v>45881.625</v>
      </c>
      <c r="BF81" s="54">
        <v>80.400000000000006</v>
      </c>
      <c r="BI81" s="72">
        <v>45881.625</v>
      </c>
      <c r="BJ81" s="54">
        <v>109.68</v>
      </c>
      <c r="BM81" s="72">
        <v>45881.625</v>
      </c>
      <c r="BN81" s="54">
        <v>102.84375</v>
      </c>
      <c r="BO81" s="72">
        <v>45881.625</v>
      </c>
      <c r="BP81" s="54">
        <v>95.96875</v>
      </c>
      <c r="BR81" s="128">
        <f t="shared" si="210"/>
        <v>45957.625</v>
      </c>
      <c r="BS81" s="45">
        <f t="shared" ref="BS81" si="303">VLOOKUP(BR81+BV$4,CA:CB,2)</f>
        <v>108.077</v>
      </c>
      <c r="BT81" s="46">
        <f t="shared" si="266"/>
        <v>124724.99999999798</v>
      </c>
      <c r="BU81" s="46">
        <f t="shared" si="267"/>
        <v>315972.22222222225</v>
      </c>
      <c r="BV81" s="45">
        <f t="shared" ref="BV81" si="304">VLOOKUP(BR81+BV$4,CC:CD,2)</f>
        <v>45.848999999999997</v>
      </c>
      <c r="BW81" s="46">
        <f t="shared" si="269"/>
        <v>245531.25000000009</v>
      </c>
      <c r="BX81" s="47">
        <f t="shared" si="270"/>
        <v>315972.22222222219</v>
      </c>
      <c r="BY81" s="45">
        <f t="shared" ref="BY81" si="305">BT81+BU81-BW81-BX81</f>
        <v>-120806.25000000207</v>
      </c>
      <c r="CA81" s="126">
        <v>45884.625</v>
      </c>
      <c r="CB81" s="54">
        <v>107.37390000000001</v>
      </c>
      <c r="CC81" s="126">
        <v>45884.625</v>
      </c>
      <c r="CD81" s="54">
        <v>49.91</v>
      </c>
      <c r="CF81" s="137">
        <v>45957.625</v>
      </c>
      <c r="CG81" s="45">
        <f t="shared" ref="CG81" si="306">VLOOKUP(CF81+CJ$4,CO:CP,2)</f>
        <v>235.50700000000001</v>
      </c>
      <c r="CH81" s="46">
        <f t="shared" si="273"/>
        <v>292612.32000000007</v>
      </c>
      <c r="CI81" s="46">
        <f t="shared" si="274"/>
        <v>265416.66666666669</v>
      </c>
      <c r="CJ81" s="45">
        <f t="shared" ref="CJ81" si="307">VLOOKUP(CF81+CJ$4,CQ:CR,2)</f>
        <v>47.081000000000003</v>
      </c>
      <c r="CK81" s="46">
        <f t="shared" si="276"/>
        <v>248083.28999999972</v>
      </c>
      <c r="CL81" s="47">
        <f t="shared" si="277"/>
        <v>238875</v>
      </c>
      <c r="CM81" s="45">
        <f t="shared" ref="CM81" si="308">CH81+CI81-CK81-CL81</f>
        <v>71070.696666667121</v>
      </c>
      <c r="CO81" s="126">
        <v>45882.625</v>
      </c>
      <c r="CP81" s="54">
        <v>260.87599999999998</v>
      </c>
      <c r="CQ81" s="126">
        <v>45882.625</v>
      </c>
      <c r="CR81" s="54">
        <v>51.805</v>
      </c>
      <c r="DF81" s="36">
        <v>45958.625</v>
      </c>
      <c r="DG81" s="56">
        <f t="shared" ref="DG81" si="309">VLOOKUP(DF81,A82:R154,18)</f>
        <v>-50250.885130288341</v>
      </c>
      <c r="DH81" s="56">
        <f t="shared" ref="DH81" si="310">VLOOKUP(DF81,AF82:BC118,24)</f>
        <v>-154878.47986817386</v>
      </c>
      <c r="DI81" s="56">
        <f t="shared" ref="DI81" si="311">VLOOKUP(DF81,BR82:BY118,8)</f>
        <v>-133837.50000000143</v>
      </c>
      <c r="DJ81" s="56">
        <f t="shared" ref="DJ81" si="312">VLOOKUP(DF81,CF82:CM118,8)</f>
        <v>46026.073333333625</v>
      </c>
      <c r="DK81" s="56">
        <f t="shared" ref="DK81" si="313">DG81-DG80</f>
        <v>-11482.268116013525</v>
      </c>
      <c r="DL81" s="56">
        <f t="shared" ref="DL81" si="314">DH81-DH80</f>
        <v>-4710.0501676482672</v>
      </c>
      <c r="DM81" s="56">
        <f t="shared" ref="DM81" si="315">DI81-DI80</f>
        <v>-13031.24999999936</v>
      </c>
      <c r="DN81" s="56">
        <f t="shared" ref="DN81" si="316">DJ81-DJ80</f>
        <v>-25044.623333333497</v>
      </c>
      <c r="DO81" s="56">
        <f t="shared" ref="DO81" si="317">DK$11*DK81</f>
        <v>-11482.268116013525</v>
      </c>
      <c r="DP81" s="56">
        <f t="shared" ref="DP81" si="318">DL$11*DL81</f>
        <v>-4710.0501676482672</v>
      </c>
      <c r="DQ81" s="56">
        <f t="shared" ref="DQ81" si="319">DM$11*DM81</f>
        <v>-13031.24999999936</v>
      </c>
      <c r="DR81" s="56">
        <f t="shared" ref="DR81" si="320">DN$11*DN81</f>
        <v>-25044.623333333497</v>
      </c>
      <c r="DS81" s="56">
        <f>SUM(DO$15:DO81)</f>
        <v>-58645.213050824706</v>
      </c>
      <c r="DT81" s="56">
        <f>SUM(DP$15:DP81)</f>
        <v>-147268.85944735745</v>
      </c>
      <c r="DU81" s="56">
        <f>SUM(DQ$15:DQ81)</f>
        <v>-119156.24999999875</v>
      </c>
      <c r="DV81" s="56">
        <f>SUM(DR$15:DR81)</f>
        <v>28512.306666666758</v>
      </c>
      <c r="DZ81" s="137">
        <v>45958.625</v>
      </c>
      <c r="EA81" s="147">
        <f t="shared" ref="EA81" si="321">VLOOKUP(DZ81,DF:DS,14)</f>
        <v>-58645.213050824706</v>
      </c>
      <c r="EB81" s="147">
        <f t="shared" ref="EB81" si="322">VLOOKUP(DZ81,DF:DT,15)</f>
        <v>-147268.85944735745</v>
      </c>
      <c r="EC81" s="147">
        <f t="shared" ref="EC81" si="323">VLOOKUP(DZ81,DF:DV,17)</f>
        <v>28512.306666666758</v>
      </c>
      <c r="ED81" s="147">
        <f t="shared" ref="ED81" si="324">VLOOKUP(DZ81,DF:DU,16)</f>
        <v>-119156.24999999875</v>
      </c>
    </row>
    <row r="82" spans="1:134" x14ac:dyDescent="0.3">
      <c r="A82" s="137">
        <v>45940.625</v>
      </c>
      <c r="B82" s="73">
        <f t="shared" si="233"/>
        <v>91.78</v>
      </c>
      <c r="C82" s="31">
        <f t="shared" si="234"/>
        <v>-474121.40575079899</v>
      </c>
      <c r="D82" s="32">
        <f t="shared" si="235"/>
        <v>-231944.99999999997</v>
      </c>
      <c r="E82" s="73">
        <f t="shared" si="236"/>
        <v>101.017</v>
      </c>
      <c r="F82" s="31">
        <f t="shared" si="237"/>
        <v>-37632.000000000633</v>
      </c>
      <c r="G82" s="32">
        <f t="shared" si="238"/>
        <v>-82578.749959999986</v>
      </c>
      <c r="H82" s="73">
        <f t="shared" si="239"/>
        <v>121</v>
      </c>
      <c r="I82" s="31">
        <f t="shared" si="240"/>
        <v>-266677.60459393077</v>
      </c>
      <c r="J82" s="32">
        <f t="shared" si="241"/>
        <v>-398945.39999999997</v>
      </c>
      <c r="K82" s="73">
        <f t="shared" si="242"/>
        <v>99.754000000000005</v>
      </c>
      <c r="L82" s="31">
        <f t="shared" si="243"/>
        <v>-2066.4000000000783</v>
      </c>
      <c r="M82" s="32">
        <f t="shared" si="244"/>
        <v>-181638.19781333333</v>
      </c>
      <c r="N82" s="79">
        <f t="shared" si="200"/>
        <v>-103937.24901020105</v>
      </c>
      <c r="O82" s="79"/>
      <c r="P82" s="79"/>
      <c r="Q82" s="79">
        <f>$G$5*SUM($O$14:O82)-$H$5*SUM($P$14:P82)</f>
        <v>-35590.730199999991</v>
      </c>
      <c r="R82" s="79">
        <f t="shared" si="201"/>
        <v>-139527.97921020104</v>
      </c>
      <c r="S82" s="138"/>
      <c r="U82" s="72">
        <v>45883.625</v>
      </c>
      <c r="V82" s="54">
        <v>94.94</v>
      </c>
      <c r="W82" s="72">
        <v>45881.625</v>
      </c>
      <c r="X82" s="54">
        <v>100.947</v>
      </c>
      <c r="Y82" s="122">
        <v>45889.625</v>
      </c>
      <c r="Z82" s="54">
        <v>120.39</v>
      </c>
      <c r="AA82" s="72">
        <v>45957.625</v>
      </c>
      <c r="AB82" s="54">
        <v>99.850999999999999</v>
      </c>
      <c r="AF82" s="137">
        <v>45958.625</v>
      </c>
      <c r="AG82" s="45">
        <f t="shared" ref="AG82" si="325">VLOOKUP($AF82+$J$1,BE:BF,2)</f>
        <v>81.2</v>
      </c>
      <c r="AH82" s="46">
        <f t="shared" si="246"/>
        <v>233064.01491609562</v>
      </c>
      <c r="AI82" s="46">
        <f t="shared" si="247"/>
        <v>-270249.99999999994</v>
      </c>
      <c r="AJ82" s="45">
        <f t="shared" ref="AJ82" si="326">VLOOKUP($AF82+$J$1,BG:BH,2)</f>
        <v>101.203125</v>
      </c>
      <c r="AK82" s="46">
        <f t="shared" si="249"/>
        <v>227427.45535714284</v>
      </c>
      <c r="AL82" s="47">
        <f t="shared" si="250"/>
        <v>-11989.338262648816</v>
      </c>
      <c r="AM82" s="45">
        <f t="shared" ref="AM82" si="327">VLOOKUP($AF82+$J$1,BI:BJ,2)</f>
        <v>112.92</v>
      </c>
      <c r="AN82" s="46">
        <f t="shared" si="252"/>
        <v>981100.3559279769</v>
      </c>
      <c r="AO82" s="47">
        <f t="shared" si="253"/>
        <v>-277971.42857142858</v>
      </c>
      <c r="AP82" s="45">
        <f t="shared" ref="AP82" si="328">VLOOKUP($AF82+$J$1,BK:BL,2)</f>
        <v>101.203125</v>
      </c>
      <c r="AQ82" s="46">
        <f t="shared" si="255"/>
        <v>198270.08928571429</v>
      </c>
      <c r="AR82" s="47">
        <f t="shared" si="256"/>
        <v>-10452.243613591272</v>
      </c>
      <c r="AS82" s="45">
        <f t="shared" ref="AS82" si="329">VLOOKUP($AF82+$J$1,BM:BN,2)</f>
        <v>105.265625</v>
      </c>
      <c r="AT82" s="46">
        <f t="shared" si="258"/>
        <v>186662.94642857142</v>
      </c>
      <c r="AU82" s="47">
        <f t="shared" si="259"/>
        <v>4376.2034970238092</v>
      </c>
      <c r="AV82" s="45">
        <f t="shared" ref="AV82" si="330">VLOOKUP($AF82+$J$1,BO:BP,2)</f>
        <v>101.203125</v>
      </c>
      <c r="AW82" s="46">
        <f t="shared" si="261"/>
        <v>481640.62500000006</v>
      </c>
      <c r="AX82" s="47">
        <f t="shared" si="262"/>
        <v>11801.934895833343</v>
      </c>
      <c r="AY82" s="79">
        <f t="shared" ref="AY82" si="331">AH82+AI82-AK82-AL82-AN82-AO82+AQ82+AR82+AT82+AU82+AW82+AX82</f>
        <v>-83453.474041394977</v>
      </c>
      <c r="AZ82" s="79"/>
      <c r="BA82" s="79"/>
      <c r="BB82" s="79">
        <f>$AO$4*SUM($AZ$14:AZ82)-$AP$4*SUM($BA$14:BA82)</f>
        <v>71425.005826778885</v>
      </c>
      <c r="BC82" s="79">
        <f t="shared" ref="BC82" si="332">AY82-BB82</f>
        <v>-154878.47986817386</v>
      </c>
      <c r="BE82" s="72">
        <v>45882.625</v>
      </c>
      <c r="BF82" s="54">
        <v>80.61</v>
      </c>
      <c r="BI82" s="72">
        <v>45882.625</v>
      </c>
      <c r="BJ82" s="54">
        <v>110.26</v>
      </c>
      <c r="BM82" s="72">
        <v>45882.625</v>
      </c>
      <c r="BN82" s="54">
        <v>103.28125</v>
      </c>
      <c r="BO82" s="72">
        <v>45882.625</v>
      </c>
      <c r="BP82" s="54">
        <v>96.765625</v>
      </c>
      <c r="BR82" s="128">
        <f t="shared" si="210"/>
        <v>45958.625</v>
      </c>
      <c r="BS82" s="45">
        <f t="shared" ref="BS82" si="333">VLOOKUP(BR82+BV$4,CA:CB,2)</f>
        <v>107.9234</v>
      </c>
      <c r="BT82" s="46">
        <f t="shared" si="266"/>
        <v>86324.999999998647</v>
      </c>
      <c r="BU82" s="46">
        <f t="shared" si="267"/>
        <v>319444.44444444444</v>
      </c>
      <c r="BV82" s="45">
        <f t="shared" ref="BV82" si="334">VLOOKUP(BR82+BV$4,CC:CD,2)</f>
        <v>46.3</v>
      </c>
      <c r="BW82" s="46">
        <f t="shared" si="269"/>
        <v>220162.50000000009</v>
      </c>
      <c r="BX82" s="47">
        <f t="shared" si="270"/>
        <v>319444.44444444444</v>
      </c>
      <c r="BY82" s="45">
        <f t="shared" ref="BY82" si="335">BT82+BU82-BW82-BX82</f>
        <v>-133837.50000000143</v>
      </c>
      <c r="CA82" s="126">
        <v>45887.625</v>
      </c>
      <c r="CB82" s="54">
        <v>107.3562</v>
      </c>
      <c r="CC82" s="126">
        <v>45887.625</v>
      </c>
      <c r="CD82" s="54">
        <v>50.018000000000001</v>
      </c>
      <c r="CF82" s="137">
        <v>45958.625</v>
      </c>
      <c r="CG82" s="45">
        <f t="shared" ref="CG82" si="336">VLOOKUP(CF82+CJ$4,CO:CP,2)</f>
        <v>239.77799999999999</v>
      </c>
      <c r="CH82" s="46">
        <f t="shared" si="273"/>
        <v>253148.2800000002</v>
      </c>
      <c r="CI82" s="46">
        <f t="shared" si="274"/>
        <v>268333.33333333331</v>
      </c>
      <c r="CJ82" s="45">
        <f t="shared" ref="CJ82" si="337">VLOOKUP(CF82+CJ$4,CQ:CR,2)</f>
        <v>47.405999999999999</v>
      </c>
      <c r="CK82" s="46">
        <f t="shared" si="276"/>
        <v>233955.53999999989</v>
      </c>
      <c r="CL82" s="47">
        <f t="shared" si="277"/>
        <v>241499.99999999997</v>
      </c>
      <c r="CM82" s="45">
        <f t="shared" ref="CM82" si="338">CH82+CI82-CK82-CL82</f>
        <v>46026.073333333625</v>
      </c>
      <c r="CO82" s="126">
        <v>45883.625</v>
      </c>
      <c r="CP82" s="54">
        <v>260.50799999999998</v>
      </c>
      <c r="CQ82" s="126">
        <v>45883.625</v>
      </c>
      <c r="CR82" s="54">
        <v>51.789000000000001</v>
      </c>
      <c r="DF82" s="36">
        <v>45959.625</v>
      </c>
      <c r="DG82" s="56">
        <f t="shared" ref="DG82:DG84" si="339">VLOOKUP(DF82,A83:R155,18)</f>
        <v>-72107.153246306407</v>
      </c>
      <c r="DH82" s="56">
        <f t="shared" ref="DH82:DH84" si="340">VLOOKUP(DF82,AF83:BC119,24)</f>
        <v>-188883.98118023126</v>
      </c>
      <c r="DI82" s="56">
        <f t="shared" ref="DI82:DI84" si="341">VLOOKUP(DF82,BR83:BY119,8)</f>
        <v>-134293.75000000247</v>
      </c>
      <c r="DJ82" s="56">
        <f t="shared" ref="DJ82:DJ84" si="342">VLOOKUP(DF82,CF83:CM119,8)</f>
        <v>22095.710000000399</v>
      </c>
      <c r="DK82" s="56">
        <f t="shared" ref="DK82:DK84" si="343">DG82-DG81</f>
        <v>-21856.268116018065</v>
      </c>
      <c r="DL82" s="56">
        <f t="shared" ref="DL82:DL84" si="344">DH82-DH81</f>
        <v>-34005.5013120574</v>
      </c>
      <c r="DM82" s="56">
        <f t="shared" ref="DM82:DM84" si="345">DI82-DI81</f>
        <v>-456.25000000104774</v>
      </c>
      <c r="DN82" s="56">
        <f t="shared" ref="DN82:DN84" si="346">DJ82-DJ81</f>
        <v>-23930.363333333225</v>
      </c>
      <c r="DO82" s="56">
        <f t="shared" ref="DO82:DO84" si="347">DK$11*DK82</f>
        <v>-21856.268116018065</v>
      </c>
      <c r="DP82" s="56">
        <f t="shared" ref="DP82:DP84" si="348">DL$11*DL82</f>
        <v>-34005.5013120574</v>
      </c>
      <c r="DQ82" s="56">
        <f t="shared" ref="DQ82:DQ84" si="349">DM$11*DM82</f>
        <v>-456.25000000104774</v>
      </c>
      <c r="DR82" s="56">
        <f t="shared" ref="DR82:DR84" si="350">DN$11*DN82</f>
        <v>-23930.363333333225</v>
      </c>
      <c r="DS82" s="56">
        <f>SUM(DO$15:DO82)</f>
        <v>-80501.481166842772</v>
      </c>
      <c r="DT82" s="56">
        <f>SUM(DP$15:DP82)</f>
        <v>-181274.36075941485</v>
      </c>
      <c r="DU82" s="56">
        <f>SUM(DQ$15:DQ82)</f>
        <v>-119612.4999999998</v>
      </c>
      <c r="DV82" s="56">
        <f>SUM(DR$15:DR82)</f>
        <v>4581.9433333335328</v>
      </c>
      <c r="DZ82" s="137">
        <v>45959.625</v>
      </c>
      <c r="EA82" s="147">
        <f t="shared" ref="EA82" si="351">VLOOKUP(DZ82,DF:DS,14)</f>
        <v>-80501.481166842772</v>
      </c>
      <c r="EB82" s="147">
        <f t="shared" ref="EB82" si="352">VLOOKUP(DZ82,DF:DT,15)</f>
        <v>-181274.36075941485</v>
      </c>
      <c r="EC82" s="147">
        <f t="shared" ref="EC82" si="353">VLOOKUP(DZ82,DF:DV,17)</f>
        <v>4581.9433333335328</v>
      </c>
      <c r="ED82" s="147">
        <f t="shared" ref="ED82" si="354">VLOOKUP(DZ82,DF:DU,16)</f>
        <v>-119612.4999999998</v>
      </c>
    </row>
    <row r="83" spans="1:134" x14ac:dyDescent="0.3">
      <c r="A83" s="137">
        <v>45943.625</v>
      </c>
      <c r="B83" s="73">
        <f t="shared" si="233"/>
        <v>91.79</v>
      </c>
      <c r="C83" s="31">
        <f t="shared" si="234"/>
        <v>-471884.98402555881</v>
      </c>
      <c r="D83" s="32">
        <f t="shared" si="235"/>
        <v>-239347.49999999994</v>
      </c>
      <c r="E83" s="73">
        <f t="shared" si="236"/>
        <v>101.122</v>
      </c>
      <c r="F83" s="31">
        <f t="shared" si="237"/>
        <v>-19991.99999999996</v>
      </c>
      <c r="G83" s="32">
        <f t="shared" si="238"/>
        <v>-85214.241979999962</v>
      </c>
      <c r="H83" s="73">
        <f t="shared" si="239"/>
        <v>121.1</v>
      </c>
      <c r="I83" s="31">
        <f t="shared" si="240"/>
        <v>-237046.7596390527</v>
      </c>
      <c r="J83" s="32">
        <f t="shared" si="241"/>
        <v>-411677.69999999995</v>
      </c>
      <c r="K83" s="73">
        <f t="shared" si="242"/>
        <v>99.923000000000002</v>
      </c>
      <c r="L83" s="31">
        <f t="shared" si="243"/>
        <v>56137.199999998862</v>
      </c>
      <c r="M83" s="32">
        <f t="shared" si="244"/>
        <v>-187435.16157333329</v>
      </c>
      <c r="N83" s="79">
        <f t="shared" si="200"/>
        <v>-88599.743979840554</v>
      </c>
      <c r="O83" s="79"/>
      <c r="P83" s="79"/>
      <c r="Q83" s="79">
        <f>$G$5*SUM($O$14:O83)-$H$5*SUM($P$14:P83)</f>
        <v>-35590.730199999991</v>
      </c>
      <c r="R83" s="79">
        <f t="shared" si="201"/>
        <v>-124190.47417984054</v>
      </c>
      <c r="S83" s="138"/>
      <c r="U83" s="72">
        <v>45884.625</v>
      </c>
      <c r="V83" s="54">
        <v>94.87</v>
      </c>
      <c r="W83" s="72">
        <v>45882.625</v>
      </c>
      <c r="X83" s="54">
        <v>101.11799999999999</v>
      </c>
      <c r="Y83" s="122">
        <v>45890.625</v>
      </c>
      <c r="Z83" s="54">
        <v>120.12</v>
      </c>
      <c r="AA83" s="72">
        <v>45958.625</v>
      </c>
      <c r="AB83" s="54">
        <v>99.867999999999995</v>
      </c>
      <c r="AF83" s="137">
        <v>45959.625</v>
      </c>
      <c r="AG83" s="45">
        <f t="shared" ref="AG83" si="355">VLOOKUP($AF83+$J$1,BE:BF,2)</f>
        <v>80.95</v>
      </c>
      <c r="AH83" s="46">
        <f t="shared" ref="AH83" si="356">(AG83/$AG$14-1)*$AG$5</f>
        <v>155376.00994406376</v>
      </c>
      <c r="AI83" s="46">
        <f t="shared" ref="AI83" si="357">-1*(AF83-$AF$14)/360*$AG$5*$AG$7</f>
        <v>-273187.5</v>
      </c>
      <c r="AJ83" s="45">
        <f t="shared" ref="AJ83" si="358">VLOOKUP($AF83+$J$1,BG:BH,2)</f>
        <v>100.7578125</v>
      </c>
      <c r="AK83" s="46">
        <f t="shared" ref="AK83" si="359">(AJ83-$AJ$14)/100*$AH$5</f>
        <v>165401.78571428571</v>
      </c>
      <c r="AL83" s="47">
        <f t="shared" ref="AL83" si="360">(AF83-$AF$14)/360*$AH$5*$AH$6-(AF83-$AF$14)/360*$AH$5*$AH$7*$AJ$14/100</f>
        <v>-12119.657156807982</v>
      </c>
      <c r="AM83" s="45">
        <f t="shared" ref="AM83" si="361">VLOOKUP($AF83+$J$1,BI:BJ,2)</f>
        <v>112.28</v>
      </c>
      <c r="AN83" s="46">
        <f t="shared" ref="AN83" si="362">(AM83/$AM$14-1)*$AI$5</f>
        <v>829798.1323631783</v>
      </c>
      <c r="AO83" s="47">
        <f t="shared" ref="AO83" si="363">-1*(AF83-$AF$14)/360*$AI$5*$AI$7</f>
        <v>-280992.85714285716</v>
      </c>
      <c r="AP83" s="45">
        <f t="shared" ref="AP83" si="364">VLOOKUP($AF83+$J$1,BK:BL,2)</f>
        <v>100.7578125</v>
      </c>
      <c r="AQ83" s="46">
        <f t="shared" ref="AQ83" si="365">(AP83-$AP$14)/100*$AJ$5</f>
        <v>144196.42857142858</v>
      </c>
      <c r="AR83" s="47">
        <f t="shared" ref="AR83" si="366">(AF83-$AF$14)/360*$AJ$5*$AJ$6-(AF83-$AF$14)/360*$AJ$5*$AJ$7*$AP$14/100</f>
        <v>-10565.854957217263</v>
      </c>
      <c r="AS83" s="45">
        <f t="shared" ref="AS83" si="367">VLOOKUP($AF83+$J$1,BM:BN,2)</f>
        <v>104.546875</v>
      </c>
      <c r="AT83" s="46">
        <f t="shared" ref="AT83" si="368">(AS83-$AS$14)/100*$AK$5</f>
        <v>148158.48214285716</v>
      </c>
      <c r="AU83" s="47">
        <f t="shared" ref="AU83" si="369">(AF83-$AF$14)/360*$AK$5*$AK$6-(AF83-$AF$14)/360*$AK$5*$AK$7*$AS$14/100</f>
        <v>4423.7709263392899</v>
      </c>
      <c r="AV83" s="45">
        <f t="shared" ref="AV83" si="370">VLOOKUP($AF83+$J$1,BO:BP,2)</f>
        <v>100.171875</v>
      </c>
      <c r="AW83" s="46">
        <f t="shared" ref="AW83" si="371">(AV83-$AV$14)/100*$AL$5</f>
        <v>404296.875</v>
      </c>
      <c r="AX83" s="47">
        <f t="shared" ref="AX83" si="372">(AF83-$AF$14)/360*$AL$5*$AL$6-(AF83-$AF$14)/360*$AL$5*$AL$7*$AV$14/100</f>
        <v>11930.216796875015</v>
      </c>
      <c r="AY83" s="79">
        <f t="shared" ref="AY83" si="373">AH83+AI83-AK83-AL83-AN83-AO83+AQ83+AR83+AT83+AU83+AW83+AX83</f>
        <v>-117458.97535345236</v>
      </c>
      <c r="AZ83" s="79"/>
      <c r="BA83" s="79"/>
      <c r="BB83" s="79">
        <f>$AO$4*SUM($AZ$14:AZ83)-$AP$4*SUM($BA$14:BA83)</f>
        <v>71425.005826778885</v>
      </c>
      <c r="BC83" s="79">
        <f t="shared" ref="BC83" si="374">AY83-BB83</f>
        <v>-188883.98118023126</v>
      </c>
      <c r="BE83" s="72">
        <v>45883.625</v>
      </c>
      <c r="BF83" s="54">
        <v>80.400000000000006</v>
      </c>
      <c r="BI83" s="72">
        <v>45883.625</v>
      </c>
      <c r="BJ83" s="54">
        <v>109.88</v>
      </c>
      <c r="BM83" s="72">
        <v>45883.625</v>
      </c>
      <c r="BN83" s="54">
        <v>102.859375</v>
      </c>
      <c r="BO83" s="72">
        <v>45883.625</v>
      </c>
      <c r="BP83" s="54">
        <v>96.015625</v>
      </c>
      <c r="BR83" s="128">
        <f t="shared" si="210"/>
        <v>45959.625</v>
      </c>
      <c r="BS83" s="45">
        <f t="shared" ref="BS83" si="375">VLOOKUP(BR83+BV$4,CA:CB,2)</f>
        <v>107.8282</v>
      </c>
      <c r="BT83" s="46">
        <f t="shared" ref="BT83" si="376">(BS83-$BS$14)/100*$BS$5</f>
        <v>62524.999999997272</v>
      </c>
      <c r="BU83" s="46">
        <f t="shared" ref="BU83" si="377">(BR83-BR$14)/360*$BS$5*$BS$6</f>
        <v>322916.66666666674</v>
      </c>
      <c r="BV83" s="45">
        <f t="shared" ref="BV83" si="378">VLOOKUP(BR83+BV$4,CC:CD,2)</f>
        <v>46.715000000000003</v>
      </c>
      <c r="BW83" s="46">
        <f t="shared" ref="BW83" si="379">-1*(BV83-$BV$14)*10^-4*$BT$8*$BT$5</f>
        <v>196818.74999999974</v>
      </c>
      <c r="BX83" s="47">
        <f t="shared" ref="BX83" si="380">(BR83-BR$14)/360*$BT$5*$BT$6</f>
        <v>322916.66666666674</v>
      </c>
      <c r="BY83" s="45">
        <f t="shared" ref="BY83" si="381">BT83+BU83-BW83-BX83</f>
        <v>-134293.75000000247</v>
      </c>
      <c r="CA83" s="126">
        <v>45888.625</v>
      </c>
      <c r="CB83" s="54">
        <v>107.22490000000001</v>
      </c>
      <c r="CC83" s="126">
        <v>45888.625</v>
      </c>
      <c r="CD83" s="54">
        <v>50.395000000000003</v>
      </c>
      <c r="CF83" s="137">
        <v>45959.625</v>
      </c>
      <c r="CG83" s="45">
        <f t="shared" ref="CG83" si="382">VLOOKUP(CF83+CJ$4,CO:CP,2)</f>
        <v>241.02099999999999</v>
      </c>
      <c r="CH83" s="46">
        <f t="shared" ref="CH83" si="383">-1*(CG83-$CG$14)*$CG$8*10^-4*$CG$5</f>
        <v>241662.96000000025</v>
      </c>
      <c r="CI83" s="46">
        <f t="shared" ref="CI83" si="384">(CF83-CF$14)/360*$CG$5*$CG$6</f>
        <v>271250.00000000006</v>
      </c>
      <c r="CJ83" s="45">
        <f t="shared" ref="CJ83" si="385">VLOOKUP(CF83+CJ$4,CQ:CR,2)</f>
        <v>47.113</v>
      </c>
      <c r="CK83" s="46">
        <f t="shared" ref="CK83" si="386">-1*(CJ83-$CJ$14)*10^-4*$CH$8*$CH$5</f>
        <v>246692.24999999988</v>
      </c>
      <c r="CL83" s="47">
        <f t="shared" ref="CL83" si="387">(CF83-CF$14)/360*$CH$5*$CH$6</f>
        <v>244125.00000000003</v>
      </c>
      <c r="CM83" s="45">
        <f t="shared" ref="CM83" si="388">CH83+CI83-CK83-CL83</f>
        <v>22095.710000000399</v>
      </c>
      <c r="CO83" s="126">
        <v>45884.625</v>
      </c>
      <c r="CP83" s="54">
        <v>259.67399999999998</v>
      </c>
      <c r="CQ83" s="126">
        <v>45884.625</v>
      </c>
      <c r="CR83" s="54">
        <v>51.633000000000003</v>
      </c>
      <c r="DF83" s="36">
        <v>45960.625</v>
      </c>
      <c r="DG83" s="56">
        <f t="shared" si="339"/>
        <v>-124224.56223670288</v>
      </c>
      <c r="DH83" s="56">
        <f t="shared" si="340"/>
        <v>-144072.00876199518</v>
      </c>
      <c r="DI83" s="56">
        <f t="shared" si="341"/>
        <v>-125912.50000000114</v>
      </c>
      <c r="DJ83" s="56">
        <f t="shared" si="342"/>
        <v>28444.406666666735</v>
      </c>
      <c r="DK83" s="56">
        <f t="shared" si="343"/>
        <v>-52117.408990396478</v>
      </c>
      <c r="DL83" s="56">
        <f t="shared" si="344"/>
        <v>44811.972418236081</v>
      </c>
      <c r="DM83" s="56">
        <f t="shared" si="345"/>
        <v>8381.2500000013388</v>
      </c>
      <c r="DN83" s="56">
        <f t="shared" si="346"/>
        <v>6348.6966666663357</v>
      </c>
      <c r="DO83" s="56">
        <f t="shared" si="347"/>
        <v>-52117.408990396478</v>
      </c>
      <c r="DP83" s="56">
        <f t="shared" si="348"/>
        <v>44811.972418236081</v>
      </c>
      <c r="DQ83" s="56">
        <f t="shared" si="349"/>
        <v>8381.2500000013388</v>
      </c>
      <c r="DR83" s="56">
        <f t="shared" si="350"/>
        <v>6348.6966666663357</v>
      </c>
      <c r="DS83" s="56">
        <f>SUM(DO$15:DO83)</f>
        <v>-132618.89015723925</v>
      </c>
      <c r="DT83" s="56">
        <f>SUM(DP$15:DP83)</f>
        <v>-136462.38834117877</v>
      </c>
      <c r="DU83" s="56">
        <f>SUM(DQ$15:DQ83)</f>
        <v>-111231.24999999846</v>
      </c>
      <c r="DV83" s="56">
        <f>SUM(DR$15:DR83)</f>
        <v>10930.639999999868</v>
      </c>
      <c r="DZ83" s="137">
        <v>45960.625</v>
      </c>
      <c r="EA83" s="147">
        <f t="shared" ref="EA83" si="389">VLOOKUP(DZ83,DF:DS,14)</f>
        <v>-132618.89015723925</v>
      </c>
      <c r="EB83" s="147">
        <f t="shared" ref="EB83" si="390">VLOOKUP(DZ83,DF:DT,15)</f>
        <v>-136462.38834117877</v>
      </c>
      <c r="EC83" s="147">
        <f t="shared" ref="EC83" si="391">VLOOKUP(DZ83,DF:DV,17)</f>
        <v>10930.639999999868</v>
      </c>
      <c r="ED83" s="147">
        <f t="shared" ref="ED83" si="392">VLOOKUP(DZ83,DF:DU,16)</f>
        <v>-111231.24999999846</v>
      </c>
    </row>
    <row r="84" spans="1:134" x14ac:dyDescent="0.3">
      <c r="A84" s="137">
        <v>45944.625</v>
      </c>
      <c r="B84" s="73">
        <f t="shared" si="233"/>
        <v>91.85</v>
      </c>
      <c r="C84" s="31">
        <f t="shared" si="234"/>
        <v>-458466.45367412461</v>
      </c>
      <c r="D84" s="32">
        <f t="shared" si="235"/>
        <v>-241814.99999999994</v>
      </c>
      <c r="E84" s="73">
        <f t="shared" si="236"/>
        <v>101.13800000000001</v>
      </c>
      <c r="F84" s="31">
        <f t="shared" si="237"/>
        <v>-17303.999999999065</v>
      </c>
      <c r="G84" s="32">
        <f t="shared" si="238"/>
        <v>-86092.739319999979</v>
      </c>
      <c r="H84" s="73">
        <f t="shared" si="239"/>
        <v>121.2</v>
      </c>
      <c r="I84" s="31">
        <f t="shared" si="240"/>
        <v>-207415.91468416661</v>
      </c>
      <c r="J84" s="32">
        <f t="shared" si="241"/>
        <v>-415921.79999999993</v>
      </c>
      <c r="K84" s="73">
        <f t="shared" si="242"/>
        <v>99.977999999999994</v>
      </c>
      <c r="L84" s="31">
        <f t="shared" si="243"/>
        <v>75079.199999996315</v>
      </c>
      <c r="M84" s="32">
        <f t="shared" si="244"/>
        <v>-189367.48282666667</v>
      </c>
      <c r="N84" s="79">
        <f t="shared" si="200"/>
        <v>-87835.28249662937</v>
      </c>
      <c r="O84" s="79"/>
      <c r="P84" s="79"/>
      <c r="Q84" s="79">
        <f>$G$5*SUM($O$14:O84)-$H$5*SUM($P$14:P84)</f>
        <v>-35590.730199999991</v>
      </c>
      <c r="R84" s="79">
        <f t="shared" si="201"/>
        <v>-123426.01269662936</v>
      </c>
      <c r="S84" s="138"/>
      <c r="U84" s="72">
        <v>45887.625</v>
      </c>
      <c r="V84" s="54">
        <v>94.83</v>
      </c>
      <c r="W84" s="72">
        <v>45883.625</v>
      </c>
      <c r="X84" s="54">
        <v>101.057</v>
      </c>
      <c r="Y84" s="122">
        <v>45891.625</v>
      </c>
      <c r="Z84" s="54">
        <v>120.28</v>
      </c>
      <c r="AA84" s="72">
        <v>45959.625</v>
      </c>
      <c r="AB84" s="54">
        <v>99.85</v>
      </c>
      <c r="AF84" s="137">
        <v>45960.625</v>
      </c>
      <c r="AG84" s="45">
        <f t="shared" ref="AG84" si="393">VLOOKUP($AF84+$J$1,BE:BF,2)</f>
        <v>80.8</v>
      </c>
      <c r="AH84" s="46">
        <f t="shared" ref="AH84:AH85" si="394">(AG84/$AG$14-1)*$AG$5</f>
        <v>108763.20696084351</v>
      </c>
      <c r="AI84" s="46">
        <f t="shared" ref="AI84:AI85" si="395">-1*(AF84-$AF$14)/360*$AG$5*$AG$7</f>
        <v>-276125</v>
      </c>
      <c r="AJ84" s="45">
        <f t="shared" ref="AJ84" si="396">VLOOKUP($AF84+$J$1,BG:BH,2)</f>
        <v>100.71875</v>
      </c>
      <c r="AK84" s="46">
        <f t="shared" ref="AK84:AK85" si="397">(AJ84-$AJ$14)/100*$AH$5</f>
        <v>159960.9375</v>
      </c>
      <c r="AL84" s="47">
        <f t="shared" ref="AL84:AL85" si="398">(AF84-$AF$14)/360*$AH$5*$AH$6-(AF84-$AF$14)/360*$AH$5*$AH$7*$AJ$14/100</f>
        <v>-12249.976050967234</v>
      </c>
      <c r="AM84" s="45">
        <f t="shared" ref="AM84" si="399">VLOOKUP($AF84+$J$1,BI:BJ,2)</f>
        <v>111.68</v>
      </c>
      <c r="AN84" s="46">
        <f t="shared" ref="AN84:AN85" si="400">(AM84/$AM$14-1)*$AI$5</f>
        <v>687952.29777118389</v>
      </c>
      <c r="AO84" s="47">
        <f t="shared" ref="AO84:AO85" si="401">-1*(AF84-$AF$14)/360*$AI$5*$AI$7</f>
        <v>-284014.28571428574</v>
      </c>
      <c r="AP84" s="45">
        <f t="shared" ref="AP84" si="402">VLOOKUP($AF84+$J$1,BK:BL,2)</f>
        <v>100.71875</v>
      </c>
      <c r="AQ84" s="46">
        <f t="shared" ref="AQ84:AQ85" si="403">(AP84-$AP$14)/100*$AJ$5</f>
        <v>139453.125</v>
      </c>
      <c r="AR84" s="47">
        <f t="shared" ref="AR84:AR85" si="404">(AF84-$AF$14)/360*$AJ$5*$AJ$6-(AF84-$AF$14)/360*$AJ$5*$AJ$7*$AP$14/100</f>
        <v>-10679.466300843254</v>
      </c>
      <c r="AS84" s="45">
        <f t="shared" ref="AS84" si="405">VLOOKUP($AF84+$J$1,BM:BN,2)</f>
        <v>104.375</v>
      </c>
      <c r="AT84" s="46">
        <f t="shared" ref="AT84:AT85" si="406">(AS84-$AS$14)/100*$AK$5</f>
        <v>138950.89285714284</v>
      </c>
      <c r="AU84" s="47">
        <f t="shared" ref="AU84:AU85" si="407">(AF84-$AF$14)/360*$AK$5*$AK$6-(AF84-$AF$14)/360*$AK$5*$AK$7*$AS$14/100</f>
        <v>4471.3383556547706</v>
      </c>
      <c r="AV84" s="45">
        <f t="shared" ref="AV84" si="408">VLOOKUP($AF84+$J$1,BO:BP,2)</f>
        <v>99.609375</v>
      </c>
      <c r="AW84" s="46">
        <f t="shared" ref="AW84:AW85" si="409">(AV84-$AV$14)/100*$AL$5</f>
        <v>362109.375</v>
      </c>
      <c r="AX84" s="47">
        <f t="shared" ref="AX84:AX85" si="410">(AF84-$AF$14)/360*$AL$5*$AL$6-(AF84-$AF$14)/360*$AL$5*$AL$7*$AV$14/100</f>
        <v>12058.498697916672</v>
      </c>
      <c r="AY84" s="79">
        <f t="shared" ref="AY84" si="411">AH84+AI84-AK84-AL84-AN84-AO84+AQ84+AR84+AT84+AU84+AW84+AX84</f>
        <v>-72647.002935216311</v>
      </c>
      <c r="AZ84" s="79"/>
      <c r="BA84" s="79"/>
      <c r="BB84" s="79">
        <f>$AO$4*SUM($AZ$14:AZ84)-$AP$4*SUM($BA$14:BA84)</f>
        <v>71425.005826778885</v>
      </c>
      <c r="BC84" s="79">
        <f t="shared" ref="BC84" si="412">AY84-BB84</f>
        <v>-144072.00876199518</v>
      </c>
      <c r="BE84" s="72">
        <v>45884.625</v>
      </c>
      <c r="BF84" s="54">
        <v>80.459999999999994</v>
      </c>
      <c r="BI84" s="72">
        <v>45884.625</v>
      </c>
      <c r="BJ84" s="54">
        <v>109.74</v>
      </c>
      <c r="BM84" s="72">
        <v>45884.625</v>
      </c>
      <c r="BN84" s="54">
        <v>102.609375</v>
      </c>
      <c r="BO84" s="72">
        <v>45884.625</v>
      </c>
      <c r="BP84" s="54">
        <v>95.359375</v>
      </c>
      <c r="BR84" s="128">
        <f t="shared" si="210"/>
        <v>45960.625</v>
      </c>
      <c r="BS84" s="45">
        <f t="shared" ref="BS84" si="413">VLOOKUP(BR84+BV$4,CA:CB,2)</f>
        <v>107.5942</v>
      </c>
      <c r="BT84" s="46">
        <f t="shared" ref="BT84:BT85" si="414">(BS84-$BS$14)/100*$BS$5</f>
        <v>4024.999999998613</v>
      </c>
      <c r="BU84" s="46">
        <f t="shared" ref="BU84:BU85" si="415">(BR84-BR$14)/360*$BS$5*$BS$6</f>
        <v>326388.88888888893</v>
      </c>
      <c r="BV84" s="45">
        <f t="shared" ref="BV84" si="416">VLOOKUP(BR84+BV$4,CC:CD,2)</f>
        <v>47.904000000000003</v>
      </c>
      <c r="BW84" s="46">
        <f t="shared" ref="BW84:BW85" si="417">-1*(BV84-$BV$14)*10^-4*$BT$8*$BT$5</f>
        <v>129937.49999999974</v>
      </c>
      <c r="BX84" s="47">
        <f t="shared" ref="BX84:BX85" si="418">(BR84-BR$14)/360*$BT$5*$BT$6</f>
        <v>326388.88888888893</v>
      </c>
      <c r="BY84" s="45">
        <f t="shared" ref="BY84" si="419">BT84+BU84-BW84-BX84</f>
        <v>-125912.50000000114</v>
      </c>
      <c r="CA84" s="126">
        <v>45889.625</v>
      </c>
      <c r="CB84" s="54">
        <v>107.1161</v>
      </c>
      <c r="CC84" s="126">
        <v>45889.625</v>
      </c>
      <c r="CD84" s="54">
        <v>50.768000000000001</v>
      </c>
      <c r="CF84" s="137">
        <v>45960.625</v>
      </c>
      <c r="CG84" s="45">
        <f t="shared" ref="CG84" si="420">VLOOKUP(CF84+CJ$4,CO:CP,2)</f>
        <v>243.08</v>
      </c>
      <c r="CH84" s="46">
        <f t="shared" ref="CH84:CH85" si="421">-1*(CG84-$CG$14)*$CG$8*10^-4*$CG$5</f>
        <v>222637.8</v>
      </c>
      <c r="CI84" s="46">
        <f t="shared" ref="CI84:CI85" si="422">(CF84-CF$14)/360*$CG$5*$CG$6</f>
        <v>274166.66666666669</v>
      </c>
      <c r="CJ84" s="45">
        <f t="shared" ref="CJ84" si="423">VLOOKUP(CF84+CJ$4,CQ:CR,2)</f>
        <v>47.69</v>
      </c>
      <c r="CK84" s="46">
        <f t="shared" ref="CK84:CK85" si="424">-1*(CJ84-$CJ$14)*10^-4*$CH$8*$CH$5</f>
        <v>221610.05999999994</v>
      </c>
      <c r="CL84" s="47">
        <f t="shared" ref="CL84:CL85" si="425">(CF84-CF$14)/360*$CH$5*$CH$6</f>
        <v>246750</v>
      </c>
      <c r="CM84" s="45">
        <f t="shared" ref="CM84" si="426">CH84+CI84-CK84-CL84</f>
        <v>28444.406666666735</v>
      </c>
      <c r="CO84" s="126">
        <v>45887.625</v>
      </c>
      <c r="CP84" s="54">
        <v>260.94299999999998</v>
      </c>
      <c r="CQ84" s="126">
        <v>45887.625</v>
      </c>
      <c r="CR84" s="54">
        <v>51.783999999999999</v>
      </c>
      <c r="DF84" s="36">
        <v>45961.625</v>
      </c>
      <c r="DG84" s="56">
        <f t="shared" si="339"/>
        <v>-55132.881393352232</v>
      </c>
      <c r="DH84" s="56">
        <f t="shared" si="340"/>
        <v>-85133.143197197554</v>
      </c>
      <c r="DI84" s="56">
        <f t="shared" si="341"/>
        <v>-94574.687500001397</v>
      </c>
      <c r="DJ84" s="56">
        <f t="shared" si="342"/>
        <v>62579.822433333728</v>
      </c>
      <c r="DK84" s="56">
        <f t="shared" si="343"/>
        <v>69091.680843350652</v>
      </c>
      <c r="DL84" s="56">
        <f t="shared" si="344"/>
        <v>58938.865564797627</v>
      </c>
      <c r="DM84" s="56">
        <f t="shared" si="345"/>
        <v>31337.812499999738</v>
      </c>
      <c r="DN84" s="56">
        <f t="shared" si="346"/>
        <v>34135.415766666993</v>
      </c>
      <c r="DO84" s="56">
        <f t="shared" si="347"/>
        <v>69091.680843350652</v>
      </c>
      <c r="DP84" s="56">
        <f t="shared" si="348"/>
        <v>58938.865564797627</v>
      </c>
      <c r="DQ84" s="56">
        <f t="shared" si="349"/>
        <v>31337.812499999738</v>
      </c>
      <c r="DR84" s="56">
        <f t="shared" si="350"/>
        <v>34135.415766666993</v>
      </c>
      <c r="DS84" s="56">
        <f>SUM(DO$15:DO84)</f>
        <v>-63527.209313888598</v>
      </c>
      <c r="DT84" s="56">
        <f>SUM(DP$15:DP84)</f>
        <v>-77523.522776381142</v>
      </c>
      <c r="DU84" s="56">
        <f>SUM(DQ$15:DQ84)</f>
        <v>-79893.437499998719</v>
      </c>
      <c r="DV84" s="56">
        <f>SUM(DR$15:DR84)</f>
        <v>45066.055766666861</v>
      </c>
      <c r="DZ84" s="137">
        <v>45961.625</v>
      </c>
      <c r="EA84" s="147">
        <f t="shared" ref="EA84" si="427">VLOOKUP(DZ84,DF:DS,14)</f>
        <v>-63527.209313888598</v>
      </c>
      <c r="EB84" s="147">
        <f t="shared" ref="EB84" si="428">VLOOKUP(DZ84,DF:DT,15)</f>
        <v>-77523.522776381142</v>
      </c>
      <c r="EC84" s="147">
        <f t="shared" ref="EC84" si="429">VLOOKUP(DZ84,DF:DV,17)</f>
        <v>45066.055766666861</v>
      </c>
      <c r="ED84" s="147">
        <f t="shared" ref="ED84" si="430">VLOOKUP(DZ84,DF:DU,16)</f>
        <v>-79893.437499998719</v>
      </c>
    </row>
    <row r="85" spans="1:134" x14ac:dyDescent="0.3">
      <c r="A85" s="137">
        <v>45945.625</v>
      </c>
      <c r="B85" s="73">
        <f t="shared" si="233"/>
        <v>92.38</v>
      </c>
      <c r="C85" s="31">
        <f t="shared" si="234"/>
        <v>-339936.10223642492</v>
      </c>
      <c r="D85" s="32">
        <f t="shared" si="235"/>
        <v>-244282.5</v>
      </c>
      <c r="E85" s="73">
        <f t="shared" si="236"/>
        <v>101.23699999999999</v>
      </c>
      <c r="F85" s="31">
        <f t="shared" si="237"/>
        <v>-672.00000000082127</v>
      </c>
      <c r="G85" s="32">
        <f t="shared" si="238"/>
        <v>-86971.23666000001</v>
      </c>
      <c r="H85" s="73">
        <f t="shared" si="239"/>
        <v>121.62</v>
      </c>
      <c r="I85" s="31">
        <f t="shared" si="240"/>
        <v>-82966.365873667441</v>
      </c>
      <c r="J85" s="32">
        <f t="shared" si="241"/>
        <v>-420165.9</v>
      </c>
      <c r="K85" s="73">
        <f t="shared" si="242"/>
        <v>100.18899999999999</v>
      </c>
      <c r="L85" s="31">
        <f t="shared" si="243"/>
        <v>147747.59999999581</v>
      </c>
      <c r="M85" s="32">
        <f t="shared" si="244"/>
        <v>-191299.80407999997</v>
      </c>
      <c r="N85" s="79">
        <f t="shared" si="200"/>
        <v>-36995.303782760777</v>
      </c>
      <c r="O85" s="79"/>
      <c r="P85" s="79"/>
      <c r="Q85" s="79">
        <f>$G$5*SUM($O$14:O85)-$H$5*SUM($P$14:P85)</f>
        <v>-35590.730199999991</v>
      </c>
      <c r="R85" s="79">
        <f t="shared" si="201"/>
        <v>-72586.033982760768</v>
      </c>
      <c r="S85" s="138"/>
      <c r="U85" s="72">
        <v>45888.625</v>
      </c>
      <c r="V85" s="54">
        <v>94.8</v>
      </c>
      <c r="W85" s="72">
        <v>45884.625</v>
      </c>
      <c r="X85" s="54">
        <v>100.946</v>
      </c>
      <c r="Y85" s="122">
        <v>45898.625</v>
      </c>
      <c r="Z85" s="54">
        <v>120.25</v>
      </c>
      <c r="AA85" s="72">
        <v>45960.625</v>
      </c>
      <c r="AB85" s="54">
        <v>99.772999999999996</v>
      </c>
      <c r="AF85" s="137">
        <v>45961.625</v>
      </c>
      <c r="AG85" s="45">
        <f>AG10</f>
        <v>80.290000000000006</v>
      </c>
      <c r="AH85" s="46">
        <f t="shared" si="394"/>
        <v>-49720.323182100845</v>
      </c>
      <c r="AI85" s="46">
        <f t="shared" si="395"/>
        <v>-279062.5</v>
      </c>
      <c r="AJ85" s="45">
        <f>AH10</f>
        <v>100.7421875</v>
      </c>
      <c r="AK85" s="46">
        <f t="shared" si="397"/>
        <v>163225.44642857142</v>
      </c>
      <c r="AL85" s="47">
        <f t="shared" si="398"/>
        <v>-12380.294945126516</v>
      </c>
      <c r="AM85" s="45">
        <f>AI10</f>
        <v>110.48</v>
      </c>
      <c r="AN85" s="46">
        <f t="shared" si="400"/>
        <v>404260.62858718942</v>
      </c>
      <c r="AO85" s="47">
        <f t="shared" si="401"/>
        <v>-287035.71428571432</v>
      </c>
      <c r="AP85" s="45">
        <f>AJ10</f>
        <v>100.7421875</v>
      </c>
      <c r="AQ85" s="46">
        <f t="shared" si="403"/>
        <v>142299.10714285716</v>
      </c>
      <c r="AR85" s="47">
        <f t="shared" si="404"/>
        <v>-10793.077644469246</v>
      </c>
      <c r="AS85" s="45">
        <f>AK10</f>
        <v>104.234375</v>
      </c>
      <c r="AT85" s="46">
        <f t="shared" si="406"/>
        <v>131417.41071428571</v>
      </c>
      <c r="AU85" s="47">
        <f t="shared" si="407"/>
        <v>4518.905784970244</v>
      </c>
      <c r="AV85" s="45">
        <f>AL10</f>
        <v>98.828125</v>
      </c>
      <c r="AW85" s="46">
        <f t="shared" si="409"/>
        <v>303515.625</v>
      </c>
      <c r="AX85" s="47">
        <f t="shared" si="410"/>
        <v>12186.780598958343</v>
      </c>
      <c r="AY85" s="79">
        <f>AH85+AI85-AK85-AL85-AN85-AO85+AQ85+AR85+AT85+AU85+AW85+AX85</f>
        <v>-13708.13737041867</v>
      </c>
      <c r="AZ85" s="79"/>
      <c r="BA85" s="79"/>
      <c r="BB85" s="79">
        <f>$AO$4*SUM($AZ$14:AZ85)-$AP$4*SUM($BA$14:BA85)</f>
        <v>71425.005826778885</v>
      </c>
      <c r="BC85" s="79">
        <f>AY85-BB85</f>
        <v>-85133.143197197554</v>
      </c>
      <c r="BE85" s="72">
        <v>45887.625</v>
      </c>
      <c r="BF85" s="54">
        <v>80.400000000000006</v>
      </c>
      <c r="BI85" s="72">
        <v>45887.625</v>
      </c>
      <c r="BJ85" s="54">
        <v>109.54</v>
      </c>
      <c r="BM85" s="72">
        <v>45887.625</v>
      </c>
      <c r="BN85" s="54">
        <v>102.484375</v>
      </c>
      <c r="BO85" s="72">
        <v>45887.625</v>
      </c>
      <c r="BP85" s="54">
        <v>95.0625</v>
      </c>
      <c r="BR85" s="128">
        <f t="shared" si="210"/>
        <v>45961.625</v>
      </c>
      <c r="BS85" s="45">
        <f>BS10</f>
        <v>107.4769</v>
      </c>
      <c r="BT85" s="46">
        <f t="shared" si="414"/>
        <v>-25300.000000001433</v>
      </c>
      <c r="BU85" s="46">
        <f t="shared" si="415"/>
        <v>329861.11111111112</v>
      </c>
      <c r="BV85" s="45">
        <f>BT10</f>
        <v>48.98245</v>
      </c>
      <c r="BW85" s="46">
        <f t="shared" si="417"/>
        <v>69274.687499999927</v>
      </c>
      <c r="BX85" s="47">
        <f t="shared" si="418"/>
        <v>329861.11111111112</v>
      </c>
      <c r="BY85" s="45">
        <f t="shared" ref="BY85" si="431">BT85+BU85-BW85-BX85</f>
        <v>-94574.687500001397</v>
      </c>
      <c r="CA85" s="126">
        <v>45890.625</v>
      </c>
      <c r="CB85" s="54">
        <v>106.9358</v>
      </c>
      <c r="CC85" s="126">
        <v>45890.625</v>
      </c>
      <c r="CD85" s="54">
        <v>51.694000000000003</v>
      </c>
      <c r="CF85" s="137">
        <v>45961.625</v>
      </c>
      <c r="CG85" s="45">
        <f>CG10</f>
        <v>244.9984</v>
      </c>
      <c r="CH85" s="46">
        <f t="shared" si="421"/>
        <v>204911.7840000001</v>
      </c>
      <c r="CI85" s="46">
        <f t="shared" si="422"/>
        <v>277083.33333333337</v>
      </c>
      <c r="CJ85" s="45">
        <f>CH10</f>
        <v>48.876330000000003</v>
      </c>
      <c r="CK85" s="46">
        <f t="shared" si="424"/>
        <v>170040.29489999972</v>
      </c>
      <c r="CL85" s="47">
        <f t="shared" si="425"/>
        <v>249375</v>
      </c>
      <c r="CM85" s="45">
        <f>CH85+CI85-CK85-CL85</f>
        <v>62579.822433333728</v>
      </c>
      <c r="CO85" s="126">
        <v>45888.625</v>
      </c>
      <c r="CP85" s="54">
        <v>260.10500000000002</v>
      </c>
      <c r="CQ85" s="126">
        <v>45888.625</v>
      </c>
      <c r="CR85" s="54">
        <v>51.459000000000003</v>
      </c>
      <c r="DF85" s="36">
        <v>45964</v>
      </c>
      <c r="DZ85" s="36">
        <v>45964</v>
      </c>
    </row>
    <row r="86" spans="1:134" x14ac:dyDescent="0.3">
      <c r="A86" s="137">
        <v>45946.625</v>
      </c>
      <c r="B86" s="73">
        <f t="shared" si="233"/>
        <v>92.23</v>
      </c>
      <c r="C86" s="31">
        <f t="shared" si="234"/>
        <v>-373482.42811501608</v>
      </c>
      <c r="D86" s="32">
        <f t="shared" si="235"/>
        <v>-246750</v>
      </c>
      <c r="E86" s="73">
        <f t="shared" si="236"/>
        <v>101.221</v>
      </c>
      <c r="F86" s="31">
        <f t="shared" si="237"/>
        <v>-3359.9999999993315</v>
      </c>
      <c r="G86" s="32">
        <f t="shared" si="238"/>
        <v>-87849.733999999997</v>
      </c>
      <c r="H86" s="73">
        <f t="shared" si="239"/>
        <v>121.6</v>
      </c>
      <c r="I86" s="31">
        <f t="shared" si="240"/>
        <v>-88892.534864646266</v>
      </c>
      <c r="J86" s="32">
        <f t="shared" si="241"/>
        <v>-424410</v>
      </c>
      <c r="K86" s="73">
        <f t="shared" si="242"/>
        <v>100.14700000000001</v>
      </c>
      <c r="L86" s="31">
        <f t="shared" si="243"/>
        <v>133282.80000000016</v>
      </c>
      <c r="M86" s="32">
        <f t="shared" si="244"/>
        <v>-193232.12533333333</v>
      </c>
      <c r="N86" s="79">
        <f t="shared" si="200"/>
        <v>-75669.484583703743</v>
      </c>
      <c r="O86" s="79"/>
      <c r="P86" s="79"/>
      <c r="Q86" s="79">
        <f>$G$5*SUM($O$14:O86)-$H$5*SUM($P$14:P86)</f>
        <v>-35590.730199999991</v>
      </c>
      <c r="R86" s="79">
        <f t="shared" si="201"/>
        <v>-111260.21478370373</v>
      </c>
      <c r="S86" s="138"/>
      <c r="U86" s="72">
        <v>45889.625</v>
      </c>
      <c r="V86" s="54">
        <v>94.64</v>
      </c>
      <c r="W86" s="72">
        <v>45887.625</v>
      </c>
      <c r="X86" s="54">
        <v>100.953</v>
      </c>
      <c r="Y86" s="122">
        <v>45901.625</v>
      </c>
      <c r="Z86" s="54">
        <v>120.1</v>
      </c>
      <c r="AA86" s="72">
        <v>45961.625</v>
      </c>
      <c r="AB86" s="54">
        <v>99.798000000000002</v>
      </c>
      <c r="AF86" s="36">
        <v>45964</v>
      </c>
      <c r="AM86" s="72"/>
      <c r="AO86" s="72"/>
      <c r="BE86" s="72">
        <v>45888.625</v>
      </c>
      <c r="BF86" s="54">
        <v>80.38</v>
      </c>
      <c r="BI86" s="72">
        <v>45888.625</v>
      </c>
      <c r="BJ86" s="54">
        <v>109.71</v>
      </c>
      <c r="BM86" s="72">
        <v>45888.625</v>
      </c>
      <c r="BN86" s="54">
        <v>102.765625</v>
      </c>
      <c r="BO86" s="72">
        <v>45888.625</v>
      </c>
      <c r="BP86" s="54">
        <v>95.625</v>
      </c>
      <c r="BR86" s="36">
        <v>45964</v>
      </c>
      <c r="BY86" s="72"/>
      <c r="CA86" s="126">
        <v>45891.625</v>
      </c>
      <c r="CB86" s="54">
        <v>107.5735</v>
      </c>
      <c r="CC86" s="126">
        <v>45891.625</v>
      </c>
      <c r="CD86" s="54">
        <v>49.182000000000002</v>
      </c>
      <c r="CF86" s="36">
        <v>45964</v>
      </c>
      <c r="CO86" s="126">
        <v>45889.625</v>
      </c>
      <c r="CP86" s="54">
        <v>265.99299999999999</v>
      </c>
      <c r="CQ86" s="126">
        <v>45889.625</v>
      </c>
      <c r="CR86" s="54">
        <v>52.55</v>
      </c>
      <c r="DF86" s="36">
        <v>45965</v>
      </c>
      <c r="DZ86" s="36">
        <v>45965</v>
      </c>
    </row>
    <row r="87" spans="1:134" x14ac:dyDescent="0.3">
      <c r="A87" s="137">
        <v>45947.625</v>
      </c>
      <c r="B87" s="73">
        <f t="shared" ref="B87:B90" si="432">VLOOKUP($A87+$I$2,U$3:V$500,2)</f>
        <v>92.1</v>
      </c>
      <c r="C87" s="31">
        <f t="shared" si="234"/>
        <v>-402555.91054313391</v>
      </c>
      <c r="D87" s="32">
        <f t="shared" si="235"/>
        <v>-249217.5</v>
      </c>
      <c r="E87" s="73">
        <f t="shared" ref="E87:E90" si="433">VLOOKUP($A87+$I$2,W$3:X$500,2)</f>
        <v>101.253</v>
      </c>
      <c r="F87" s="31">
        <f t="shared" si="237"/>
        <v>2016.0000000000764</v>
      </c>
      <c r="G87" s="32">
        <f t="shared" si="238"/>
        <v>-88728.231339999998</v>
      </c>
      <c r="H87" s="73">
        <f t="shared" ref="H87:H90" si="434">VLOOKUP($A87+$I$2,Y$3:Z$500,2)</f>
        <v>121.51</v>
      </c>
      <c r="I87" s="31">
        <f t="shared" si="240"/>
        <v>-115560.29532403694</v>
      </c>
      <c r="J87" s="32">
        <f t="shared" si="241"/>
        <v>-428654.1</v>
      </c>
      <c r="K87" s="73">
        <f t="shared" ref="K87:K90" si="435">VLOOKUP($A87+$I$2,AA$3:AB$500,2)</f>
        <v>100.146</v>
      </c>
      <c r="L87" s="31">
        <f t="shared" si="243"/>
        <v>132938.39999999851</v>
      </c>
      <c r="M87" s="32">
        <f t="shared" si="244"/>
        <v>-195164.44658666672</v>
      </c>
      <c r="N87" s="79">
        <f t="shared" ref="N87:N90" si="436">C87+D87-F87-G87-I87-J87+L87+M87</f>
        <v>-83072.830465765292</v>
      </c>
      <c r="O87" s="79"/>
      <c r="P87" s="79"/>
      <c r="Q87" s="79">
        <f>$G$5*SUM($O$14:O87)-$H$5*SUM($P$14:P87)</f>
        <v>-35590.730199999991</v>
      </c>
      <c r="R87" s="79">
        <f t="shared" ref="R87:R90" si="437">N87+Q87</f>
        <v>-118663.56066576528</v>
      </c>
      <c r="U87" s="72">
        <v>45890.625</v>
      </c>
      <c r="V87" s="54">
        <v>94.47</v>
      </c>
      <c r="W87" s="72">
        <v>45888.625</v>
      </c>
      <c r="X87" s="54">
        <v>100.99</v>
      </c>
      <c r="Y87" s="122">
        <v>45902.625</v>
      </c>
      <c r="Z87" s="54">
        <v>119.81</v>
      </c>
      <c r="AA87" s="72">
        <v>45964.625</v>
      </c>
      <c r="AB87" s="54">
        <v>99.748000000000005</v>
      </c>
      <c r="AF87" s="36">
        <v>45965</v>
      </c>
      <c r="AM87" s="72"/>
      <c r="AO87" s="72"/>
      <c r="BE87" s="72">
        <v>45889.625</v>
      </c>
      <c r="BF87" s="54">
        <v>80.349999999999994</v>
      </c>
      <c r="BI87" s="72">
        <v>45889.625</v>
      </c>
      <c r="BJ87" s="54">
        <v>109.76</v>
      </c>
      <c r="BM87" s="72">
        <v>45889.625</v>
      </c>
      <c r="BN87" s="54">
        <v>102.890625</v>
      </c>
      <c r="BO87" s="72">
        <v>45889.625</v>
      </c>
      <c r="BP87" s="54">
        <v>95.78125</v>
      </c>
      <c r="BR87" s="36">
        <v>45965</v>
      </c>
      <c r="BY87" s="72"/>
      <c r="CA87" s="126">
        <v>45894.625</v>
      </c>
      <c r="CB87" s="54">
        <v>107.43819999999999</v>
      </c>
      <c r="CC87" s="126">
        <v>45894.625</v>
      </c>
      <c r="CD87" s="54">
        <v>49.68</v>
      </c>
      <c r="CF87" s="36">
        <v>45965</v>
      </c>
      <c r="CO87" s="126">
        <v>45890.625</v>
      </c>
      <c r="CP87" s="54">
        <v>266.79599999999999</v>
      </c>
      <c r="CQ87" s="126">
        <v>45890.625</v>
      </c>
      <c r="CR87" s="54">
        <v>52.808999999999997</v>
      </c>
      <c r="DF87" s="36">
        <v>45966</v>
      </c>
      <c r="DZ87" s="36">
        <v>45966</v>
      </c>
    </row>
    <row r="88" spans="1:134" x14ac:dyDescent="0.3">
      <c r="A88" s="137">
        <v>45948.625</v>
      </c>
      <c r="B88" s="73">
        <f t="shared" si="432"/>
        <v>92.1</v>
      </c>
      <c r="C88" s="31">
        <f t="shared" si="234"/>
        <v>-402555.91054313391</v>
      </c>
      <c r="D88" s="32">
        <f t="shared" si="235"/>
        <v>-251684.99999999997</v>
      </c>
      <c r="E88" s="73">
        <f t="shared" si="433"/>
        <v>101.253</v>
      </c>
      <c r="F88" s="31">
        <f t="shared" si="237"/>
        <v>2016.0000000000764</v>
      </c>
      <c r="G88" s="32">
        <f t="shared" si="238"/>
        <v>-89606.728679999971</v>
      </c>
      <c r="H88" s="73">
        <f t="shared" si="434"/>
        <v>121.51</v>
      </c>
      <c r="I88" s="31">
        <f t="shared" si="240"/>
        <v>-115560.29532403694</v>
      </c>
      <c r="J88" s="32">
        <f t="shared" si="241"/>
        <v>-432898.19999999995</v>
      </c>
      <c r="K88" s="73">
        <f t="shared" si="435"/>
        <v>100.146</v>
      </c>
      <c r="L88" s="31">
        <f t="shared" si="243"/>
        <v>132938.39999999851</v>
      </c>
      <c r="M88" s="32">
        <f t="shared" si="244"/>
        <v>-197096.76784000004</v>
      </c>
      <c r="N88" s="79">
        <f t="shared" si="436"/>
        <v>-82350.054379098641</v>
      </c>
      <c r="O88" s="79"/>
      <c r="P88" s="79"/>
      <c r="Q88" s="79">
        <f>$G$5*SUM($O$14:O88)-$H$5*SUM($P$14:P88)</f>
        <v>-35590.730199999991</v>
      </c>
      <c r="R88" s="79">
        <f t="shared" si="437"/>
        <v>-117940.78457909863</v>
      </c>
      <c r="U88" s="72">
        <v>45891.625</v>
      </c>
      <c r="V88" s="54">
        <v>94.76</v>
      </c>
      <c r="W88" s="72">
        <v>45889.625</v>
      </c>
      <c r="X88" s="54">
        <v>101.083</v>
      </c>
      <c r="Y88" s="122">
        <v>45903.625</v>
      </c>
      <c r="Z88" s="54">
        <v>120.08</v>
      </c>
      <c r="AF88" s="36">
        <v>45966</v>
      </c>
      <c r="AM88" s="72"/>
      <c r="AO88" s="72"/>
      <c r="BE88" s="72">
        <v>45890.625</v>
      </c>
      <c r="BF88" s="54">
        <v>80.2</v>
      </c>
      <c r="BI88" s="72">
        <v>45890.625</v>
      </c>
      <c r="BJ88" s="54">
        <v>109.34</v>
      </c>
      <c r="BM88" s="72">
        <v>45890.625</v>
      </c>
      <c r="BN88" s="54">
        <v>102.5625</v>
      </c>
      <c r="BO88" s="72">
        <v>45890.625</v>
      </c>
      <c r="BP88" s="54">
        <v>95.3125</v>
      </c>
      <c r="BR88" s="36">
        <v>45966</v>
      </c>
      <c r="BY88" s="72"/>
      <c r="CA88" s="126">
        <v>45895.625</v>
      </c>
      <c r="CB88" s="54">
        <v>107.50369999999999</v>
      </c>
      <c r="CC88" s="126">
        <v>45895.625</v>
      </c>
      <c r="CD88" s="54">
        <v>49.631</v>
      </c>
      <c r="CF88" s="36">
        <v>45966</v>
      </c>
      <c r="CO88" s="126">
        <v>45891.625</v>
      </c>
      <c r="CP88" s="54">
        <v>261.90800000000002</v>
      </c>
      <c r="CQ88" s="126">
        <v>45891.625</v>
      </c>
      <c r="CR88" s="54">
        <v>51.709000000000003</v>
      </c>
      <c r="DF88" s="36">
        <v>45967</v>
      </c>
      <c r="DZ88" s="36">
        <v>45967</v>
      </c>
    </row>
    <row r="89" spans="1:134" x14ac:dyDescent="0.3">
      <c r="A89" s="137">
        <v>45949.625</v>
      </c>
      <c r="B89" s="73">
        <f t="shared" si="432"/>
        <v>92.1</v>
      </c>
      <c r="C89" s="31">
        <f t="shared" si="234"/>
        <v>-402555.91054313391</v>
      </c>
      <c r="D89" s="32">
        <f t="shared" si="235"/>
        <v>-254152.49999999997</v>
      </c>
      <c r="E89" s="73">
        <f>VLOOKUP($A89+$I$2,W$3:X$500,2)</f>
        <v>101.253</v>
      </c>
      <c r="F89" s="31">
        <f t="shared" si="237"/>
        <v>2016.0000000000764</v>
      </c>
      <c r="G89" s="32">
        <f t="shared" si="238"/>
        <v>-90485.226019999973</v>
      </c>
      <c r="H89" s="73">
        <f t="shared" si="434"/>
        <v>121.51</v>
      </c>
      <c r="I89" s="31">
        <f t="shared" si="240"/>
        <v>-115560.29532403694</v>
      </c>
      <c r="J89" s="32">
        <f t="shared" si="241"/>
        <v>-437142.29999999993</v>
      </c>
      <c r="K89" s="73">
        <f t="shared" si="435"/>
        <v>100.146</v>
      </c>
      <c r="L89" s="31">
        <f t="shared" si="243"/>
        <v>132938.39999999851</v>
      </c>
      <c r="M89" s="32">
        <f t="shared" si="244"/>
        <v>-199029.08909333334</v>
      </c>
      <c r="N89" s="79">
        <f t="shared" si="436"/>
        <v>-81627.278292431962</v>
      </c>
      <c r="O89" s="79"/>
      <c r="P89" s="79"/>
      <c r="Q89" s="79">
        <f>$G$5*SUM($O$14:O89)-$H$5*SUM($P$14:P89)</f>
        <v>-35590.730199999991</v>
      </c>
      <c r="R89" s="79">
        <f t="shared" si="437"/>
        <v>-117218.00849243195</v>
      </c>
      <c r="U89" s="72">
        <v>45895.625</v>
      </c>
      <c r="V89" s="54">
        <v>94.59</v>
      </c>
      <c r="W89" s="72">
        <v>45890.625</v>
      </c>
      <c r="X89" s="54">
        <v>100.955</v>
      </c>
      <c r="Y89" s="122">
        <v>45904.625</v>
      </c>
      <c r="Z89" s="54">
        <v>120.3</v>
      </c>
      <c r="AF89" s="36">
        <v>45967</v>
      </c>
      <c r="AM89" s="72"/>
      <c r="AO89" s="72"/>
      <c r="BE89" s="72">
        <v>45891.625</v>
      </c>
      <c r="BF89" s="54">
        <v>80.849999999999994</v>
      </c>
      <c r="BI89" s="72">
        <v>45891.625</v>
      </c>
      <c r="BJ89" s="54">
        <v>110.2</v>
      </c>
      <c r="BM89" s="72">
        <v>45891.625</v>
      </c>
      <c r="BN89" s="54">
        <v>103.125</v>
      </c>
      <c r="BO89" s="72">
        <v>45891.625</v>
      </c>
      <c r="BP89" s="54">
        <v>95.9375</v>
      </c>
      <c r="BR89" s="36">
        <v>45967</v>
      </c>
      <c r="BY89" s="72"/>
      <c r="CA89" s="126">
        <v>45896.625</v>
      </c>
      <c r="CB89" s="54">
        <v>107.3715</v>
      </c>
      <c r="CC89" s="126">
        <v>45896.625</v>
      </c>
      <c r="CD89" s="54">
        <v>50.168999999999997</v>
      </c>
      <c r="CF89" s="36">
        <v>45967</v>
      </c>
      <c r="CO89" s="126">
        <v>45895.625</v>
      </c>
      <c r="CP89" s="54">
        <v>267.59399999999999</v>
      </c>
      <c r="CQ89" s="126">
        <v>45895.625</v>
      </c>
      <c r="CR89" s="54">
        <v>53.003</v>
      </c>
      <c r="DF89" s="36">
        <v>45968</v>
      </c>
      <c r="DZ89" s="36">
        <v>45968</v>
      </c>
    </row>
    <row r="90" spans="1:134" x14ac:dyDescent="0.3">
      <c r="A90" s="137">
        <v>45950.625</v>
      </c>
      <c r="B90" s="73">
        <f t="shared" si="432"/>
        <v>92.33</v>
      </c>
      <c r="C90" s="31">
        <f t="shared" si="234"/>
        <v>-351118.2108626212</v>
      </c>
      <c r="D90" s="32">
        <f t="shared" si="235"/>
        <v>-256619.99999999997</v>
      </c>
      <c r="E90" s="73">
        <f t="shared" si="433"/>
        <v>101.25</v>
      </c>
      <c r="F90" s="31">
        <f t="shared" si="237"/>
        <v>1512.0000000000573</v>
      </c>
      <c r="G90" s="32">
        <f t="shared" si="238"/>
        <v>-91363.723359999945</v>
      </c>
      <c r="H90" s="73">
        <f t="shared" si="434"/>
        <v>121.57</v>
      </c>
      <c r="I90" s="31">
        <f t="shared" si="240"/>
        <v>-97781.788351112496</v>
      </c>
      <c r="J90" s="32">
        <f t="shared" si="241"/>
        <v>-441386.39999999991</v>
      </c>
      <c r="K90" s="73">
        <f t="shared" si="435"/>
        <v>100.10599999999999</v>
      </c>
      <c r="L90" s="31">
        <f t="shared" si="243"/>
        <v>119162.39999999636</v>
      </c>
      <c r="M90" s="32">
        <f t="shared" si="244"/>
        <v>-200961.41034666667</v>
      </c>
      <c r="N90" s="79">
        <f t="shared" si="436"/>
        <v>-60517.309498179151</v>
      </c>
      <c r="O90" s="79"/>
      <c r="P90" s="79"/>
      <c r="Q90" s="79">
        <f>$G$5*SUM($O$14:O90)-$H$5*SUM($P$14:P90)</f>
        <v>-35590.730199999991</v>
      </c>
      <c r="R90" s="79">
        <f t="shared" si="437"/>
        <v>-96108.039698179142</v>
      </c>
      <c r="U90" s="72">
        <v>45896.625</v>
      </c>
      <c r="V90" s="54">
        <v>94.56</v>
      </c>
      <c r="W90" s="72">
        <v>45891.625</v>
      </c>
      <c r="X90" s="54">
        <v>101.027</v>
      </c>
      <c r="Y90" s="122">
        <v>45905.625</v>
      </c>
      <c r="Z90" s="54">
        <v>120.64</v>
      </c>
      <c r="AF90" s="36">
        <v>45968</v>
      </c>
      <c r="AM90" s="72"/>
      <c r="AO90" s="72"/>
      <c r="BE90" s="72">
        <v>45894.625</v>
      </c>
      <c r="BF90" s="54">
        <v>80.69</v>
      </c>
      <c r="BI90" s="72">
        <v>45894.625</v>
      </c>
      <c r="BJ90" s="54">
        <v>109.91</v>
      </c>
      <c r="BM90" s="72">
        <v>45894.625</v>
      </c>
      <c r="BN90" s="54">
        <v>102.9375</v>
      </c>
      <c r="BO90" s="72">
        <v>45894.625</v>
      </c>
      <c r="BP90" s="54">
        <v>95.71875</v>
      </c>
      <c r="BR90" s="36">
        <v>45968</v>
      </c>
      <c r="BY90" s="72"/>
      <c r="CA90" s="126">
        <v>45897.625</v>
      </c>
      <c r="CB90" s="54">
        <v>107.40689999999999</v>
      </c>
      <c r="CC90" s="126">
        <v>45897.625</v>
      </c>
      <c r="CD90" s="54">
        <v>50.031999999999996</v>
      </c>
      <c r="CF90" s="36">
        <v>45968</v>
      </c>
      <c r="CO90" s="126">
        <v>45896.625</v>
      </c>
      <c r="CP90" s="54">
        <v>274.23899999999998</v>
      </c>
      <c r="CQ90" s="126">
        <v>45896.625</v>
      </c>
      <c r="CR90" s="54">
        <v>54.777000000000001</v>
      </c>
      <c r="DF90" s="36">
        <v>45969</v>
      </c>
      <c r="DZ90" s="36">
        <v>45969</v>
      </c>
    </row>
    <row r="91" spans="1:134" x14ac:dyDescent="0.3">
      <c r="A91" s="137">
        <v>45951.625</v>
      </c>
      <c r="B91" s="73">
        <f t="shared" ref="B91" si="438">VLOOKUP($A91+$I$2,U$3:V$500,2)</f>
        <v>92.33</v>
      </c>
      <c r="C91" s="31">
        <f t="shared" si="234"/>
        <v>-351118.2108626212</v>
      </c>
      <c r="D91" s="32">
        <f t="shared" si="235"/>
        <v>-259087.5</v>
      </c>
      <c r="E91" s="73">
        <f t="shared" ref="E91" si="439">VLOOKUP($A91+$I$2,W$3:X$500,2)</f>
        <v>101.289</v>
      </c>
      <c r="F91" s="31">
        <f t="shared" si="237"/>
        <v>8064.0000000003056</v>
      </c>
      <c r="G91" s="32">
        <f t="shared" si="238"/>
        <v>-92242.220699999991</v>
      </c>
      <c r="H91" s="73">
        <f t="shared" ref="H91" si="440">VLOOKUP($A91+$I$2,Y$3:Z$500,2)</f>
        <v>121.57</v>
      </c>
      <c r="I91" s="31">
        <f t="shared" si="240"/>
        <v>-97781.788351112496</v>
      </c>
      <c r="J91" s="32">
        <f t="shared" si="241"/>
        <v>-445630.5</v>
      </c>
      <c r="K91" s="73">
        <f t="shared" ref="K91" si="441">VLOOKUP($A91+$I$2,AA$3:AB$500,2)</f>
        <v>100.206</v>
      </c>
      <c r="L91" s="31">
        <f t="shared" si="243"/>
        <v>153602.3999999993</v>
      </c>
      <c r="M91" s="32">
        <f t="shared" si="244"/>
        <v>-202893.73160000006</v>
      </c>
      <c r="N91" s="79">
        <f t="shared" ref="N91" si="442">C91+D91-F91-G91-I91-J91+L91+M91</f>
        <v>-31906.533411509852</v>
      </c>
      <c r="O91" s="79"/>
      <c r="P91" s="79"/>
      <c r="Q91" s="79">
        <f>$G$5*SUM($O$14:O91)-$H$5*SUM($P$14:P91)</f>
        <v>-35590.730199999991</v>
      </c>
      <c r="R91" s="79">
        <f t="shared" ref="R91" si="443">N91+Q91</f>
        <v>-67497.263611509843</v>
      </c>
      <c r="U91" s="72">
        <v>45897.625</v>
      </c>
      <c r="V91" s="54">
        <v>94.44</v>
      </c>
      <c r="W91" s="72">
        <v>45894.625</v>
      </c>
      <c r="X91" s="54">
        <v>100.916</v>
      </c>
      <c r="Y91" s="122">
        <v>45908.625</v>
      </c>
      <c r="Z91" s="54">
        <v>120.74</v>
      </c>
      <c r="AF91" s="36">
        <v>45969</v>
      </c>
      <c r="AM91" s="72"/>
      <c r="BE91" s="72">
        <v>45895.625</v>
      </c>
      <c r="BF91" s="54">
        <v>80.87</v>
      </c>
      <c r="BI91" s="72">
        <v>45895.625</v>
      </c>
      <c r="BJ91" s="54">
        <v>109.99</v>
      </c>
      <c r="BM91" s="72">
        <v>45895.625</v>
      </c>
      <c r="BN91" s="54">
        <v>103.171875</v>
      </c>
      <c r="BO91" s="72">
        <v>45895.625</v>
      </c>
      <c r="BP91" s="54">
        <v>95.609375</v>
      </c>
      <c r="BR91" s="36">
        <v>45969</v>
      </c>
      <c r="BY91" s="72"/>
      <c r="CA91" s="126">
        <v>45898.625</v>
      </c>
      <c r="CB91" s="54">
        <v>107.20489999999999</v>
      </c>
      <c r="CC91" s="126">
        <v>45898.625</v>
      </c>
      <c r="CD91" s="54">
        <v>50.929000000000002</v>
      </c>
      <c r="CF91" s="36">
        <v>45969</v>
      </c>
      <c r="CO91" s="126">
        <v>45897.625</v>
      </c>
      <c r="CP91" s="54">
        <v>264.39100000000002</v>
      </c>
      <c r="CQ91" s="126">
        <v>45897.625</v>
      </c>
      <c r="CR91" s="54">
        <v>54.683</v>
      </c>
      <c r="DF91" s="36">
        <v>45970</v>
      </c>
      <c r="DZ91" s="36">
        <v>45970</v>
      </c>
    </row>
    <row r="92" spans="1:134" x14ac:dyDescent="0.3">
      <c r="A92" s="137">
        <v>45952.625</v>
      </c>
      <c r="B92" s="73">
        <f t="shared" ref="B92" si="444">VLOOKUP($A92+$I$2,U$3:V$500,2)</f>
        <v>92.37</v>
      </c>
      <c r="C92" s="31">
        <f t="shared" si="234"/>
        <v>-342172.52396166045</v>
      </c>
      <c r="D92" s="32">
        <f t="shared" si="235"/>
        <v>-261554.99999999997</v>
      </c>
      <c r="E92" s="73">
        <f t="shared" ref="E92" si="445">VLOOKUP($A92+$I$2,W$3:X$500,2)</f>
        <v>101.261</v>
      </c>
      <c r="F92" s="31">
        <f t="shared" si="237"/>
        <v>3359.9999999993315</v>
      </c>
      <c r="G92" s="32">
        <f t="shared" si="238"/>
        <v>-93120.718039999963</v>
      </c>
      <c r="H92" s="73">
        <f t="shared" ref="H92" si="446">VLOOKUP($A92+$I$2,Y$3:Z$500,2)</f>
        <v>121.65</v>
      </c>
      <c r="I92" s="31">
        <f t="shared" si="240"/>
        <v>-74077.11238720121</v>
      </c>
      <c r="J92" s="32">
        <f t="shared" si="241"/>
        <v>-449874.6</v>
      </c>
      <c r="K92" s="73">
        <f t="shared" ref="K92" si="447">VLOOKUP($A92+$I$2,AA$3:AB$500,2)</f>
        <v>100.13800000000001</v>
      </c>
      <c r="L92" s="31">
        <f t="shared" si="243"/>
        <v>130183.20000000004</v>
      </c>
      <c r="M92" s="32">
        <f t="shared" si="244"/>
        <v>-204826.05285333333</v>
      </c>
      <c r="N92" s="79">
        <f t="shared" ref="N92" si="448">C92+D92-F92-G92-I92-J92+L92+M92</f>
        <v>-64657.94638779189</v>
      </c>
      <c r="O92" s="79"/>
      <c r="P92" s="79"/>
      <c r="Q92" s="79">
        <f>$G$5*SUM($O$14:O92)-$H$5*SUM($P$14:P92)</f>
        <v>-35590.730199999991</v>
      </c>
      <c r="R92" s="79">
        <f t="shared" ref="R92" si="449">N92+Q92</f>
        <v>-100248.67658779188</v>
      </c>
      <c r="U92" s="72">
        <v>45898.625</v>
      </c>
      <c r="V92" s="54">
        <v>94.44</v>
      </c>
      <c r="W92" s="72">
        <v>45895.625</v>
      </c>
      <c r="X92" s="54">
        <v>101.051</v>
      </c>
      <c r="Y92" s="122">
        <v>45909.625</v>
      </c>
      <c r="Z92" s="54">
        <v>120.66</v>
      </c>
      <c r="AF92" s="36">
        <v>45970</v>
      </c>
      <c r="AM92" s="72"/>
      <c r="BE92" s="72">
        <v>45896.625</v>
      </c>
      <c r="BF92" s="54">
        <v>80.97</v>
      </c>
      <c r="BI92" s="72">
        <v>45896.625</v>
      </c>
      <c r="BJ92" s="54">
        <v>110.03</v>
      </c>
      <c r="BM92" s="72">
        <v>45896.625</v>
      </c>
      <c r="BN92" s="54">
        <v>103.34375</v>
      </c>
      <c r="BO92" s="72">
        <v>45896.625</v>
      </c>
      <c r="BP92" s="54">
        <v>95.46875</v>
      </c>
      <c r="BR92" s="36">
        <v>45970</v>
      </c>
      <c r="BY92" s="72"/>
      <c r="CA92" s="126">
        <v>45902.625</v>
      </c>
      <c r="CB92" s="54">
        <v>107.1491</v>
      </c>
      <c r="CC92" s="126">
        <v>45902.625</v>
      </c>
      <c r="CD92" s="54">
        <v>51.244999999999997</v>
      </c>
      <c r="CF92" s="36">
        <v>45970</v>
      </c>
      <c r="CO92" s="126">
        <v>45898.625</v>
      </c>
      <c r="CP92" s="54">
        <v>267.71499999999997</v>
      </c>
      <c r="CQ92" s="126">
        <v>45898.625</v>
      </c>
      <c r="CR92" s="54">
        <v>55.435000000000002</v>
      </c>
    </row>
    <row r="93" spans="1:134" x14ac:dyDescent="0.3">
      <c r="A93" s="137">
        <v>45953.625</v>
      </c>
      <c r="B93" s="73">
        <f t="shared" ref="B93" si="450">VLOOKUP($A93+$I$2,U$3:V$500,2)</f>
        <v>92.5</v>
      </c>
      <c r="C93" s="31">
        <f t="shared" si="234"/>
        <v>-313099.04153354728</v>
      </c>
      <c r="D93" s="32">
        <f t="shared" si="235"/>
        <v>-264022.49999999994</v>
      </c>
      <c r="E93" s="73">
        <f t="shared" ref="E93" si="451">VLOOKUP($A93+$I$2,W$3:X$500,2)</f>
        <v>101.229</v>
      </c>
      <c r="F93" s="31">
        <f t="shared" si="237"/>
        <v>-2016.0000000000764</v>
      </c>
      <c r="G93" s="32">
        <f t="shared" si="238"/>
        <v>-93999.21537999998</v>
      </c>
      <c r="H93" s="73">
        <f t="shared" ref="H93" si="452">VLOOKUP($A93+$I$2,Y$3:Z$500,2)</f>
        <v>121.61</v>
      </c>
      <c r="I93" s="31">
        <f t="shared" si="240"/>
        <v>-85929.450369158862</v>
      </c>
      <c r="J93" s="32">
        <f t="shared" si="241"/>
        <v>-454118.69999999995</v>
      </c>
      <c r="K93" s="73">
        <f t="shared" ref="K93" si="453">VLOOKUP($A93+$I$2,AA$3:AB$500,2)</f>
        <v>100.104</v>
      </c>
      <c r="L93" s="31">
        <f t="shared" si="243"/>
        <v>118473.59999999797</v>
      </c>
      <c r="M93" s="32">
        <f t="shared" si="244"/>
        <v>-206758.37410666666</v>
      </c>
      <c r="N93" s="79">
        <f t="shared" ref="N93" si="454">C93+D93-F93-G93-I93-J93+L93+M93</f>
        <v>-29342.949891057011</v>
      </c>
      <c r="O93" s="79"/>
      <c r="P93" s="79"/>
      <c r="Q93" s="79">
        <f>$G$5*SUM($O$14:O93)-$H$5*SUM($P$14:P93)</f>
        <v>-35590.730199999991</v>
      </c>
      <c r="R93" s="79">
        <f t="shared" ref="R93" si="455">N93+Q93</f>
        <v>-64933.680091057002</v>
      </c>
      <c r="U93" s="72">
        <v>45901.625</v>
      </c>
      <c r="V93" s="54">
        <v>94.4</v>
      </c>
      <c r="W93" s="72">
        <v>45896.625</v>
      </c>
      <c r="X93" s="54">
        <v>101.142</v>
      </c>
      <c r="Y93" s="122">
        <v>45910.625</v>
      </c>
      <c r="Z93" s="54">
        <v>120.75</v>
      </c>
      <c r="AM93" s="72"/>
      <c r="BE93" s="72">
        <v>45897.625</v>
      </c>
      <c r="BF93" s="54">
        <v>81.010000000000005</v>
      </c>
      <c r="BI93" s="72">
        <v>45897.625</v>
      </c>
      <c r="BJ93" s="54">
        <v>110.2</v>
      </c>
      <c r="BM93" s="72">
        <v>45897.625</v>
      </c>
      <c r="BN93" s="54">
        <v>103.59375</v>
      </c>
      <c r="BO93" s="72">
        <v>45897.625</v>
      </c>
      <c r="BP93" s="54">
        <v>96.0625</v>
      </c>
      <c r="BY93" s="72"/>
      <c r="CA93" s="126">
        <v>45903.625</v>
      </c>
      <c r="CB93" s="54">
        <v>107.15860000000001</v>
      </c>
      <c r="CC93" s="126">
        <v>45903.625</v>
      </c>
      <c r="CD93" s="54">
        <v>50.915999999999997</v>
      </c>
      <c r="CO93" s="126">
        <v>45901.625</v>
      </c>
      <c r="CP93" s="54">
        <v>268.10199999999998</v>
      </c>
      <c r="CQ93" s="126">
        <v>45901.625</v>
      </c>
      <c r="CR93" s="54">
        <v>55.500999999999998</v>
      </c>
    </row>
    <row r="94" spans="1:134" x14ac:dyDescent="0.3">
      <c r="A94" s="137">
        <v>45954.625</v>
      </c>
      <c r="B94" s="73">
        <f t="shared" ref="B94" si="456">VLOOKUP($A94+$I$2,U$3:V$500,2)</f>
        <v>92.56</v>
      </c>
      <c r="C94" s="31">
        <f t="shared" si="234"/>
        <v>-299680.51118210849</v>
      </c>
      <c r="D94" s="32">
        <f t="shared" si="235"/>
        <v>-266489.99999999994</v>
      </c>
      <c r="E94" s="73">
        <f t="shared" ref="E94" si="457">VLOOKUP($A94+$I$2,W$3:X$500,2)</f>
        <v>101.092</v>
      </c>
      <c r="F94" s="31">
        <f t="shared" si="237"/>
        <v>-25032.000000000153</v>
      </c>
      <c r="G94" s="32">
        <f t="shared" si="238"/>
        <v>-94877.712719999952</v>
      </c>
      <c r="H94" s="73">
        <f t="shared" ref="H94" si="458">VLOOKUP($A94+$I$2,Y$3:Z$500,2)</f>
        <v>121.49</v>
      </c>
      <c r="I94" s="31">
        <f t="shared" si="240"/>
        <v>-121486.46431501576</v>
      </c>
      <c r="J94" s="32">
        <f t="shared" si="241"/>
        <v>-458362.79999999993</v>
      </c>
      <c r="K94" s="73">
        <f t="shared" ref="K94" si="459">VLOOKUP($A94+$I$2,AA$3:AB$500,2)</f>
        <v>99.841999999999999</v>
      </c>
      <c r="L94" s="31">
        <f t="shared" si="243"/>
        <v>28240.799999997809</v>
      </c>
      <c r="M94" s="32">
        <f t="shared" si="244"/>
        <v>-208690.69535999993</v>
      </c>
      <c r="N94" s="79">
        <f t="shared" ref="N94" si="460">C94+D94-F94-G94-I94-J94+L94+M94</f>
        <v>-46861.429507094785</v>
      </c>
      <c r="O94" s="79"/>
      <c r="P94" s="79"/>
      <c r="Q94" s="79">
        <f>$G$5*SUM($O$14:O94)-$H$5*SUM($P$14:P94)</f>
        <v>-35590.730199999991</v>
      </c>
      <c r="R94" s="79">
        <f t="shared" ref="R94" si="461">N94+Q94</f>
        <v>-82452.159707094776</v>
      </c>
      <c r="U94" s="72">
        <v>45902.625</v>
      </c>
      <c r="V94" s="54">
        <v>94.24</v>
      </c>
      <c r="W94" s="72">
        <v>45897.625</v>
      </c>
      <c r="X94" s="54">
        <v>101.092</v>
      </c>
      <c r="Y94" s="122">
        <v>45911.625</v>
      </c>
      <c r="Z94" s="54">
        <v>120.76</v>
      </c>
      <c r="AM94" s="72"/>
      <c r="BE94" s="72">
        <v>45898.625</v>
      </c>
      <c r="BF94" s="54">
        <v>80.86</v>
      </c>
      <c r="BI94" s="72">
        <v>45898.625</v>
      </c>
      <c r="BJ94" s="54">
        <v>109.83</v>
      </c>
      <c r="BM94" s="72">
        <v>45898.625</v>
      </c>
      <c r="BN94" s="54">
        <v>103.453125</v>
      </c>
      <c r="BO94" s="72">
        <v>45898.625</v>
      </c>
      <c r="BP94" s="54">
        <v>95.375</v>
      </c>
      <c r="BY94" s="72"/>
      <c r="CA94" s="126">
        <v>45904.625</v>
      </c>
      <c r="CB94" s="54">
        <v>107.4136</v>
      </c>
      <c r="CC94" s="126">
        <v>45904.625</v>
      </c>
      <c r="CD94" s="54">
        <v>49.465000000000003</v>
      </c>
      <c r="CO94" s="126">
        <v>45902.625</v>
      </c>
      <c r="CP94" s="54">
        <v>274.209</v>
      </c>
      <c r="CQ94" s="126">
        <v>45902.625</v>
      </c>
      <c r="CR94" s="54">
        <v>56.918999999999997</v>
      </c>
    </row>
    <row r="95" spans="1:134" x14ac:dyDescent="0.3">
      <c r="A95" s="137">
        <v>45957.625</v>
      </c>
      <c r="B95" s="73">
        <f t="shared" ref="B95" si="462">VLOOKUP($A95+$I$2,U$3:V$500,2)</f>
        <v>92.8</v>
      </c>
      <c r="C95" s="31">
        <f t="shared" si="234"/>
        <v>-246006.38977636024</v>
      </c>
      <c r="D95" s="32">
        <f t="shared" si="235"/>
        <v>-273892.5</v>
      </c>
      <c r="E95" s="73">
        <f t="shared" ref="E95" si="463">VLOOKUP($A95+$I$2,W$3:X$500,2)</f>
        <v>101.077</v>
      </c>
      <c r="F95" s="31">
        <f t="shared" si="237"/>
        <v>-27552.000000000247</v>
      </c>
      <c r="G95" s="32">
        <f t="shared" si="238"/>
        <v>-97513.204739999986</v>
      </c>
      <c r="H95" s="73">
        <f t="shared" ref="H95" si="464">VLOOKUP($A95+$I$2,Y$3:Z$500,2)</f>
        <v>121.55</v>
      </c>
      <c r="I95" s="31">
        <f t="shared" si="240"/>
        <v>-103707.95734208732</v>
      </c>
      <c r="J95" s="32">
        <f t="shared" si="241"/>
        <v>-471095.10000000003</v>
      </c>
      <c r="K95" s="73">
        <f t="shared" ref="K95" si="465">VLOOKUP($A95+$I$2,AA$3:AB$500,2)</f>
        <v>99.850999999999999</v>
      </c>
      <c r="L95" s="31">
        <f t="shared" si="243"/>
        <v>31340.399999997924</v>
      </c>
      <c r="M95" s="32">
        <f t="shared" si="244"/>
        <v>-214487.65912000003</v>
      </c>
      <c r="N95" s="79">
        <f t="shared" ref="N95" si="466">C95+D95-F95-G95-I95-J95+L95+M95</f>
        <v>-3177.8868142748252</v>
      </c>
      <c r="O95" s="79"/>
      <c r="P95" s="79"/>
      <c r="Q95" s="79">
        <f>$G$5*SUM($O$14:O95)-$H$5*SUM($P$14:P95)</f>
        <v>-35590.730199999991</v>
      </c>
      <c r="R95" s="79">
        <f t="shared" ref="R95" si="467">N95+Q95</f>
        <v>-38768.617014274816</v>
      </c>
      <c r="U95" s="72">
        <v>45903.625</v>
      </c>
      <c r="V95" s="54">
        <v>94.38</v>
      </c>
      <c r="W95" s="72">
        <v>45898.625</v>
      </c>
      <c r="X95" s="54">
        <v>101.096</v>
      </c>
      <c r="Y95" s="122">
        <v>45912.625</v>
      </c>
      <c r="Z95" s="54">
        <v>120.63</v>
      </c>
      <c r="BE95" s="72">
        <v>45902.625</v>
      </c>
      <c r="BF95" s="54">
        <v>80.39</v>
      </c>
      <c r="BI95" s="72">
        <v>45902.625</v>
      </c>
      <c r="BJ95" s="54">
        <v>109.05</v>
      </c>
      <c r="BM95" s="72">
        <v>45901.625</v>
      </c>
      <c r="BN95" s="54">
        <v>103.40625</v>
      </c>
      <c r="BO95" s="72">
        <v>45901.625</v>
      </c>
      <c r="BP95" s="54">
        <v>95.28125</v>
      </c>
      <c r="CA95" s="126">
        <v>45905.625</v>
      </c>
      <c r="CB95" s="54">
        <v>107.2762</v>
      </c>
      <c r="CC95" s="126">
        <v>45905.625</v>
      </c>
      <c r="CD95" s="54">
        <v>50.021000000000001</v>
      </c>
      <c r="CO95" s="126">
        <v>45903.625</v>
      </c>
      <c r="CP95" s="54">
        <v>267.14</v>
      </c>
      <c r="CQ95" s="126">
        <v>45903.625</v>
      </c>
      <c r="CR95" s="54">
        <v>55.265000000000001</v>
      </c>
    </row>
    <row r="96" spans="1:134" x14ac:dyDescent="0.3">
      <c r="A96" s="137">
        <v>45958.625</v>
      </c>
      <c r="B96" s="73">
        <f t="shared" ref="B96" si="468">VLOOKUP($A96+$I$2,U$3:V$500,2)</f>
        <v>92.79</v>
      </c>
      <c r="C96" s="31">
        <f t="shared" si="234"/>
        <v>-248242.8115015981</v>
      </c>
      <c r="D96" s="32">
        <f t="shared" si="235"/>
        <v>-276360</v>
      </c>
      <c r="E96" s="73">
        <f t="shared" ref="E96" si="469">VLOOKUP($A96+$I$2,W$3:X$500,2)</f>
        <v>101.083</v>
      </c>
      <c r="F96" s="31">
        <f t="shared" si="237"/>
        <v>-26544.000000000211</v>
      </c>
      <c r="G96" s="32">
        <f t="shared" si="238"/>
        <v>-98391.702080000017</v>
      </c>
      <c r="H96" s="73">
        <f t="shared" ref="H96" si="470">VLOOKUP($A96+$I$2,Y$3:Z$500,2)</f>
        <v>121.6</v>
      </c>
      <c r="I96" s="31">
        <f t="shared" si="240"/>
        <v>-88892.534864646266</v>
      </c>
      <c r="J96" s="32">
        <f t="shared" si="241"/>
        <v>-475339.2</v>
      </c>
      <c r="K96" s="73">
        <f t="shared" ref="K96" si="471">VLOOKUP($A96+$I$2,AA$3:AB$500,2)</f>
        <v>99.867999999999995</v>
      </c>
      <c r="L96" s="31">
        <f t="shared" si="243"/>
        <v>37195.199999996512</v>
      </c>
      <c r="M96" s="32">
        <f t="shared" si="244"/>
        <v>-216419.9803733333</v>
      </c>
      <c r="N96" s="79">
        <f t="shared" ref="N96" si="472">C96+D96-F96-G96-I96-J96+L96+M96</f>
        <v>-14660.15493028835</v>
      </c>
      <c r="O96" s="79"/>
      <c r="P96" s="79"/>
      <c r="Q96" s="79">
        <f>$G$5*SUM($O$14:O96)-$H$5*SUM($P$14:P96)</f>
        <v>-35590.730199999991</v>
      </c>
      <c r="R96" s="79">
        <f t="shared" ref="R96" si="473">N96+Q96</f>
        <v>-50250.885130288341</v>
      </c>
      <c r="U96" s="72">
        <v>45904.625</v>
      </c>
      <c r="V96" s="54">
        <v>94.54</v>
      </c>
      <c r="W96" s="72">
        <v>45901.625</v>
      </c>
      <c r="X96" s="54">
        <v>101.01900000000001</v>
      </c>
      <c r="Y96" s="122">
        <v>45915.625</v>
      </c>
      <c r="Z96" s="54">
        <v>120.7</v>
      </c>
      <c r="BE96" s="72">
        <v>45903.625</v>
      </c>
      <c r="BF96" s="54">
        <v>80.61</v>
      </c>
      <c r="BI96" s="72">
        <v>45903.625</v>
      </c>
      <c r="BJ96" s="54">
        <v>109.7</v>
      </c>
      <c r="BM96" s="72">
        <v>45902.625</v>
      </c>
      <c r="BN96" s="54">
        <v>103.09375</v>
      </c>
      <c r="BO96" s="72">
        <v>45902.625</v>
      </c>
      <c r="BP96" s="54">
        <v>94.6875</v>
      </c>
      <c r="CA96" s="126">
        <v>45908.625</v>
      </c>
      <c r="CB96" s="54">
        <v>107.2625</v>
      </c>
      <c r="CC96" s="126">
        <v>45908.625</v>
      </c>
      <c r="CD96" s="54">
        <v>49.890999999999998</v>
      </c>
      <c r="CO96" s="126">
        <v>45904.625</v>
      </c>
      <c r="CP96" s="54">
        <v>264.74099999999999</v>
      </c>
      <c r="CQ96" s="126">
        <v>45904.625</v>
      </c>
      <c r="CR96" s="54">
        <v>54.372999999999998</v>
      </c>
    </row>
    <row r="97" spans="1:96" x14ac:dyDescent="0.3">
      <c r="A97" s="137">
        <v>45959.625</v>
      </c>
      <c r="B97" s="73">
        <f t="shared" ref="B97" si="474">VLOOKUP($A97+$I$2,U$3:V$500,2)</f>
        <v>92.78</v>
      </c>
      <c r="C97" s="31">
        <f t="shared" ref="C97" si="475">(B97/$B$14-1)*$B$5</f>
        <v>-250479.23322683829</v>
      </c>
      <c r="D97" s="32">
        <f t="shared" ref="D97" si="476">-1*(A97-$A$14)/360*$B$7*$B$5</f>
        <v>-278827.5</v>
      </c>
      <c r="E97" s="73">
        <f t="shared" ref="E97" si="477">VLOOKUP($A97+$I$2,W$3:X$500,2)</f>
        <v>101.07899999999999</v>
      </c>
      <c r="F97" s="31">
        <f t="shared" ref="F97" si="478">(E97-$E$14)/100*$C$5</f>
        <v>-27216.000000001033</v>
      </c>
      <c r="G97" s="32">
        <f t="shared" ref="G97" si="479">(A97-$A$14)/360*$C$6*$C$5-(A97-$A$14)/360*$C$7*$C$5*$E$14/100</f>
        <v>-99270.199420000019</v>
      </c>
      <c r="H97" s="73">
        <f t="shared" ref="H97" si="480">VLOOKUP($A97+$I$2,Y$3:Z$500,2)</f>
        <v>121.65</v>
      </c>
      <c r="I97" s="31">
        <f t="shared" ref="I97" si="481">(H97/$H$14-1)*$D$5</f>
        <v>-74077.11238720121</v>
      </c>
      <c r="J97" s="32">
        <f t="shared" ref="J97" si="482">-1*(A97-$A$14)/360*$D$7*$D$5</f>
        <v>-479583.3</v>
      </c>
      <c r="K97" s="73">
        <f t="shared" ref="K97" si="483">VLOOKUP($A97+$I$2,AA$3:AB$500,2)</f>
        <v>99.85</v>
      </c>
      <c r="L97" s="31">
        <f t="shared" ref="L97" si="484">(K97-$K$14)/100*$E$5</f>
        <v>30995.999999996278</v>
      </c>
      <c r="M97" s="32">
        <f t="shared" ref="M97" si="485">(A97-$A$14)/360*$E$6*$E$5-(A97-$A$14)/360*$E$7*$E$5*$K$14/100</f>
        <v>-218352.30162666668</v>
      </c>
      <c r="N97" s="79">
        <f t="shared" ref="N97" si="486">C97+D97-F97-G97-I97-J97+L97+M97</f>
        <v>-36516.423046306416</v>
      </c>
      <c r="O97" s="79"/>
      <c r="P97" s="79"/>
      <c r="Q97" s="79">
        <f>$G$5*SUM($O$14:O97)-$H$5*SUM($P$14:P97)</f>
        <v>-35590.730199999991</v>
      </c>
      <c r="R97" s="79">
        <f t="shared" ref="R97" si="487">N97+Q97</f>
        <v>-72107.153246306407</v>
      </c>
      <c r="U97" s="72">
        <v>45905.625</v>
      </c>
      <c r="V97" s="54">
        <v>94.64</v>
      </c>
      <c r="W97" s="72">
        <v>45902.625</v>
      </c>
      <c r="X97" s="54">
        <v>100.976</v>
      </c>
      <c r="Y97" s="122">
        <v>45916.625</v>
      </c>
      <c r="Z97" s="54">
        <v>120.66</v>
      </c>
      <c r="BE97" s="72">
        <v>45904.625</v>
      </c>
      <c r="BF97" s="54">
        <v>80.819999999999993</v>
      </c>
      <c r="BI97" s="72">
        <v>45904.625</v>
      </c>
      <c r="BJ97" s="54">
        <v>110.45</v>
      </c>
      <c r="BM97" s="72">
        <v>45903.625</v>
      </c>
      <c r="BN97" s="54">
        <v>103.46875</v>
      </c>
      <c r="BO97" s="72">
        <v>45903.625</v>
      </c>
      <c r="BP97" s="54">
        <v>95.6875</v>
      </c>
      <c r="CA97" s="126">
        <v>45909.625</v>
      </c>
      <c r="CB97" s="54">
        <v>107.24930000000001</v>
      </c>
      <c r="CC97" s="126">
        <v>45909.625</v>
      </c>
      <c r="CD97" s="54">
        <v>49.667000000000002</v>
      </c>
      <c r="CO97" s="126">
        <v>45905.625</v>
      </c>
      <c r="CP97" s="54">
        <v>263.56599999999997</v>
      </c>
      <c r="CQ97" s="126">
        <v>45905.625</v>
      </c>
      <c r="CR97" s="54">
        <v>54.095999999999997</v>
      </c>
    </row>
    <row r="98" spans="1:96" x14ac:dyDescent="0.3">
      <c r="A98" s="137">
        <v>45960.625</v>
      </c>
      <c r="B98" s="73">
        <f t="shared" ref="B98" si="488">VLOOKUP($A98+$I$2,U$3:V$500,2)</f>
        <v>92.49</v>
      </c>
      <c r="C98" s="31">
        <f t="shared" ref="C98:C99" si="489">(B98/$B$14-1)*$B$5</f>
        <v>-315335.46325878747</v>
      </c>
      <c r="D98" s="32">
        <f t="shared" ref="D98:D99" si="490">-1*(A98-$A$14)/360*$B$7*$B$5</f>
        <v>-281295</v>
      </c>
      <c r="E98" s="73">
        <f t="shared" ref="E98" si="491">VLOOKUP($A98+$I$2,W$3:X$500,2)</f>
        <v>101.026</v>
      </c>
      <c r="F98" s="31">
        <f t="shared" ref="F98:F99" si="492">(E98-$E$14)/100*$C$5</f>
        <v>-36120.000000000575</v>
      </c>
      <c r="G98" s="32">
        <f t="shared" ref="G98:G99" si="493">(A98-$A$14)/360*$C$6*$C$5-(A98-$A$14)/360*$C$7*$C$5*$E$14/100</f>
        <v>-100148.69675999996</v>
      </c>
      <c r="H98" s="73">
        <f t="shared" ref="H98" si="494">VLOOKUP($A98+$I$2,Y$3:Z$500,2)</f>
        <v>121.55</v>
      </c>
      <c r="I98" s="31">
        <f t="shared" ref="I98:I99" si="495">(H98/$H$14-1)*$D$5</f>
        <v>-103707.95734208732</v>
      </c>
      <c r="J98" s="32">
        <f t="shared" ref="J98:J99" si="496">-1*(A98-$A$14)/360*$D$7*$D$5</f>
        <v>-483827.39999999997</v>
      </c>
      <c r="K98" s="73">
        <f t="shared" ref="K98" si="497">VLOOKUP($A98+$I$2,AA$3:AB$500,2)</f>
        <v>99.772999999999996</v>
      </c>
      <c r="L98" s="31">
        <f t="shared" ref="L98:L99" si="498">(K98-$K$14)/100*$E$5</f>
        <v>4477.1999999969066</v>
      </c>
      <c r="M98" s="32">
        <f t="shared" ref="M98:M99" si="499">(A98-$A$14)/360*$E$6*$E$5-(A98-$A$14)/360*$E$7*$E$5*$K$14/100</f>
        <v>-220284.62288000007</v>
      </c>
      <c r="N98" s="79">
        <f t="shared" ref="N98" si="500">C98+D98-F98-G98-I98-J98+L98+M98</f>
        <v>-88633.832036702894</v>
      </c>
      <c r="O98" s="79"/>
      <c r="P98" s="79"/>
      <c r="Q98" s="79">
        <f>$G$5*SUM($O$14:O98)-$H$5*SUM($P$14:P98)</f>
        <v>-35590.730199999991</v>
      </c>
      <c r="R98" s="79">
        <f t="shared" ref="R98" si="501">N98+Q98</f>
        <v>-124224.56223670288</v>
      </c>
      <c r="U98" s="72">
        <v>45908.625</v>
      </c>
      <c r="V98" s="54">
        <v>94.65</v>
      </c>
      <c r="W98" s="72">
        <v>45903.625</v>
      </c>
      <c r="X98" s="54">
        <v>101.038</v>
      </c>
      <c r="Y98" s="122">
        <v>45917.625</v>
      </c>
      <c r="Z98" s="54">
        <v>120.67</v>
      </c>
      <c r="BE98" s="72">
        <v>45905.625</v>
      </c>
      <c r="BF98" s="54">
        <v>80.87</v>
      </c>
      <c r="BI98" s="72">
        <v>45905.625</v>
      </c>
      <c r="BJ98" s="54">
        <v>111.17</v>
      </c>
      <c r="BM98" s="72">
        <v>45904.625</v>
      </c>
      <c r="BN98" s="54">
        <v>103.9375</v>
      </c>
      <c r="BO98" s="72">
        <v>45904.625</v>
      </c>
      <c r="BP98" s="54">
        <v>96.328125</v>
      </c>
      <c r="CA98" s="126">
        <v>45910.625</v>
      </c>
      <c r="CB98" s="54">
        <v>107.3793</v>
      </c>
      <c r="CC98" s="126">
        <v>45910.625</v>
      </c>
      <c r="CD98" s="54">
        <v>49.031999999999996</v>
      </c>
      <c r="CO98" s="126">
        <v>45908.625</v>
      </c>
      <c r="CP98" s="54">
        <v>261.50299999999999</v>
      </c>
      <c r="CQ98" s="126">
        <v>45908.625</v>
      </c>
      <c r="CR98" s="54">
        <v>53.42</v>
      </c>
    </row>
    <row r="99" spans="1:96" x14ac:dyDescent="0.3">
      <c r="A99" s="137">
        <v>45961.625</v>
      </c>
      <c r="B99" s="73">
        <f>B10</f>
        <v>92.55</v>
      </c>
      <c r="C99" s="31">
        <f t="shared" si="489"/>
        <v>-301916.932907351</v>
      </c>
      <c r="D99" s="32">
        <f t="shared" si="490"/>
        <v>-283762.49999999994</v>
      </c>
      <c r="E99" s="73">
        <f>C10</f>
        <v>101.01600000000001</v>
      </c>
      <c r="F99" s="31">
        <f t="shared" si="492"/>
        <v>-37799.99999999904</v>
      </c>
      <c r="G99" s="32">
        <f t="shared" si="493"/>
        <v>-101027.19409999996</v>
      </c>
      <c r="H99" s="73">
        <f>D10</f>
        <v>121.34</v>
      </c>
      <c r="I99" s="31">
        <f t="shared" si="495"/>
        <v>-165932.73174733488</v>
      </c>
      <c r="J99" s="32">
        <f t="shared" si="496"/>
        <v>-488071.49999999994</v>
      </c>
      <c r="K99" s="73">
        <f>E10</f>
        <v>99.747</v>
      </c>
      <c r="L99" s="31">
        <f t="shared" si="498"/>
        <v>-4477.2000000018015</v>
      </c>
      <c r="M99" s="32">
        <f t="shared" si="499"/>
        <v>-222216.94413333334</v>
      </c>
      <c r="N99" s="79">
        <f>C99+D99-F99-G99-I99-J99+L99+M99</f>
        <v>-19542.151193352242</v>
      </c>
      <c r="O99" s="79"/>
      <c r="P99" s="79"/>
      <c r="Q99" s="79">
        <f>$G$5*SUM($O$14:O99)-$H$5*SUM($P$14:P99)</f>
        <v>-35590.730199999991</v>
      </c>
      <c r="R99" s="79">
        <f t="shared" ref="R99" si="502">N99+Q99</f>
        <v>-55132.881393352232</v>
      </c>
      <c r="U99" s="72">
        <v>45909.625</v>
      </c>
      <c r="V99" s="54">
        <v>94.54</v>
      </c>
      <c r="W99" s="72">
        <v>45904.625</v>
      </c>
      <c r="X99" s="54">
        <v>101.06399999999999</v>
      </c>
      <c r="Y99" s="122">
        <v>45918.625</v>
      </c>
      <c r="Z99" s="54">
        <v>120.7</v>
      </c>
      <c r="BE99" s="72">
        <v>45908.625</v>
      </c>
      <c r="BF99" s="54">
        <v>80.87</v>
      </c>
      <c r="BI99" s="72">
        <v>45908.625</v>
      </c>
      <c r="BJ99" s="54">
        <v>111.56</v>
      </c>
      <c r="BM99" s="72">
        <v>45905.625</v>
      </c>
      <c r="BN99" s="54">
        <v>104.5</v>
      </c>
      <c r="BO99" s="72">
        <v>45905.625</v>
      </c>
      <c r="BP99" s="54">
        <v>97.703125</v>
      </c>
      <c r="CA99" s="126">
        <v>45911.625</v>
      </c>
      <c r="CB99" s="54">
        <v>107.7234</v>
      </c>
      <c r="CC99" s="126">
        <v>45911.625</v>
      </c>
      <c r="CD99" s="54">
        <v>47.65</v>
      </c>
      <c r="CO99" s="126">
        <v>45909.625</v>
      </c>
      <c r="CP99" s="54">
        <v>261.88799999999998</v>
      </c>
      <c r="CQ99" s="126">
        <v>45909.625</v>
      </c>
      <c r="CR99" s="54">
        <v>53.2</v>
      </c>
    </row>
    <row r="100" spans="1:96" x14ac:dyDescent="0.3">
      <c r="A100" s="36">
        <v>45964</v>
      </c>
      <c r="U100" s="72">
        <v>45910.625</v>
      </c>
      <c r="V100" s="54">
        <v>94.53</v>
      </c>
      <c r="W100" s="72">
        <v>45905.625</v>
      </c>
      <c r="X100" s="54">
        <v>101.19</v>
      </c>
      <c r="Y100" s="122">
        <v>45919.625</v>
      </c>
      <c r="Z100" s="54">
        <v>120.71</v>
      </c>
      <c r="BE100" s="72">
        <v>45909.625</v>
      </c>
      <c r="BF100" s="54">
        <v>80.78</v>
      </c>
      <c r="BI100" s="72">
        <v>45909.625</v>
      </c>
      <c r="BJ100" s="54">
        <v>111.36</v>
      </c>
      <c r="BM100" s="72">
        <v>45908.625</v>
      </c>
      <c r="BN100" s="54">
        <v>104.828125</v>
      </c>
      <c r="BO100" s="72">
        <v>45908.625</v>
      </c>
      <c r="BP100" s="54">
        <v>98.953125</v>
      </c>
      <c r="CA100" s="126">
        <v>45912.625</v>
      </c>
      <c r="CB100" s="54">
        <v>107.64149999999999</v>
      </c>
      <c r="CC100" s="126">
        <v>45912.625</v>
      </c>
      <c r="CD100" s="54">
        <v>47.94</v>
      </c>
      <c r="CO100" s="126">
        <v>45910.625</v>
      </c>
      <c r="CP100" s="54">
        <v>258.988</v>
      </c>
      <c r="CQ100" s="126">
        <v>45910.625</v>
      </c>
      <c r="CR100" s="54">
        <v>52.481000000000002</v>
      </c>
    </row>
    <row r="101" spans="1:96" x14ac:dyDescent="0.3">
      <c r="A101" s="36">
        <v>45965</v>
      </c>
      <c r="U101" s="72">
        <v>45911.625</v>
      </c>
      <c r="V101" s="54">
        <v>92.29</v>
      </c>
      <c r="W101" s="72">
        <v>45908.625</v>
      </c>
      <c r="X101" s="54">
        <v>101.23099999999999</v>
      </c>
      <c r="Y101" s="122">
        <v>45922.625</v>
      </c>
      <c r="Z101" s="54">
        <v>120.61</v>
      </c>
      <c r="BE101" s="72">
        <v>45910.625</v>
      </c>
      <c r="BF101" s="54">
        <v>80.84</v>
      </c>
      <c r="BI101" s="72">
        <v>45910.625</v>
      </c>
      <c r="BJ101" s="54">
        <v>111.69</v>
      </c>
      <c r="BM101" s="72">
        <v>45909.625</v>
      </c>
      <c r="BN101" s="54">
        <v>104.5625</v>
      </c>
      <c r="BO101" s="72">
        <v>45909.625</v>
      </c>
      <c r="BP101" s="54">
        <v>98.421875</v>
      </c>
      <c r="CA101" s="126">
        <v>45915.625</v>
      </c>
      <c r="CB101" s="54">
        <v>107.8558</v>
      </c>
      <c r="CC101" s="126">
        <v>45915.625</v>
      </c>
      <c r="CD101" s="54">
        <v>47.017000000000003</v>
      </c>
      <c r="CO101" s="126">
        <v>45911.625</v>
      </c>
      <c r="CP101" s="54">
        <v>253.00800000000001</v>
      </c>
      <c r="CQ101" s="126">
        <v>45911.625</v>
      </c>
      <c r="CR101" s="54">
        <v>51.143000000000001</v>
      </c>
    </row>
    <row r="102" spans="1:96" x14ac:dyDescent="0.3">
      <c r="A102" s="36">
        <v>45966</v>
      </c>
      <c r="U102" s="72">
        <v>45912.625</v>
      </c>
      <c r="V102" s="54">
        <v>92.46</v>
      </c>
      <c r="W102" s="72">
        <v>45909.625</v>
      </c>
      <c r="X102" s="54">
        <v>101.163</v>
      </c>
      <c r="Y102" s="122">
        <v>45923.625</v>
      </c>
      <c r="Z102" s="54">
        <v>120.6</v>
      </c>
      <c r="BE102" s="72">
        <v>45911.625</v>
      </c>
      <c r="BF102" s="54">
        <v>81.040000000000006</v>
      </c>
      <c r="BI102" s="72">
        <v>45911.625</v>
      </c>
      <c r="BJ102" s="54">
        <v>112.21</v>
      </c>
      <c r="BM102" s="72">
        <v>45910.625</v>
      </c>
      <c r="BN102" s="54">
        <v>104.875</v>
      </c>
      <c r="BO102" s="72">
        <v>45910.625</v>
      </c>
      <c r="BP102" s="54">
        <v>98.921875</v>
      </c>
      <c r="CA102" s="126">
        <v>45916.625</v>
      </c>
      <c r="CB102" s="54">
        <v>107.8259</v>
      </c>
      <c r="CC102" s="126">
        <v>45916.625</v>
      </c>
      <c r="CD102" s="54">
        <v>47.42</v>
      </c>
      <c r="CO102" s="126">
        <v>45912.625</v>
      </c>
      <c r="CP102" s="54">
        <v>252.27</v>
      </c>
      <c r="CQ102" s="126">
        <v>45912.625</v>
      </c>
      <c r="CR102" s="54">
        <v>50.945999999999998</v>
      </c>
    </row>
    <row r="103" spans="1:96" x14ac:dyDescent="0.3">
      <c r="A103" s="36">
        <v>45967</v>
      </c>
      <c r="U103" s="72">
        <v>45915.625</v>
      </c>
      <c r="V103" s="54">
        <v>92.46</v>
      </c>
      <c r="W103" s="72">
        <v>45910.625</v>
      </c>
      <c r="X103" s="54">
        <v>101.126</v>
      </c>
      <c r="Y103" s="122">
        <v>45924.625</v>
      </c>
      <c r="Z103" s="54">
        <v>120.67</v>
      </c>
      <c r="BE103" s="72">
        <v>45912.625</v>
      </c>
      <c r="BF103" s="54">
        <v>80.959999999999994</v>
      </c>
      <c r="BI103" s="72">
        <v>45912.625</v>
      </c>
      <c r="BJ103" s="54">
        <v>112.01</v>
      </c>
      <c r="BM103" s="72">
        <v>45911.625</v>
      </c>
      <c r="BN103" s="54">
        <v>105.046875</v>
      </c>
      <c r="BO103" s="72">
        <v>45911.625</v>
      </c>
      <c r="BP103" s="54">
        <v>99.578125</v>
      </c>
      <c r="CA103" s="126">
        <v>45917.625</v>
      </c>
      <c r="CB103" s="54">
        <v>107.72799999999999</v>
      </c>
      <c r="CC103" s="126">
        <v>45917.625</v>
      </c>
      <c r="CD103" s="54">
        <v>47.936999999999998</v>
      </c>
      <c r="CO103" s="126">
        <v>45915.625</v>
      </c>
      <c r="CP103" s="54">
        <v>247.80699999999999</v>
      </c>
      <c r="CQ103" s="126">
        <v>45915.625</v>
      </c>
      <c r="CR103" s="54">
        <v>50.042000000000002</v>
      </c>
    </row>
    <row r="104" spans="1:96" x14ac:dyDescent="0.3">
      <c r="A104" s="36">
        <v>45968</v>
      </c>
      <c r="U104" s="72">
        <v>45916.625</v>
      </c>
      <c r="V104" s="54">
        <v>92.35</v>
      </c>
      <c r="W104" s="72">
        <v>45911.625</v>
      </c>
      <c r="X104" s="54">
        <v>101.012</v>
      </c>
      <c r="Y104" s="122">
        <v>45925.625</v>
      </c>
      <c r="Z104" s="54">
        <v>120.43</v>
      </c>
      <c r="BE104" s="72">
        <v>45915.625</v>
      </c>
      <c r="BF104" s="54">
        <v>81.19</v>
      </c>
      <c r="BI104" s="72">
        <v>45915.625</v>
      </c>
      <c r="BJ104" s="54">
        <v>112.36</v>
      </c>
      <c r="BM104" s="72">
        <v>45912.625</v>
      </c>
      <c r="BN104" s="54">
        <v>104.71875</v>
      </c>
      <c r="BO104" s="72">
        <v>45912.625</v>
      </c>
      <c r="BP104" s="54">
        <v>99.140625</v>
      </c>
      <c r="CA104" s="126">
        <v>45918.625</v>
      </c>
      <c r="CB104" s="54">
        <v>107.9539</v>
      </c>
      <c r="CC104" s="126">
        <v>45918.625</v>
      </c>
      <c r="CD104" s="54">
        <v>46.959000000000003</v>
      </c>
      <c r="CO104" s="126">
        <v>45916.625</v>
      </c>
      <c r="CP104" s="54">
        <v>251.81700000000001</v>
      </c>
      <c r="CQ104" s="126">
        <v>45916.625</v>
      </c>
      <c r="CR104" s="54">
        <v>50.780999999999999</v>
      </c>
    </row>
    <row r="105" spans="1:96" x14ac:dyDescent="0.3">
      <c r="A105" s="36">
        <v>45969</v>
      </c>
      <c r="U105" s="72">
        <v>45917.625</v>
      </c>
      <c r="V105" s="54">
        <v>92.39</v>
      </c>
      <c r="W105" s="72">
        <v>45912.625</v>
      </c>
      <c r="X105" s="54">
        <v>100.934</v>
      </c>
      <c r="Y105" s="122">
        <v>45929.625</v>
      </c>
      <c r="Z105" s="54">
        <v>120.76</v>
      </c>
      <c r="BE105" s="72">
        <v>45916.625</v>
      </c>
      <c r="BF105" s="54">
        <v>81.13</v>
      </c>
      <c r="BI105" s="72">
        <v>45916.625</v>
      </c>
      <c r="BJ105" s="54">
        <v>112.26</v>
      </c>
      <c r="BM105" s="72">
        <v>45915.625</v>
      </c>
      <c r="BN105" s="54">
        <v>104.890625</v>
      </c>
      <c r="BO105" s="72">
        <v>45915.625</v>
      </c>
      <c r="BP105" s="54">
        <v>99.390625</v>
      </c>
      <c r="CA105" s="126">
        <v>45919.625</v>
      </c>
      <c r="CB105" s="54">
        <v>107.8977</v>
      </c>
      <c r="CC105" s="126">
        <v>45919.625</v>
      </c>
      <c r="CD105" s="54">
        <v>47.231000000000002</v>
      </c>
      <c r="CO105" s="126">
        <v>45917.625</v>
      </c>
      <c r="CP105" s="54">
        <v>251.23599999999999</v>
      </c>
      <c r="CQ105" s="126">
        <v>45917.625</v>
      </c>
      <c r="CR105" s="54">
        <v>50.738</v>
      </c>
    </row>
    <row r="106" spans="1:96" x14ac:dyDescent="0.3">
      <c r="A106" s="36">
        <v>45970</v>
      </c>
      <c r="U106" s="72">
        <v>45918.625</v>
      </c>
      <c r="V106" s="54">
        <v>92.67</v>
      </c>
      <c r="W106" s="72">
        <v>45915.625</v>
      </c>
      <c r="X106" s="54">
        <v>100.944</v>
      </c>
      <c r="Y106" s="122">
        <v>45930.625</v>
      </c>
      <c r="Z106" s="54">
        <v>120.78</v>
      </c>
      <c r="BE106" s="72">
        <v>45917.625</v>
      </c>
      <c r="BF106" s="54">
        <v>81.05</v>
      </c>
      <c r="BI106" s="72">
        <v>45917.625</v>
      </c>
      <c r="BJ106" s="54">
        <v>112.06</v>
      </c>
      <c r="BM106" s="72">
        <v>45916.625</v>
      </c>
      <c r="BN106" s="54">
        <v>104.9375</v>
      </c>
      <c r="BO106" s="72">
        <v>45916.625</v>
      </c>
      <c r="BP106" s="54">
        <v>99.53125</v>
      </c>
      <c r="CA106" s="126">
        <v>45922.625</v>
      </c>
      <c r="CB106" s="54">
        <v>107.9379</v>
      </c>
      <c r="CC106" s="126">
        <v>45922.625</v>
      </c>
      <c r="CD106" s="54">
        <v>47.365000000000002</v>
      </c>
      <c r="CO106" s="126">
        <v>45918.625</v>
      </c>
      <c r="CP106" s="54">
        <v>247.51499999999999</v>
      </c>
      <c r="CQ106" s="126">
        <v>45918.625</v>
      </c>
      <c r="CR106" s="54">
        <v>50.093000000000004</v>
      </c>
    </row>
    <row r="107" spans="1:96" x14ac:dyDescent="0.3">
      <c r="U107" s="72">
        <v>45919.625</v>
      </c>
      <c r="V107" s="54">
        <v>92.67</v>
      </c>
      <c r="W107" s="72">
        <v>45916.625</v>
      </c>
      <c r="X107" s="54">
        <v>100.953</v>
      </c>
      <c r="Y107" s="122">
        <v>45931.625</v>
      </c>
      <c r="Z107" s="54">
        <v>120.85</v>
      </c>
      <c r="BE107" s="72">
        <v>45918.625</v>
      </c>
      <c r="BF107" s="54">
        <v>81.23</v>
      </c>
      <c r="BI107" s="72">
        <v>45918.625</v>
      </c>
      <c r="BJ107" s="54">
        <v>111.83</v>
      </c>
      <c r="BM107" s="72">
        <v>45917.625</v>
      </c>
      <c r="BN107" s="54">
        <v>104.671875</v>
      </c>
      <c r="BO107" s="72">
        <v>45917.625</v>
      </c>
      <c r="BP107" s="54">
        <v>99.34375</v>
      </c>
      <c r="CA107" s="126">
        <v>45923.625</v>
      </c>
      <c r="CB107" s="54">
        <v>107.82299999999999</v>
      </c>
      <c r="CC107" s="126">
        <v>45923.625</v>
      </c>
      <c r="CD107" s="54">
        <v>47.701000000000001</v>
      </c>
      <c r="CO107" s="126">
        <v>45919.625</v>
      </c>
      <c r="CP107" s="54">
        <v>248.51300000000001</v>
      </c>
      <c r="CQ107" s="126">
        <v>45919.625</v>
      </c>
      <c r="CR107" s="54">
        <v>50.19</v>
      </c>
    </row>
    <row r="108" spans="1:96" x14ac:dyDescent="0.3">
      <c r="U108" s="72">
        <v>45922.625</v>
      </c>
      <c r="V108" s="54">
        <v>92.52</v>
      </c>
      <c r="W108" s="72">
        <v>45917.625</v>
      </c>
      <c r="X108" s="54">
        <v>100.971</v>
      </c>
      <c r="Y108" s="122">
        <v>45932.625</v>
      </c>
      <c r="Z108" s="54">
        <v>120.92</v>
      </c>
      <c r="BE108" s="72">
        <v>45919.625</v>
      </c>
      <c r="BF108" s="54">
        <v>81.260000000000005</v>
      </c>
      <c r="BI108" s="72">
        <v>45919.625</v>
      </c>
      <c r="BJ108" s="54">
        <v>111.74</v>
      </c>
      <c r="BM108" s="72">
        <v>45918.625</v>
      </c>
      <c r="BN108" s="54">
        <v>104.296875</v>
      </c>
      <c r="BO108" s="72">
        <v>45918.625</v>
      </c>
      <c r="BP108" s="54">
        <v>98.3125</v>
      </c>
      <c r="CA108" s="126">
        <v>45924.625</v>
      </c>
      <c r="CB108" s="54">
        <v>107.7465</v>
      </c>
      <c r="CC108" s="126">
        <v>45924.625</v>
      </c>
      <c r="CD108" s="54">
        <v>48.238999999999997</v>
      </c>
      <c r="CO108" s="126">
        <v>45922.625</v>
      </c>
      <c r="CP108" s="54">
        <v>247.34700000000001</v>
      </c>
      <c r="CQ108" s="126">
        <v>45922.625</v>
      </c>
      <c r="CR108" s="54">
        <v>50.252000000000002</v>
      </c>
    </row>
    <row r="109" spans="1:96" x14ac:dyDescent="0.3">
      <c r="U109" s="72">
        <v>45923.625</v>
      </c>
      <c r="V109" s="54">
        <v>92.67</v>
      </c>
      <c r="W109" s="72">
        <v>45918.625</v>
      </c>
      <c r="X109" s="54">
        <v>100.956</v>
      </c>
      <c r="Y109" s="122">
        <v>45933.625</v>
      </c>
      <c r="Z109" s="54">
        <v>120.97</v>
      </c>
      <c r="BE109" s="72">
        <v>45922.625</v>
      </c>
      <c r="BF109" s="54">
        <v>81.319999999999993</v>
      </c>
      <c r="BI109" s="72">
        <v>45922.625</v>
      </c>
      <c r="BJ109" s="54">
        <v>111.48</v>
      </c>
      <c r="BM109" s="72">
        <v>45919.625</v>
      </c>
      <c r="BN109" s="54">
        <v>104.203125</v>
      </c>
      <c r="BO109" s="72">
        <v>45919.625</v>
      </c>
      <c r="BP109" s="54">
        <v>98.109375</v>
      </c>
      <c r="CA109" s="126">
        <v>45925.625</v>
      </c>
      <c r="CB109" s="54">
        <v>107.6015</v>
      </c>
      <c r="CC109" s="126">
        <v>45925.625</v>
      </c>
      <c r="CD109" s="54">
        <v>48.945</v>
      </c>
      <c r="CO109" s="126">
        <v>45923.625</v>
      </c>
      <c r="CP109" s="54">
        <v>242.93100000000001</v>
      </c>
      <c r="CQ109" s="126">
        <v>45923.625</v>
      </c>
      <c r="CR109" s="54">
        <v>49.594999999999999</v>
      </c>
    </row>
    <row r="110" spans="1:96" x14ac:dyDescent="0.3">
      <c r="U110" s="72">
        <v>45924.625</v>
      </c>
      <c r="V110" s="54">
        <v>92.59</v>
      </c>
      <c r="W110" s="72">
        <v>45919.625</v>
      </c>
      <c r="X110" s="54">
        <v>100.904</v>
      </c>
      <c r="Y110" s="122">
        <v>45936.625</v>
      </c>
      <c r="Z110" s="54">
        <v>120.96</v>
      </c>
      <c r="BE110" s="72">
        <v>45923.625</v>
      </c>
      <c r="BF110" s="54">
        <v>81.260000000000005</v>
      </c>
      <c r="BI110" s="72">
        <v>45923.625</v>
      </c>
      <c r="BJ110" s="54">
        <v>111.71</v>
      </c>
      <c r="BM110" s="72">
        <v>45922.625</v>
      </c>
      <c r="BN110" s="54">
        <v>104.015625</v>
      </c>
      <c r="BO110" s="72">
        <v>45922.625</v>
      </c>
      <c r="BP110" s="54">
        <v>97.71875</v>
      </c>
      <c r="CA110" s="126">
        <v>45926.625</v>
      </c>
      <c r="CB110" s="54">
        <v>107.7762</v>
      </c>
      <c r="CC110" s="126">
        <v>45926.625</v>
      </c>
      <c r="CD110" s="54">
        <v>48.259</v>
      </c>
      <c r="CO110" s="126">
        <v>45924.625</v>
      </c>
      <c r="CP110" s="54">
        <v>243.08600000000001</v>
      </c>
      <c r="CQ110" s="126">
        <v>45924.625</v>
      </c>
      <c r="CR110" s="54">
        <v>49.652999999999999</v>
      </c>
    </row>
    <row r="111" spans="1:96" x14ac:dyDescent="0.3">
      <c r="U111" s="72">
        <v>45925.625</v>
      </c>
      <c r="V111" s="54">
        <v>92.45</v>
      </c>
      <c r="W111" s="72">
        <v>45922.625</v>
      </c>
      <c r="X111" s="54">
        <v>100.913</v>
      </c>
      <c r="Y111" s="122">
        <v>45937.625</v>
      </c>
      <c r="Z111" s="54">
        <v>120.93</v>
      </c>
      <c r="BE111" s="72">
        <v>45924.625</v>
      </c>
      <c r="BF111" s="54">
        <v>81.150000000000006</v>
      </c>
      <c r="BI111" s="72">
        <v>45924.625</v>
      </c>
      <c r="BJ111" s="54">
        <v>111.26</v>
      </c>
      <c r="BM111" s="72">
        <v>45923.625</v>
      </c>
      <c r="BN111" s="54">
        <v>104.328125</v>
      </c>
      <c r="BO111" s="72">
        <v>45923.625</v>
      </c>
      <c r="BP111" s="54">
        <v>98.40625</v>
      </c>
      <c r="CA111" s="126">
        <v>45929.625</v>
      </c>
      <c r="CB111" s="54">
        <v>107.9713</v>
      </c>
      <c r="CC111" s="126">
        <v>45929.625</v>
      </c>
      <c r="CD111" s="54">
        <v>47.534999999999997</v>
      </c>
      <c r="CO111" s="126">
        <v>45925.625</v>
      </c>
      <c r="CP111" s="54">
        <v>247.20099999999999</v>
      </c>
      <c r="CQ111" s="126">
        <v>45925.625</v>
      </c>
      <c r="CR111" s="54">
        <v>50.735999999999997</v>
      </c>
    </row>
    <row r="112" spans="1:96" x14ac:dyDescent="0.3">
      <c r="U112" s="72">
        <v>45926.625</v>
      </c>
      <c r="V112" s="54">
        <v>92.46</v>
      </c>
      <c r="W112" s="72">
        <v>45923.625</v>
      </c>
      <c r="X112" s="54">
        <v>100.883</v>
      </c>
      <c r="Y112" s="122">
        <v>45938.625</v>
      </c>
      <c r="Z112" s="54">
        <v>121.12</v>
      </c>
      <c r="BE112" s="72">
        <v>45925.625</v>
      </c>
      <c r="BF112" s="54">
        <v>80.92</v>
      </c>
      <c r="BI112" s="72">
        <v>45925.625</v>
      </c>
      <c r="BJ112" s="54">
        <v>111.06</v>
      </c>
      <c r="BM112" s="72">
        <v>45924.625</v>
      </c>
      <c r="BN112" s="54">
        <v>104.03125</v>
      </c>
      <c r="BO112" s="72">
        <v>45924.625</v>
      </c>
      <c r="BP112" s="54">
        <v>98</v>
      </c>
      <c r="CA112" s="126">
        <v>45930.625</v>
      </c>
      <c r="CB112" s="54">
        <v>107.99469999999999</v>
      </c>
      <c r="CC112" s="126">
        <v>45930.625</v>
      </c>
      <c r="CD112" s="54">
        <v>47.451999999999998</v>
      </c>
      <c r="CO112" s="126">
        <v>45926.625</v>
      </c>
      <c r="CP112" s="54">
        <v>244.453</v>
      </c>
      <c r="CQ112" s="126">
        <v>45926.625</v>
      </c>
      <c r="CR112" s="54">
        <v>50.292000000000002</v>
      </c>
    </row>
    <row r="113" spans="21:96" x14ac:dyDescent="0.3">
      <c r="U113" s="72">
        <v>45929.625</v>
      </c>
      <c r="V113" s="54">
        <v>92.5</v>
      </c>
      <c r="W113" s="72">
        <v>45924.625</v>
      </c>
      <c r="X113" s="54">
        <v>100.893</v>
      </c>
      <c r="Y113" s="122">
        <v>45939.625</v>
      </c>
      <c r="Z113" s="54">
        <v>120.99</v>
      </c>
      <c r="BE113" s="72">
        <v>45926.625</v>
      </c>
      <c r="BF113" s="54">
        <v>81.08</v>
      </c>
      <c r="BI113" s="72">
        <v>45926.625</v>
      </c>
      <c r="BJ113" s="54">
        <v>111.21</v>
      </c>
      <c r="BM113" s="72">
        <v>45925.625</v>
      </c>
      <c r="BN113" s="54">
        <v>103.8125</v>
      </c>
      <c r="BO113" s="72">
        <v>45925.625</v>
      </c>
      <c r="BP113" s="54">
        <v>98</v>
      </c>
      <c r="CA113" s="126">
        <v>45931.625</v>
      </c>
      <c r="CB113" s="54">
        <v>107.9406</v>
      </c>
      <c r="CC113" s="126">
        <v>45931.625</v>
      </c>
      <c r="CD113" s="54">
        <v>47.582000000000001</v>
      </c>
      <c r="CO113" s="126">
        <v>45929.625</v>
      </c>
      <c r="CP113" s="54">
        <v>241.69499999999999</v>
      </c>
      <c r="CQ113" s="126">
        <v>45929.625</v>
      </c>
      <c r="CR113" s="54">
        <v>49.634</v>
      </c>
    </row>
    <row r="114" spans="21:96" x14ac:dyDescent="0.3">
      <c r="U114" s="72">
        <v>45930.625</v>
      </c>
      <c r="V114" s="54">
        <v>92.47</v>
      </c>
      <c r="W114" s="72">
        <v>45925.625</v>
      </c>
      <c r="X114" s="54">
        <v>100.822</v>
      </c>
      <c r="Y114" s="122">
        <v>45940.625</v>
      </c>
      <c r="Z114" s="54">
        <v>121</v>
      </c>
      <c r="BE114" s="72">
        <v>45929.625</v>
      </c>
      <c r="BF114" s="54">
        <v>81.22</v>
      </c>
      <c r="BI114" s="72">
        <v>45929.625</v>
      </c>
      <c r="BJ114" s="54">
        <v>111.58</v>
      </c>
      <c r="BM114" s="72">
        <v>45926.625</v>
      </c>
      <c r="BN114" s="54">
        <v>103.71875</v>
      </c>
      <c r="BO114" s="72">
        <v>45926.625</v>
      </c>
      <c r="BP114" s="54">
        <v>97.890625</v>
      </c>
      <c r="CA114" s="126">
        <v>45932.625</v>
      </c>
      <c r="CB114" s="54">
        <v>107.9785</v>
      </c>
      <c r="CC114" s="126">
        <v>45932.625</v>
      </c>
      <c r="CD114" s="54">
        <v>47.204999999999998</v>
      </c>
      <c r="CO114" s="126">
        <v>45930.625</v>
      </c>
      <c r="CP114" s="54">
        <v>240.52799999999999</v>
      </c>
      <c r="CQ114" s="126">
        <v>45930.625</v>
      </c>
      <c r="CR114" s="54">
        <v>49.851999999999997</v>
      </c>
    </row>
    <row r="115" spans="21:96" x14ac:dyDescent="0.3">
      <c r="U115" s="72">
        <v>45931.625</v>
      </c>
      <c r="V115" s="54">
        <v>92.57</v>
      </c>
      <c r="W115" s="72">
        <v>45926.625</v>
      </c>
      <c r="X115" s="54">
        <v>100.866</v>
      </c>
      <c r="Y115" s="122">
        <v>45943.625</v>
      </c>
      <c r="Z115" s="54">
        <v>121.1</v>
      </c>
      <c r="BE115" s="72">
        <v>45930.625</v>
      </c>
      <c r="BF115" s="54">
        <v>81.19</v>
      </c>
      <c r="BI115" s="72">
        <v>45930.625</v>
      </c>
      <c r="BJ115" s="54">
        <v>111.47</v>
      </c>
      <c r="BM115" s="72">
        <v>45929.625</v>
      </c>
      <c r="BN115" s="54">
        <v>104.015625</v>
      </c>
      <c r="BO115" s="72">
        <v>45929.625</v>
      </c>
      <c r="BP115" s="54">
        <v>98.625</v>
      </c>
      <c r="CA115" s="126">
        <v>45933.625</v>
      </c>
      <c r="CB115" s="54">
        <v>107.9615</v>
      </c>
      <c r="CC115" s="126">
        <v>45933.625</v>
      </c>
      <c r="CD115" s="54">
        <v>47.156999999999996</v>
      </c>
      <c r="CO115" s="126">
        <v>45931.625</v>
      </c>
      <c r="CP115" s="54">
        <v>239.28700000000001</v>
      </c>
      <c r="CQ115" s="126">
        <v>45931.625</v>
      </c>
      <c r="CR115" s="54">
        <v>49.369</v>
      </c>
    </row>
    <row r="116" spans="21:96" x14ac:dyDescent="0.3">
      <c r="U116" s="72">
        <v>45932.625</v>
      </c>
      <c r="V116" s="54">
        <v>92.64</v>
      </c>
      <c r="W116" s="72">
        <v>45929.625</v>
      </c>
      <c r="X116" s="54">
        <v>100.89</v>
      </c>
      <c r="Y116" s="122">
        <v>45944.625</v>
      </c>
      <c r="Z116" s="54">
        <v>121.2</v>
      </c>
      <c r="BE116" s="72">
        <v>45931.625</v>
      </c>
      <c r="BF116" s="54">
        <v>80.959999999999994</v>
      </c>
      <c r="BI116" s="72">
        <v>45931.625</v>
      </c>
      <c r="BJ116" s="54">
        <v>111.51</v>
      </c>
      <c r="BM116" s="72">
        <v>45930.625</v>
      </c>
      <c r="BN116" s="54">
        <v>103.96875</v>
      </c>
      <c r="BO116" s="72">
        <v>45930.625</v>
      </c>
      <c r="BP116" s="54">
        <v>98.328125</v>
      </c>
      <c r="CA116" s="126">
        <v>45936.625</v>
      </c>
      <c r="CB116" s="54">
        <v>108.1194</v>
      </c>
      <c r="CC116" s="126">
        <v>45936.625</v>
      </c>
      <c r="CD116" s="54">
        <v>46.581000000000003</v>
      </c>
      <c r="CO116" s="126">
        <v>45932.625</v>
      </c>
      <c r="CP116" s="54">
        <v>236.33199999999999</v>
      </c>
      <c r="CQ116" s="126">
        <v>45932.625</v>
      </c>
      <c r="CR116" s="54">
        <v>48.860999999999997</v>
      </c>
    </row>
    <row r="117" spans="21:96" x14ac:dyDescent="0.3">
      <c r="U117" s="72">
        <v>45933.625</v>
      </c>
      <c r="V117" s="54">
        <v>92.6</v>
      </c>
      <c r="W117" s="72">
        <v>45930.625</v>
      </c>
      <c r="X117" s="54">
        <v>100.89400000000001</v>
      </c>
      <c r="Y117" s="122">
        <v>45945.625</v>
      </c>
      <c r="Z117" s="54">
        <v>121.62</v>
      </c>
      <c r="BE117" s="72">
        <v>45932.625</v>
      </c>
      <c r="BF117" s="54">
        <v>80.930000000000007</v>
      </c>
      <c r="BI117" s="72">
        <v>45932.625</v>
      </c>
      <c r="BJ117" s="54">
        <v>111.69</v>
      </c>
      <c r="BM117" s="72">
        <v>45931.625</v>
      </c>
      <c r="BN117" s="54">
        <v>104.3125</v>
      </c>
      <c r="BO117" s="72">
        <v>45931.625</v>
      </c>
      <c r="BP117" s="54">
        <v>98.53125</v>
      </c>
      <c r="CA117" s="126">
        <v>45937.625</v>
      </c>
      <c r="CB117" s="54">
        <v>108.0094</v>
      </c>
      <c r="CC117" s="126">
        <v>45937.625</v>
      </c>
      <c r="CD117" s="54">
        <v>47.156999999999996</v>
      </c>
      <c r="CO117" s="126">
        <v>45933.625</v>
      </c>
      <c r="CP117" s="54">
        <v>235.94200000000001</v>
      </c>
      <c r="CQ117" s="126">
        <v>45933.625</v>
      </c>
      <c r="CR117" s="54">
        <v>48.695999999999998</v>
      </c>
    </row>
    <row r="118" spans="21:96" x14ac:dyDescent="0.3">
      <c r="U118" s="72">
        <v>45936.625</v>
      </c>
      <c r="V118" s="54">
        <v>92.49</v>
      </c>
      <c r="W118" s="72">
        <v>45931.625</v>
      </c>
      <c r="X118" s="54">
        <v>100.92</v>
      </c>
      <c r="Y118" s="122">
        <v>45946.625</v>
      </c>
      <c r="Z118" s="54">
        <v>121.6</v>
      </c>
      <c r="BE118" s="72">
        <v>45933.625</v>
      </c>
      <c r="BF118" s="54">
        <v>80.84</v>
      </c>
      <c r="BI118" s="72">
        <v>45933.625</v>
      </c>
      <c r="BJ118" s="54">
        <v>111.55</v>
      </c>
      <c r="BM118" s="72">
        <v>45932.625</v>
      </c>
      <c r="BN118" s="54">
        <v>104.4375</v>
      </c>
      <c r="BO118" s="72">
        <v>45932.625</v>
      </c>
      <c r="BP118" s="54">
        <v>98.8125</v>
      </c>
      <c r="CA118" s="126">
        <v>45938.625</v>
      </c>
      <c r="CB118" s="54">
        <v>107.92919999999999</v>
      </c>
      <c r="CC118" s="126">
        <v>45938.625</v>
      </c>
      <c r="CD118" s="54">
        <v>47.487000000000002</v>
      </c>
      <c r="CO118" s="126">
        <v>45936.625</v>
      </c>
      <c r="CP118" s="54">
        <v>239.226</v>
      </c>
      <c r="CQ118" s="126">
        <v>45936.625</v>
      </c>
      <c r="CR118" s="54">
        <v>49.597000000000001</v>
      </c>
    </row>
    <row r="119" spans="21:96" x14ac:dyDescent="0.3">
      <c r="U119" s="72">
        <v>45937.625</v>
      </c>
      <c r="V119" s="54">
        <v>92.19</v>
      </c>
      <c r="W119" s="72">
        <v>45932.625</v>
      </c>
      <c r="X119" s="54">
        <v>100.905</v>
      </c>
      <c r="Y119" s="122">
        <v>45947.625</v>
      </c>
      <c r="Z119" s="54">
        <v>121.51</v>
      </c>
      <c r="BE119" s="72">
        <v>45936.625</v>
      </c>
      <c r="BF119" s="54">
        <v>80.86</v>
      </c>
      <c r="BI119" s="72">
        <v>45936.625</v>
      </c>
      <c r="BJ119" s="54">
        <v>111.19</v>
      </c>
      <c r="BM119" s="72">
        <v>45933.625</v>
      </c>
      <c r="BN119" s="54">
        <v>104.171875</v>
      </c>
      <c r="BO119" s="72">
        <v>45933.625</v>
      </c>
      <c r="BP119" s="54">
        <v>98.546875</v>
      </c>
      <c r="CA119" s="126">
        <v>45939.625</v>
      </c>
      <c r="CB119" s="54">
        <v>107.73399999999999</v>
      </c>
      <c r="CC119" s="126">
        <v>45939.625</v>
      </c>
      <c r="CD119" s="54">
        <v>48.017000000000003</v>
      </c>
      <c r="CO119" s="126">
        <v>45937.625</v>
      </c>
      <c r="CP119" s="54">
        <v>242.00200000000001</v>
      </c>
      <c r="CQ119" s="126">
        <v>45937.625</v>
      </c>
      <c r="CR119" s="54">
        <v>49.996000000000002</v>
      </c>
    </row>
    <row r="120" spans="21:96" x14ac:dyDescent="0.3">
      <c r="U120" s="72">
        <v>45938.625</v>
      </c>
      <c r="V120" s="54">
        <v>92.12</v>
      </c>
      <c r="W120" s="72">
        <v>45933.625</v>
      </c>
      <c r="X120" s="54">
        <v>100.893</v>
      </c>
      <c r="Y120" s="122">
        <v>45950.625</v>
      </c>
      <c r="Z120" s="54">
        <v>121.57</v>
      </c>
      <c r="BE120" s="72">
        <v>45937.625</v>
      </c>
      <c r="BF120" s="54">
        <v>80.77</v>
      </c>
      <c r="BI120" s="72">
        <v>45937.625</v>
      </c>
      <c r="BJ120" s="54">
        <v>111.4</v>
      </c>
      <c r="BM120" s="72">
        <v>45936.625</v>
      </c>
      <c r="BN120" s="54">
        <v>103.828125</v>
      </c>
      <c r="BO120" s="72">
        <v>45936.625</v>
      </c>
      <c r="BP120" s="54">
        <v>97.796875</v>
      </c>
      <c r="CA120" s="126">
        <v>45940.625</v>
      </c>
      <c r="CB120" s="54">
        <v>107.01220000000001</v>
      </c>
      <c r="CC120" s="126">
        <v>45940.625</v>
      </c>
      <c r="CD120" s="54">
        <v>51.024000000000001</v>
      </c>
      <c r="CO120" s="126">
        <v>45938.625</v>
      </c>
      <c r="CP120" s="54">
        <v>244.23400000000001</v>
      </c>
      <c r="CQ120" s="126">
        <v>45938.625</v>
      </c>
      <c r="CR120" s="54">
        <v>50.073</v>
      </c>
    </row>
    <row r="121" spans="21:96" x14ac:dyDescent="0.3">
      <c r="U121" s="72">
        <v>45939.625</v>
      </c>
      <c r="V121" s="54">
        <v>92</v>
      </c>
      <c r="W121" s="72">
        <v>45936.625</v>
      </c>
      <c r="X121" s="54">
        <v>100.928</v>
      </c>
      <c r="Y121" s="122">
        <v>45952.625</v>
      </c>
      <c r="Z121" s="54">
        <v>121.65</v>
      </c>
      <c r="BE121" s="72">
        <v>45938.625</v>
      </c>
      <c r="BF121" s="54">
        <v>80.650000000000006</v>
      </c>
      <c r="BI121" s="72">
        <v>45938.625</v>
      </c>
      <c r="BJ121" s="54">
        <v>111.26</v>
      </c>
      <c r="BM121" s="72">
        <v>45937.625</v>
      </c>
      <c r="BN121" s="54">
        <v>104.09375</v>
      </c>
      <c r="BO121" s="72">
        <v>45937.625</v>
      </c>
      <c r="BP121" s="54">
        <v>98.328125</v>
      </c>
      <c r="CA121" s="126">
        <v>45944.625</v>
      </c>
      <c r="CB121" s="54">
        <v>107.4841</v>
      </c>
      <c r="CC121" s="126">
        <v>45944.625</v>
      </c>
      <c r="CD121" s="54">
        <v>48.805</v>
      </c>
      <c r="CO121" s="126">
        <v>45939.625</v>
      </c>
      <c r="CP121" s="54">
        <v>249.739</v>
      </c>
      <c r="CQ121" s="126">
        <v>45939.625</v>
      </c>
      <c r="CR121" s="54">
        <v>50.813000000000002</v>
      </c>
    </row>
    <row r="122" spans="21:96" x14ac:dyDescent="0.3">
      <c r="U122" s="72">
        <v>45940.625</v>
      </c>
      <c r="V122" s="54">
        <v>91.78</v>
      </c>
      <c r="W122" s="72">
        <v>45937.625</v>
      </c>
      <c r="X122" s="54">
        <v>100.908</v>
      </c>
      <c r="Y122" s="122">
        <v>45953.625</v>
      </c>
      <c r="Z122" s="54">
        <v>121.61</v>
      </c>
      <c r="BE122" s="72">
        <v>45939.625</v>
      </c>
      <c r="BF122" s="54">
        <v>80.42</v>
      </c>
      <c r="BI122" s="72">
        <v>45939.625</v>
      </c>
      <c r="BJ122" s="54">
        <v>111.04</v>
      </c>
      <c r="BM122" s="72">
        <v>45938.625</v>
      </c>
      <c r="BN122" s="54">
        <v>104.0625</v>
      </c>
      <c r="BO122" s="72">
        <v>45938.625</v>
      </c>
      <c r="BP122" s="54">
        <v>98.375</v>
      </c>
      <c r="CA122" s="126">
        <v>45945.625</v>
      </c>
      <c r="CB122" s="54">
        <v>107.62390000000001</v>
      </c>
      <c r="CC122" s="126">
        <v>45945.625</v>
      </c>
      <c r="CD122" s="54">
        <v>48.523000000000003</v>
      </c>
      <c r="CO122" s="126">
        <v>45940.625</v>
      </c>
      <c r="CP122" s="54">
        <v>260.29199999999997</v>
      </c>
      <c r="CQ122" s="126">
        <v>45940.625</v>
      </c>
      <c r="CR122" s="54">
        <v>52.987000000000002</v>
      </c>
    </row>
    <row r="123" spans="21:96" x14ac:dyDescent="0.3">
      <c r="U123" s="72">
        <v>45943.625</v>
      </c>
      <c r="V123" s="54">
        <v>91.79</v>
      </c>
      <c r="W123" s="72">
        <v>45938.625</v>
      </c>
      <c r="X123" s="54">
        <v>100.99299999999999</v>
      </c>
      <c r="Y123" s="122">
        <v>45954.625</v>
      </c>
      <c r="Z123" s="54">
        <v>121.49</v>
      </c>
      <c r="BE123" s="72">
        <v>45940.625</v>
      </c>
      <c r="BF123" s="54">
        <v>79.984999999999999</v>
      </c>
      <c r="BI123" s="72">
        <v>45940.625</v>
      </c>
      <c r="BJ123" s="54">
        <v>111.36</v>
      </c>
      <c r="BM123" s="72">
        <v>45939.625</v>
      </c>
      <c r="BN123" s="54">
        <v>103.984375</v>
      </c>
      <c r="BO123" s="72">
        <v>45939.625</v>
      </c>
      <c r="BP123" s="54">
        <v>98.328125</v>
      </c>
      <c r="CA123" s="126">
        <v>45946.625</v>
      </c>
      <c r="CB123" s="54">
        <v>107.2029</v>
      </c>
      <c r="CC123" s="126">
        <v>45946.625</v>
      </c>
      <c r="CD123" s="54">
        <v>50.155999999999999</v>
      </c>
      <c r="CO123" s="126">
        <v>45943.625</v>
      </c>
      <c r="CP123" s="54">
        <v>260.25400000000002</v>
      </c>
      <c r="CQ123" s="126">
        <v>45943.625</v>
      </c>
      <c r="CR123" s="54">
        <v>53.084000000000003</v>
      </c>
    </row>
    <row r="124" spans="21:96" x14ac:dyDescent="0.3">
      <c r="U124" s="72">
        <v>45944.625</v>
      </c>
      <c r="V124" s="54">
        <v>91.85</v>
      </c>
      <c r="W124" s="72">
        <v>45939.625</v>
      </c>
      <c r="X124" s="54">
        <v>100.934</v>
      </c>
      <c r="Y124" s="122">
        <v>45957.625</v>
      </c>
      <c r="Z124" s="54">
        <v>121.55</v>
      </c>
      <c r="BE124" s="72">
        <v>45943.625</v>
      </c>
      <c r="BF124" s="54">
        <v>80.45</v>
      </c>
      <c r="BI124" s="72">
        <v>45943.625</v>
      </c>
      <c r="BJ124" s="54">
        <v>111.73</v>
      </c>
      <c r="BM124" s="72">
        <v>45940.625</v>
      </c>
      <c r="BN124" s="54">
        <v>104.671875</v>
      </c>
      <c r="BO124" s="72">
        <v>45940.625</v>
      </c>
      <c r="BP124" s="54">
        <v>99.78125</v>
      </c>
      <c r="CA124" s="126">
        <v>45947.625</v>
      </c>
      <c r="CB124" s="54">
        <v>107.2891</v>
      </c>
      <c r="CC124" s="126">
        <v>45947.625</v>
      </c>
      <c r="CD124" s="54">
        <v>49.551000000000002</v>
      </c>
      <c r="CO124" s="126">
        <v>45944.625</v>
      </c>
      <c r="CP124" s="54">
        <v>257.16699999999997</v>
      </c>
      <c r="CQ124" s="126">
        <v>45944.625</v>
      </c>
      <c r="CR124" s="54">
        <v>52.110999999999997</v>
      </c>
    </row>
    <row r="125" spans="21:96" x14ac:dyDescent="0.3">
      <c r="U125" s="72">
        <v>45945.625</v>
      </c>
      <c r="V125" s="54">
        <v>92.38</v>
      </c>
      <c r="W125" s="72">
        <v>45940.625</v>
      </c>
      <c r="X125" s="54">
        <v>101.017</v>
      </c>
      <c r="Y125" s="122">
        <v>45958.625</v>
      </c>
      <c r="Z125" s="54">
        <v>121.6</v>
      </c>
      <c r="BE125" s="72">
        <v>45944.625</v>
      </c>
      <c r="BF125" s="54">
        <v>80.540000000000006</v>
      </c>
      <c r="BI125" s="72">
        <v>45944.625</v>
      </c>
      <c r="BJ125" s="54">
        <v>112.1</v>
      </c>
      <c r="BM125" s="72">
        <v>45943.625</v>
      </c>
      <c r="BN125" s="54">
        <v>104.84375</v>
      </c>
      <c r="BO125" s="72">
        <v>45943.625</v>
      </c>
      <c r="BP125" s="54">
        <v>100.015625</v>
      </c>
      <c r="CA125" s="126">
        <v>45950.625</v>
      </c>
      <c r="CB125" s="54">
        <v>107.59739999999999</v>
      </c>
      <c r="CC125" s="126">
        <v>45950.625</v>
      </c>
      <c r="CD125" s="54">
        <v>47.921999999999997</v>
      </c>
      <c r="CO125" s="126">
        <v>45945.625</v>
      </c>
      <c r="CP125" s="54">
        <v>245.131</v>
      </c>
      <c r="CQ125" s="126">
        <v>45945.625</v>
      </c>
      <c r="CR125" s="54">
        <v>49.81</v>
      </c>
    </row>
    <row r="126" spans="21:96" x14ac:dyDescent="0.3">
      <c r="U126" s="72">
        <v>45946.625</v>
      </c>
      <c r="V126" s="54">
        <v>92.23</v>
      </c>
      <c r="W126" s="72">
        <v>45943.625</v>
      </c>
      <c r="X126" s="54">
        <v>101.122</v>
      </c>
      <c r="Y126" s="122">
        <v>45959.625</v>
      </c>
      <c r="Z126" s="54">
        <v>121.65</v>
      </c>
      <c r="BE126" s="72">
        <v>45945.625</v>
      </c>
      <c r="BF126" s="54">
        <v>80.8</v>
      </c>
      <c r="BI126" s="72">
        <v>45945.625</v>
      </c>
      <c r="BJ126" s="54">
        <v>112.1</v>
      </c>
      <c r="BM126" s="72">
        <v>45944.625</v>
      </c>
      <c r="BN126" s="54">
        <v>104.953125</v>
      </c>
      <c r="BO126" s="72">
        <v>45944.625</v>
      </c>
      <c r="BP126" s="54">
        <v>100.0625</v>
      </c>
      <c r="CA126" s="126">
        <v>45951.625</v>
      </c>
      <c r="CB126" s="54">
        <v>107.5437</v>
      </c>
      <c r="CC126" s="126">
        <v>45951.625</v>
      </c>
      <c r="CD126" s="54">
        <v>48.29</v>
      </c>
      <c r="CO126" s="126">
        <v>45946.625</v>
      </c>
      <c r="CP126" s="54">
        <v>250.49600000000001</v>
      </c>
      <c r="CQ126" s="126">
        <v>45946.625</v>
      </c>
      <c r="CR126" s="54">
        <v>50.529000000000003</v>
      </c>
    </row>
    <row r="127" spans="21:96" x14ac:dyDescent="0.3">
      <c r="U127" s="72">
        <v>45947.625</v>
      </c>
      <c r="V127" s="54">
        <v>92.1</v>
      </c>
      <c r="W127" s="72">
        <v>45944.625</v>
      </c>
      <c r="X127" s="54">
        <v>101.13800000000001</v>
      </c>
      <c r="Y127" s="122">
        <v>45960.625</v>
      </c>
      <c r="Z127" s="54">
        <v>121.55</v>
      </c>
      <c r="BE127" s="72">
        <v>45946.625</v>
      </c>
      <c r="BF127" s="54">
        <v>80.510000000000005</v>
      </c>
      <c r="BI127" s="72">
        <v>45946.625</v>
      </c>
      <c r="BJ127" s="54">
        <v>112.42</v>
      </c>
      <c r="BM127" s="72">
        <v>45945.625</v>
      </c>
      <c r="BN127" s="54">
        <v>104.828125</v>
      </c>
      <c r="BO127" s="72">
        <v>45945.625</v>
      </c>
      <c r="BP127" s="54">
        <v>99.84375</v>
      </c>
      <c r="CA127" s="126">
        <v>45952.625</v>
      </c>
      <c r="CB127" s="54">
        <v>107.3845</v>
      </c>
      <c r="CC127" s="126">
        <v>45952.625</v>
      </c>
      <c r="CD127" s="54">
        <v>48.784999999999997</v>
      </c>
      <c r="CO127" s="126">
        <v>45947.625</v>
      </c>
      <c r="CP127" s="54">
        <v>255.01499999999999</v>
      </c>
      <c r="CQ127" s="126">
        <v>45947.625</v>
      </c>
      <c r="CR127" s="54">
        <v>51.85</v>
      </c>
    </row>
    <row r="128" spans="21:96" x14ac:dyDescent="0.3">
      <c r="U128" s="72">
        <v>45950.625</v>
      </c>
      <c r="V128" s="54">
        <v>92.33</v>
      </c>
      <c r="W128" s="72">
        <v>45945.625</v>
      </c>
      <c r="X128" s="54">
        <v>101.23699999999999</v>
      </c>
      <c r="Y128" s="122">
        <v>45961.625</v>
      </c>
      <c r="Z128" s="54">
        <v>121.49</v>
      </c>
      <c r="BE128" s="72">
        <v>45947.625</v>
      </c>
      <c r="BF128" s="54">
        <v>80.72</v>
      </c>
      <c r="BI128" s="72">
        <v>45947.625</v>
      </c>
      <c r="BJ128" s="54">
        <v>112.2</v>
      </c>
      <c r="BM128" s="72">
        <v>45946.625</v>
      </c>
      <c r="BN128" s="54">
        <v>105.328125</v>
      </c>
      <c r="BO128" s="72">
        <v>45946.625</v>
      </c>
      <c r="BP128" s="54">
        <v>100.59375</v>
      </c>
      <c r="CA128" s="126">
        <v>45953.625</v>
      </c>
      <c r="CB128" s="54">
        <v>107.6143</v>
      </c>
      <c r="CC128" s="126">
        <v>45953.625</v>
      </c>
      <c r="CD128" s="54">
        <v>47.802</v>
      </c>
      <c r="CO128" s="126">
        <v>45950.625</v>
      </c>
      <c r="CP128" s="54">
        <v>246.98500000000001</v>
      </c>
      <c r="CQ128" s="126">
        <v>45950.625</v>
      </c>
      <c r="CR128" s="54">
        <v>49.999000000000002</v>
      </c>
    </row>
    <row r="129" spans="21:96" x14ac:dyDescent="0.3">
      <c r="U129" s="72">
        <v>45952.625</v>
      </c>
      <c r="V129" s="54">
        <v>92.37</v>
      </c>
      <c r="W129" s="72">
        <v>45946.625</v>
      </c>
      <c r="X129" s="54">
        <v>101.221</v>
      </c>
      <c r="Y129" s="122">
        <v>45964.625</v>
      </c>
      <c r="Z129" s="54">
        <v>121.34</v>
      </c>
      <c r="BE129" s="72">
        <v>45950.625</v>
      </c>
      <c r="BF129" s="54">
        <v>80.88</v>
      </c>
      <c r="BI129" s="72">
        <v>45950.625</v>
      </c>
      <c r="BJ129" s="54">
        <v>112.54</v>
      </c>
      <c r="BM129" s="72">
        <v>45947.625</v>
      </c>
      <c r="BN129" s="54">
        <v>105.109375</v>
      </c>
      <c r="BO129" s="72">
        <v>45947.625</v>
      </c>
      <c r="BP129" s="54">
        <v>100.40625</v>
      </c>
      <c r="CA129" s="126">
        <v>45954.625</v>
      </c>
      <c r="CB129" s="54">
        <v>107.7854</v>
      </c>
      <c r="CC129" s="126">
        <v>45954.625</v>
      </c>
      <c r="CD129" s="54">
        <v>47.146000000000001</v>
      </c>
      <c r="CO129" s="126">
        <v>45951.625</v>
      </c>
      <c r="CP129" s="54">
        <v>245.77500000000001</v>
      </c>
      <c r="CQ129" s="126">
        <v>45951.625</v>
      </c>
      <c r="CR129" s="54">
        <v>49.466000000000001</v>
      </c>
    </row>
    <row r="130" spans="21:96" x14ac:dyDescent="0.3">
      <c r="U130" s="72">
        <v>45953.625</v>
      </c>
      <c r="V130" s="54">
        <v>92.5</v>
      </c>
      <c r="W130" s="72">
        <v>45947.625</v>
      </c>
      <c r="X130" s="54">
        <v>101.253</v>
      </c>
      <c r="BE130" s="72">
        <v>45951.625</v>
      </c>
      <c r="BF130" s="54">
        <v>80.760000000000005</v>
      </c>
      <c r="BI130" s="72">
        <v>45951.625</v>
      </c>
      <c r="BJ130" s="54">
        <v>112.56</v>
      </c>
      <c r="BM130" s="72">
        <v>45950.625</v>
      </c>
      <c r="BN130" s="54">
        <v>105.25</v>
      </c>
      <c r="BO130" s="72">
        <v>45950.625</v>
      </c>
      <c r="BP130" s="54">
        <v>100.765625</v>
      </c>
      <c r="CA130" s="126">
        <v>45957.625</v>
      </c>
      <c r="CB130" s="54">
        <v>108.077</v>
      </c>
      <c r="CC130" s="126">
        <v>45957.625</v>
      </c>
      <c r="CD130" s="54">
        <v>45.848999999999997</v>
      </c>
      <c r="CO130" s="126">
        <v>45952.625</v>
      </c>
      <c r="CP130" s="54">
        <v>247.32900000000001</v>
      </c>
      <c r="CQ130" s="126">
        <v>45952.625</v>
      </c>
      <c r="CR130" s="54">
        <v>49.847999999999999</v>
      </c>
    </row>
    <row r="131" spans="21:96" x14ac:dyDescent="0.3">
      <c r="U131" s="72">
        <v>45954.625</v>
      </c>
      <c r="V131" s="54">
        <v>92.56</v>
      </c>
      <c r="W131" s="72">
        <v>45950.625</v>
      </c>
      <c r="X131" s="54">
        <v>101.25</v>
      </c>
      <c r="BE131" s="72">
        <v>45952.625</v>
      </c>
      <c r="BF131" s="54">
        <v>80.680000000000007</v>
      </c>
      <c r="BI131" s="72">
        <v>45952.625</v>
      </c>
      <c r="BJ131" s="54">
        <v>112.67</v>
      </c>
      <c r="BM131" s="72">
        <v>45951.625</v>
      </c>
      <c r="BN131" s="54">
        <v>105.453125</v>
      </c>
      <c r="BO131" s="72">
        <v>45951.625</v>
      </c>
      <c r="BP131" s="54">
        <v>101.265625</v>
      </c>
      <c r="CA131" s="126">
        <v>45958.625</v>
      </c>
      <c r="CB131" s="54">
        <v>107.9234</v>
      </c>
      <c r="CC131" s="126">
        <v>45958.625</v>
      </c>
      <c r="CD131" s="54">
        <v>46.3</v>
      </c>
      <c r="CO131" s="126">
        <v>45953.625</v>
      </c>
      <c r="CP131" s="54">
        <v>246.86600000000001</v>
      </c>
      <c r="CQ131" s="126">
        <v>45953.625</v>
      </c>
      <c r="CR131" s="54">
        <v>49.439</v>
      </c>
    </row>
    <row r="132" spans="21:96" x14ac:dyDescent="0.3">
      <c r="U132" s="72">
        <v>45957.625</v>
      </c>
      <c r="V132" s="54">
        <v>92.8</v>
      </c>
      <c r="W132" s="72">
        <v>45951.625</v>
      </c>
      <c r="X132" s="54">
        <v>101.289</v>
      </c>
      <c r="BE132" s="72">
        <v>45953.625</v>
      </c>
      <c r="BF132" s="54">
        <v>80.849999999999994</v>
      </c>
      <c r="BI132" s="72">
        <v>45953.625</v>
      </c>
      <c r="BJ132" s="54">
        <v>112.53</v>
      </c>
      <c r="BM132" s="72">
        <v>45952.625</v>
      </c>
      <c r="BN132" s="54">
        <v>105.484375</v>
      </c>
      <c r="BO132" s="72">
        <v>45952.625</v>
      </c>
      <c r="BP132" s="54">
        <v>101.34375</v>
      </c>
      <c r="CA132" s="126">
        <v>45959.625</v>
      </c>
      <c r="CB132" s="54">
        <v>107.8282</v>
      </c>
      <c r="CC132" s="126">
        <v>45959.625</v>
      </c>
      <c r="CD132" s="54">
        <v>46.715000000000003</v>
      </c>
      <c r="CO132" s="126">
        <v>45954.625</v>
      </c>
      <c r="CP132" s="54">
        <v>242.23500000000001</v>
      </c>
      <c r="CQ132" s="126">
        <v>45954.625</v>
      </c>
      <c r="CR132" s="54">
        <v>48.557000000000002</v>
      </c>
    </row>
    <row r="133" spans="21:96" x14ac:dyDescent="0.3">
      <c r="U133" s="72">
        <v>45958.625</v>
      </c>
      <c r="V133" s="54">
        <v>92.79</v>
      </c>
      <c r="W133" s="72">
        <v>45952.625</v>
      </c>
      <c r="X133" s="54">
        <v>101.261</v>
      </c>
      <c r="BE133" s="72">
        <v>45954.625</v>
      </c>
      <c r="BF133" s="54">
        <v>81.08</v>
      </c>
      <c r="BI133" s="72">
        <v>45954.625</v>
      </c>
      <c r="BJ133" s="54">
        <v>112.72</v>
      </c>
      <c r="BM133" s="72">
        <v>45953.625</v>
      </c>
      <c r="BN133" s="54">
        <v>105.109375</v>
      </c>
      <c r="BO133" s="72">
        <v>45953.625</v>
      </c>
      <c r="BP133" s="54">
        <v>100.671875</v>
      </c>
      <c r="CA133" s="126">
        <v>45960.625</v>
      </c>
      <c r="CB133" s="54">
        <v>107.5942</v>
      </c>
      <c r="CC133" s="126">
        <v>45960.625</v>
      </c>
      <c r="CD133" s="54">
        <v>47.904000000000003</v>
      </c>
      <c r="CO133" s="126">
        <v>45957.625</v>
      </c>
      <c r="CP133" s="54">
        <v>235.50700000000001</v>
      </c>
      <c r="CQ133" s="126">
        <v>45957.625</v>
      </c>
      <c r="CR133" s="54">
        <v>47.081000000000003</v>
      </c>
    </row>
    <row r="134" spans="21:96" x14ac:dyDescent="0.3">
      <c r="U134" s="72">
        <v>45959.625</v>
      </c>
      <c r="V134" s="54">
        <v>92.78</v>
      </c>
      <c r="W134" s="72">
        <v>45953.625</v>
      </c>
      <c r="X134" s="54">
        <v>101.229</v>
      </c>
      <c r="BE134" s="72">
        <v>45957.625</v>
      </c>
      <c r="BF134" s="54">
        <v>81.28</v>
      </c>
      <c r="BI134" s="72">
        <v>45957.625</v>
      </c>
      <c r="BJ134" s="54">
        <v>112.91</v>
      </c>
      <c r="BM134" s="72">
        <v>45954.625</v>
      </c>
      <c r="BN134" s="54">
        <v>105.15625</v>
      </c>
      <c r="BO134" s="72">
        <v>45954.625</v>
      </c>
      <c r="BP134" s="54">
        <v>100.59375</v>
      </c>
      <c r="CA134" s="54">
        <v>45961.625</v>
      </c>
      <c r="CB134" s="54">
        <v>107.54389999999999</v>
      </c>
      <c r="CC134" s="54">
        <v>45961.625</v>
      </c>
      <c r="CD134" s="54">
        <v>48.302999999999997</v>
      </c>
      <c r="CO134" s="126">
        <v>45958.625</v>
      </c>
      <c r="CP134" s="54">
        <v>239.77799999999999</v>
      </c>
      <c r="CQ134" s="126">
        <v>45958.625</v>
      </c>
      <c r="CR134" s="54">
        <v>47.405999999999999</v>
      </c>
    </row>
    <row r="135" spans="21:96" x14ac:dyDescent="0.3">
      <c r="U135" s="72">
        <v>45960.625</v>
      </c>
      <c r="V135" s="54">
        <v>92.49</v>
      </c>
      <c r="W135" s="72">
        <v>45954.625</v>
      </c>
      <c r="X135" s="54">
        <v>101.092</v>
      </c>
      <c r="BE135" s="72">
        <v>45958.625</v>
      </c>
      <c r="BF135" s="54">
        <v>81.2</v>
      </c>
      <c r="BI135" s="72">
        <v>45958.625</v>
      </c>
      <c r="BJ135" s="54">
        <v>112.92</v>
      </c>
      <c r="BM135" s="72">
        <v>45957.625</v>
      </c>
      <c r="BN135" s="54">
        <v>105.1875</v>
      </c>
      <c r="BO135" s="72">
        <v>45957.625</v>
      </c>
      <c r="BP135" s="54">
        <v>100.953125</v>
      </c>
      <c r="CO135" s="126">
        <v>45959.625</v>
      </c>
      <c r="CP135" s="54">
        <v>241.02099999999999</v>
      </c>
      <c r="CQ135" s="126">
        <v>45959.625</v>
      </c>
      <c r="CR135" s="54">
        <v>47.113</v>
      </c>
    </row>
    <row r="136" spans="21:96" x14ac:dyDescent="0.3">
      <c r="U136" s="72">
        <v>45961.625</v>
      </c>
      <c r="V136" s="54">
        <v>92.63</v>
      </c>
      <c r="W136" s="72">
        <v>45957.625</v>
      </c>
      <c r="X136" s="54">
        <v>101.077</v>
      </c>
      <c r="BE136" s="72">
        <v>45959.625</v>
      </c>
      <c r="BF136" s="54">
        <v>80.95</v>
      </c>
      <c r="BI136" s="72">
        <v>45959.625</v>
      </c>
      <c r="BJ136" s="54">
        <v>112.28</v>
      </c>
      <c r="BM136" s="72">
        <v>45958.625</v>
      </c>
      <c r="BN136" s="54">
        <v>105.265625</v>
      </c>
      <c r="BO136" s="72">
        <v>45958.625</v>
      </c>
      <c r="BP136" s="54">
        <v>101.203125</v>
      </c>
      <c r="CO136" s="126">
        <v>45960.625</v>
      </c>
      <c r="CP136" s="54">
        <v>243.08</v>
      </c>
      <c r="CQ136" s="126">
        <v>45960.625</v>
      </c>
      <c r="CR136" s="54">
        <v>47.69</v>
      </c>
    </row>
    <row r="137" spans="21:96" x14ac:dyDescent="0.3">
      <c r="U137" s="72">
        <v>45964.625</v>
      </c>
      <c r="V137" s="54">
        <v>92.55</v>
      </c>
      <c r="W137" s="72">
        <v>45958.625</v>
      </c>
      <c r="X137" s="54">
        <v>101.083</v>
      </c>
      <c r="BE137" s="72">
        <v>45960.625</v>
      </c>
      <c r="BF137" s="54">
        <v>80.8</v>
      </c>
      <c r="BI137" s="72">
        <v>45960.625</v>
      </c>
      <c r="BJ137" s="54">
        <v>111.68</v>
      </c>
      <c r="BM137" s="72">
        <v>45959.625</v>
      </c>
      <c r="BN137" s="54">
        <v>104.546875</v>
      </c>
      <c r="BO137" s="72">
        <v>45959.625</v>
      </c>
      <c r="BP137" s="54">
        <v>100.171875</v>
      </c>
      <c r="CO137" s="126">
        <v>45961.625</v>
      </c>
      <c r="CP137" s="54">
        <v>244.136</v>
      </c>
      <c r="CQ137" s="126">
        <v>45961.625</v>
      </c>
      <c r="CR137" s="54">
        <v>48.16</v>
      </c>
    </row>
    <row r="138" spans="21:96" x14ac:dyDescent="0.3">
      <c r="W138" s="72">
        <v>45959.625</v>
      </c>
      <c r="X138" s="54">
        <v>101.07899999999999</v>
      </c>
      <c r="BE138" s="72">
        <v>45961.625</v>
      </c>
      <c r="BF138" s="54">
        <v>80.8</v>
      </c>
      <c r="BI138" s="72">
        <v>45961.625</v>
      </c>
      <c r="BJ138" s="54">
        <v>111.23</v>
      </c>
      <c r="BM138" s="72">
        <v>45960.625</v>
      </c>
      <c r="BN138" s="54">
        <v>104.375</v>
      </c>
      <c r="BO138" s="72">
        <v>45960.625</v>
      </c>
      <c r="BP138" s="54">
        <v>99.609375</v>
      </c>
      <c r="CO138" s="54">
        <v>45964.625</v>
      </c>
      <c r="CP138" s="54">
        <v>245.001</v>
      </c>
      <c r="CQ138" s="54">
        <v>45964.625</v>
      </c>
      <c r="CR138" s="54">
        <v>48.877000000000002</v>
      </c>
    </row>
    <row r="139" spans="21:96" x14ac:dyDescent="0.3">
      <c r="W139" s="72">
        <v>45960.625</v>
      </c>
      <c r="X139" s="54">
        <v>101.026</v>
      </c>
      <c r="BM139" s="72">
        <v>45961.625</v>
      </c>
      <c r="BN139" s="54">
        <v>104.34375</v>
      </c>
      <c r="BO139" s="72">
        <v>45961.625</v>
      </c>
      <c r="BP139" s="54">
        <v>99.296875</v>
      </c>
    </row>
    <row r="140" spans="21:96" x14ac:dyDescent="0.3">
      <c r="W140" s="72">
        <v>45961.625</v>
      </c>
      <c r="X140" s="54">
        <v>101.04900000000001</v>
      </c>
    </row>
    <row r="141" spans="21:96" x14ac:dyDescent="0.3">
      <c r="W141" s="72">
        <v>45964.625</v>
      </c>
      <c r="X141" s="54">
        <v>101.01600000000001</v>
      </c>
    </row>
  </sheetData>
  <mergeCells count="14">
    <mergeCell ref="CG12:CI12"/>
    <mergeCell ref="CJ12:CL12"/>
    <mergeCell ref="AM12:AO12"/>
    <mergeCell ref="AP12:AR12"/>
    <mergeCell ref="AS12:AU12"/>
    <mergeCell ref="AV12:AX12"/>
    <mergeCell ref="BS12:BU12"/>
    <mergeCell ref="BV12:BX12"/>
    <mergeCell ref="AJ12:AL12"/>
    <mergeCell ref="B12:D12"/>
    <mergeCell ref="E12:G12"/>
    <mergeCell ref="H12:J12"/>
    <mergeCell ref="K12:M12"/>
    <mergeCell ref="AG12:AI12"/>
  </mergeCells>
  <conditionalFormatting sqref="AY13:BC85 N13:S86 N87:R99">
    <cfRule type="cellIs" dxfId="6" priority="3" operator="lessThan">
      <formula>0</formula>
    </cfRule>
  </conditionalFormatting>
  <conditionalFormatting sqref="BY13:BY14">
    <cfRule type="cellIs" dxfId="5" priority="2" operator="lessThan">
      <formula>0</formula>
    </cfRule>
  </conditionalFormatting>
  <conditionalFormatting sqref="CM13:CM14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4673-734A-43D0-881E-D3550282D03F}">
  <dimension ref="A1:AG140"/>
  <sheetViews>
    <sheetView topLeftCell="F1" zoomScale="80" zoomScaleNormal="80" workbookViewId="0">
      <selection activeCell="H15" sqref="H15:H23"/>
    </sheetView>
  </sheetViews>
  <sheetFormatPr defaultColWidth="9.109375" defaultRowHeight="14.4" x14ac:dyDescent="0.3"/>
  <cols>
    <col min="1" max="1" width="15.44140625" style="131" bestFit="1" customWidth="1"/>
    <col min="2" max="2" width="21.33203125" style="3" bestFit="1" customWidth="1"/>
    <col min="3" max="3" width="19.109375" style="3" bestFit="1" customWidth="1"/>
    <col min="4" max="4" width="15" style="58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82" bestFit="1" customWidth="1"/>
    <col min="13" max="13" width="15.88671875" style="3" customWidth="1"/>
    <col min="14" max="14" width="9.109375" style="3" customWidth="1"/>
    <col min="15" max="15" width="15.6640625" style="3" customWidth="1"/>
    <col min="16" max="16" width="9.109375" style="3" customWidth="1"/>
    <col min="17" max="17" width="15.6640625" style="3" customWidth="1"/>
    <col min="18" max="18" width="9.109375" style="3" customWidth="1"/>
    <col min="19" max="16384" width="9.109375" style="3"/>
  </cols>
  <sheetData>
    <row r="1" spans="1:18" ht="15" thickBot="1" x14ac:dyDescent="0.35">
      <c r="A1" s="1"/>
      <c r="B1" s="1"/>
      <c r="C1" s="1"/>
      <c r="D1" s="31"/>
      <c r="E1" s="1"/>
      <c r="F1" s="1"/>
      <c r="G1" s="1"/>
      <c r="H1" s="1"/>
      <c r="I1" s="1"/>
      <c r="J1" s="1"/>
      <c r="K1" s="1"/>
      <c r="L1" s="1"/>
      <c r="M1" s="27" t="s">
        <v>0</v>
      </c>
      <c r="O1" s="28" t="s">
        <v>1</v>
      </c>
      <c r="Q1" s="108" t="s">
        <v>1</v>
      </c>
    </row>
    <row r="2" spans="1:18" ht="15" thickBot="1" x14ac:dyDescent="0.35">
      <c r="A2" s="14"/>
      <c r="B2" s="27" t="s">
        <v>0</v>
      </c>
      <c r="C2" s="28" t="s">
        <v>1</v>
      </c>
      <c r="D2" s="108" t="s">
        <v>1</v>
      </c>
      <c r="E2" s="1"/>
      <c r="F2" s="154" t="s">
        <v>101</v>
      </c>
      <c r="G2" s="125">
        <v>0.625</v>
      </c>
      <c r="H2" s="1"/>
      <c r="L2" s="3"/>
      <c r="M2" s="123" cm="1">
        <f t="array" ref="M2:N136">_xll.BDH(B4, "LAST_PRICE", "01/01/2025 15:00:00", "01/01/2035 16:00:00", "BarSize=60", "BarType=T", "RecurDaily=True", "TZ=London")</f>
        <v>45769.625</v>
      </c>
      <c r="N2" s="3">
        <v>91.4</v>
      </c>
      <c r="O2" s="123" cm="1">
        <f t="array" ref="O2:P140">_xll.BDH(C4, "LAST_PRICE", "01/01/2025 15:00:00", "01/01/2035 16:00:00", "BarSize=60", "BarType=T", "RecurDaily=True", "TZ=London")</f>
        <v>45769.625</v>
      </c>
      <c r="P2" s="3">
        <v>101.94</v>
      </c>
      <c r="Q2" s="123" cm="1">
        <f t="array" ref="Q2:R32">_xll.BDH(D4, "LAST_PRICE", "01/01/2025 15:00:00", "01/01/2035 16:00:00", "BarSize=60", "BarType=T", "RecurDaily=True", "TZ=London")</f>
        <v>45922.625</v>
      </c>
      <c r="R2" s="3">
        <v>267.71800000000002</v>
      </c>
    </row>
    <row r="3" spans="1:18" x14ac:dyDescent="0.3">
      <c r="A3" s="14" t="s">
        <v>32</v>
      </c>
      <c r="B3" s="15" t="s">
        <v>56</v>
      </c>
      <c r="C3" s="5" t="s">
        <v>146</v>
      </c>
      <c r="D3" s="14" t="s">
        <v>145</v>
      </c>
      <c r="L3" s="3"/>
      <c r="M3" s="123">
        <v>45770.625</v>
      </c>
      <c r="N3" s="3">
        <v>92.29</v>
      </c>
      <c r="O3" s="123">
        <v>45770.625</v>
      </c>
      <c r="P3" s="3">
        <v>101.694</v>
      </c>
      <c r="Q3" s="123">
        <v>45923.625</v>
      </c>
      <c r="R3" s="3">
        <v>263.80599999999998</v>
      </c>
    </row>
    <row r="4" spans="1:18" ht="30" customHeight="1" x14ac:dyDescent="0.3">
      <c r="A4" s="15" t="s">
        <v>33</v>
      </c>
      <c r="B4" s="17" t="s">
        <v>60</v>
      </c>
      <c r="C4" s="152" t="s">
        <v>148</v>
      </c>
      <c r="D4" s="17" t="s">
        <v>147</v>
      </c>
      <c r="L4" s="3"/>
      <c r="M4" s="123">
        <v>45771.625</v>
      </c>
      <c r="N4" s="3">
        <v>92.32</v>
      </c>
      <c r="O4" s="123">
        <v>45771.625</v>
      </c>
      <c r="P4" s="3">
        <v>101.90300000000001</v>
      </c>
      <c r="Q4" s="123">
        <v>45924.625</v>
      </c>
      <c r="R4" s="3">
        <v>263.26299999999998</v>
      </c>
    </row>
    <row r="5" spans="1:18" x14ac:dyDescent="0.3">
      <c r="A5" s="15" t="s">
        <v>8</v>
      </c>
      <c r="B5" s="18">
        <f>30*10^6</f>
        <v>30000000</v>
      </c>
      <c r="C5" s="8">
        <f>26*10^6</f>
        <v>26000000</v>
      </c>
      <c r="D5" s="18">
        <f>18.7*10^6</f>
        <v>18700000</v>
      </c>
      <c r="L5" s="3"/>
      <c r="M5" s="123">
        <v>45772.625</v>
      </c>
      <c r="N5" s="3">
        <v>92.35</v>
      </c>
      <c r="O5" s="123">
        <v>45772.625</v>
      </c>
      <c r="P5" s="3">
        <v>101.78100000000001</v>
      </c>
      <c r="Q5" s="123">
        <v>45925.625</v>
      </c>
      <c r="R5" s="3">
        <v>267.58800000000002</v>
      </c>
    </row>
    <row r="6" spans="1:18" x14ac:dyDescent="0.3">
      <c r="A6" s="15" t="s">
        <v>10</v>
      </c>
      <c r="B6" s="19">
        <v>0</v>
      </c>
      <c r="C6" s="10">
        <v>2.4E-2</v>
      </c>
      <c r="D6" s="109">
        <v>0.05</v>
      </c>
      <c r="L6" s="3"/>
      <c r="M6" s="123">
        <v>45776.625</v>
      </c>
      <c r="N6" s="3">
        <v>92.23</v>
      </c>
      <c r="O6" s="123">
        <v>45775.625</v>
      </c>
      <c r="P6" s="3">
        <v>101.74299999999999</v>
      </c>
      <c r="Q6" s="123">
        <v>45926.625</v>
      </c>
      <c r="R6" s="3">
        <v>264.35500000000002</v>
      </c>
    </row>
    <row r="7" spans="1:18" x14ac:dyDescent="0.3">
      <c r="A7" s="15" t="s">
        <v>12</v>
      </c>
      <c r="B7" s="10">
        <v>4.1000000000000002E-2</v>
      </c>
      <c r="C7" s="10">
        <v>4.1000000000000002E-2</v>
      </c>
      <c r="D7" s="109">
        <v>0</v>
      </c>
      <c r="E7" s="1"/>
      <c r="H7" s="1"/>
      <c r="L7" s="3"/>
      <c r="M7" s="123">
        <v>45777.625</v>
      </c>
      <c r="N7" s="3">
        <v>91.86</v>
      </c>
      <c r="O7" s="123">
        <v>45776.625</v>
      </c>
      <c r="P7" s="3">
        <v>101.75</v>
      </c>
      <c r="Q7" s="123">
        <v>45929.625</v>
      </c>
      <c r="R7" s="3">
        <v>262.15899999999999</v>
      </c>
    </row>
    <row r="8" spans="1:18" x14ac:dyDescent="0.3">
      <c r="A8" s="15" t="s">
        <v>14</v>
      </c>
      <c r="B8" s="15" t="s">
        <v>23</v>
      </c>
      <c r="C8" s="5" t="s">
        <v>23</v>
      </c>
      <c r="D8" s="15">
        <v>4.859</v>
      </c>
      <c r="E8" s="1"/>
      <c r="F8" s="1"/>
      <c r="G8" s="1"/>
      <c r="H8" s="1"/>
      <c r="I8" s="1"/>
      <c r="J8" s="1"/>
      <c r="K8" s="1"/>
      <c r="L8" s="1"/>
      <c r="M8" s="123">
        <v>45778.625</v>
      </c>
      <c r="N8" s="3">
        <v>92.17</v>
      </c>
      <c r="O8" s="123">
        <v>45777.625</v>
      </c>
      <c r="P8" s="3">
        <v>101.923</v>
      </c>
      <c r="Q8" s="123">
        <v>45930.625</v>
      </c>
      <c r="R8" s="3">
        <v>262.68799999999999</v>
      </c>
    </row>
    <row r="9" spans="1:18" x14ac:dyDescent="0.3">
      <c r="A9" s="15" t="s">
        <v>149</v>
      </c>
      <c r="B9" s="153" cm="1">
        <f t="array" ref="B9">_xll.BDP(B4,"PX_LAST")</f>
        <v>92.55</v>
      </c>
      <c r="C9" s="153" cm="1">
        <f t="array" ref="C9">_xll.BDP(C4,"PX_LAST")</f>
        <v>101.01600000000001</v>
      </c>
      <c r="D9" s="153" cm="1">
        <f t="array" ref="D9">_xll.BDP(D4,"PX_LAST")</f>
        <v>265.20670000000001</v>
      </c>
      <c r="E9" s="1"/>
      <c r="F9" s="1"/>
      <c r="G9" s="1"/>
      <c r="H9" s="1"/>
      <c r="I9" s="1"/>
      <c r="J9" s="1"/>
      <c r="K9" s="1"/>
      <c r="L9" s="1"/>
      <c r="M9" s="123">
        <v>45779.625</v>
      </c>
      <c r="N9" s="3">
        <v>92.25</v>
      </c>
      <c r="O9" s="123">
        <v>45779.625</v>
      </c>
      <c r="P9" s="3">
        <v>101.658</v>
      </c>
      <c r="Q9" s="123">
        <v>45931.625</v>
      </c>
      <c r="R9" s="3">
        <v>261.61</v>
      </c>
    </row>
    <row r="10" spans="1:18" ht="15" thickBot="1" x14ac:dyDescent="0.35">
      <c r="A10" s="16"/>
      <c r="B10" s="20"/>
      <c r="C10" s="13"/>
      <c r="D10" s="20"/>
      <c r="E10" s="1"/>
      <c r="F10" s="1"/>
      <c r="G10" s="1"/>
      <c r="H10" s="1"/>
      <c r="I10" s="1"/>
      <c r="J10" s="1"/>
      <c r="K10" s="1"/>
      <c r="L10" s="1"/>
      <c r="M10" s="123">
        <v>45783.625</v>
      </c>
      <c r="N10" s="3">
        <v>92.25</v>
      </c>
      <c r="O10" s="123">
        <v>45782.625</v>
      </c>
      <c r="P10" s="3">
        <v>101.652</v>
      </c>
      <c r="Q10" s="123">
        <v>45932.625</v>
      </c>
      <c r="R10" s="3">
        <v>258.226</v>
      </c>
    </row>
    <row r="11" spans="1:18" ht="15" thickBot="1" x14ac:dyDescent="0.35">
      <c r="A11" s="1"/>
      <c r="B11" s="1"/>
      <c r="C11" s="1"/>
      <c r="D11" s="31"/>
      <c r="E11" s="1"/>
      <c r="F11" s="1"/>
      <c r="G11" s="1"/>
      <c r="H11" s="1"/>
      <c r="I11" s="1"/>
      <c r="J11" s="1"/>
      <c r="K11" s="1"/>
      <c r="L11" s="1"/>
      <c r="M11" s="123">
        <v>45784.625</v>
      </c>
      <c r="N11" s="3">
        <v>92.3</v>
      </c>
      <c r="O11" s="123">
        <v>45783.625</v>
      </c>
      <c r="P11" s="3">
        <v>101.666</v>
      </c>
      <c r="Q11" s="123">
        <v>45933.625</v>
      </c>
      <c r="R11" s="3">
        <v>257.77</v>
      </c>
    </row>
    <row r="12" spans="1:18" ht="15" thickBot="1" x14ac:dyDescent="0.35">
      <c r="A12" s="39" t="s">
        <v>22</v>
      </c>
      <c r="B12" s="169" t="s">
        <v>0</v>
      </c>
      <c r="C12" s="170"/>
      <c r="D12" s="171"/>
      <c r="E12" s="172" t="s">
        <v>1</v>
      </c>
      <c r="F12" s="173"/>
      <c r="G12" s="174"/>
      <c r="H12" s="187" t="s">
        <v>1</v>
      </c>
      <c r="I12" s="185"/>
      <c r="J12" s="188"/>
      <c r="K12" s="39" t="s">
        <v>16</v>
      </c>
      <c r="M12" s="123">
        <v>45785.625</v>
      </c>
      <c r="N12" s="3">
        <v>92.52</v>
      </c>
      <c r="O12" s="123">
        <v>45784.625</v>
      </c>
      <c r="P12" s="3">
        <v>101.788</v>
      </c>
      <c r="Q12" s="123">
        <v>45936.625</v>
      </c>
      <c r="R12" s="3">
        <v>261.30200000000002</v>
      </c>
    </row>
    <row r="13" spans="1:18" ht="15" thickBot="1" x14ac:dyDescent="0.35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24</v>
      </c>
      <c r="I13" s="21" t="s">
        <v>19</v>
      </c>
      <c r="J13" s="22" t="s">
        <v>20</v>
      </c>
      <c r="K13" s="16"/>
      <c r="M13" s="123">
        <v>45786.625</v>
      </c>
      <c r="N13" s="3">
        <v>92.56</v>
      </c>
      <c r="O13" s="123">
        <v>45785.625</v>
      </c>
      <c r="P13" s="3">
        <v>101.69499999999999</v>
      </c>
      <c r="Q13" s="123">
        <v>45937.625</v>
      </c>
      <c r="R13" s="3">
        <v>264</v>
      </c>
    </row>
    <row r="14" spans="1:18" x14ac:dyDescent="0.3">
      <c r="A14" s="128">
        <v>45950</v>
      </c>
      <c r="B14" s="45">
        <v>92.262</v>
      </c>
      <c r="C14" s="31"/>
      <c r="D14" s="5"/>
      <c r="E14" s="45">
        <v>101.244</v>
      </c>
      <c r="F14" s="1"/>
      <c r="G14" s="5"/>
      <c r="H14" s="45">
        <v>273.5</v>
      </c>
      <c r="I14" s="1"/>
      <c r="J14" s="5"/>
      <c r="K14" s="78">
        <v>0</v>
      </c>
      <c r="M14" s="123">
        <v>45789.625</v>
      </c>
      <c r="N14" s="3">
        <v>92.85</v>
      </c>
      <c r="O14" s="123">
        <v>45786.625</v>
      </c>
      <c r="P14" s="3">
        <v>101.578</v>
      </c>
      <c r="Q14" s="123">
        <v>45938.625</v>
      </c>
      <c r="R14" s="3">
        <v>265.85199999999998</v>
      </c>
    </row>
    <row r="15" spans="1:18" x14ac:dyDescent="0.3">
      <c r="A15" s="128">
        <v>45951</v>
      </c>
      <c r="B15" s="45">
        <f>VLOOKUP(A15+$G$2,M:N,2)</f>
        <v>92.33</v>
      </c>
      <c r="C15" s="31">
        <f t="shared" ref="C15" si="0">(B15/$B$14-1)*$B$5</f>
        <v>22110.944917730358</v>
      </c>
      <c r="D15" s="32">
        <f>-1*(A15-$A$14)/360*$B$7*$B$5</f>
        <v>-3416.666666666667</v>
      </c>
      <c r="E15" s="45">
        <f>VLOOKUP(A15+$G$2,O:P,2)</f>
        <v>101.289</v>
      </c>
      <c r="F15" s="31">
        <f t="shared" ref="F15" si="1">(E15-$E$14)/100*$C$5</f>
        <v>11700.000000000444</v>
      </c>
      <c r="G15" s="32">
        <f>(A15-$A$14)/360*$C$6*$C$5-(A15-$A$14)/360*$C$7*$C$5*$E$14/100</f>
        <v>-1264.614</v>
      </c>
      <c r="H15" s="45">
        <f>VLOOKUP(A15+$G$2,Q:R,2)</f>
        <v>268.29199999999997</v>
      </c>
      <c r="I15" s="31">
        <f t="shared" ref="I15" si="2">-1*(H15-$H$14)*$D$8*10^(-4)*$D$5</f>
        <v>47321.606640000246</v>
      </c>
      <c r="J15" s="32">
        <f>(A15-$A$14)/360*$D$6*$D$5</f>
        <v>2597.2222222222222</v>
      </c>
      <c r="K15" s="79">
        <f t="shared" ref="K15:K19" si="3">C15+D15-F15-G15-I15-J15</f>
        <v>-41659.936611159217</v>
      </c>
      <c r="M15" s="123">
        <v>45790.625</v>
      </c>
      <c r="N15" s="3">
        <v>93.02</v>
      </c>
      <c r="O15" s="123">
        <v>45789.625</v>
      </c>
      <c r="P15" s="3">
        <v>101.15600000000001</v>
      </c>
      <c r="Q15" s="123">
        <v>45939.625</v>
      </c>
      <c r="R15" s="3">
        <v>271.36599999999999</v>
      </c>
    </row>
    <row r="16" spans="1:18" x14ac:dyDescent="0.3">
      <c r="A16" s="128">
        <v>45952</v>
      </c>
      <c r="B16" s="45">
        <f t="shared" ref="B16:B23" si="4">VLOOKUP(A16+$G$2,M:N,2)</f>
        <v>92.37</v>
      </c>
      <c r="C16" s="31">
        <f t="shared" ref="C16:C20" si="5">(B16/$B$14-1)*$B$5</f>
        <v>35117.383104639186</v>
      </c>
      <c r="D16" s="32">
        <f t="shared" ref="D16:D20" si="6">-1*(A16-$A$14)/360*$B$7*$B$5</f>
        <v>-6833.3333333333339</v>
      </c>
      <c r="E16" s="45">
        <f t="shared" ref="E16:E23" si="7">VLOOKUP(A16+$G$2,O:P,2)</f>
        <v>101.261</v>
      </c>
      <c r="F16" s="31">
        <f t="shared" ref="F16:F20" si="8">(E16-$E$14)/100*$C$5</f>
        <v>4419.9999999989359</v>
      </c>
      <c r="G16" s="32">
        <f t="shared" ref="G16:G20" si="9">(A16-$A$14)/360*$C$6*$C$5-(A16-$A$14)/360*$C$7*$C$5*$E$14/100</f>
        <v>-2529.2280000000001</v>
      </c>
      <c r="H16" s="45">
        <f t="shared" ref="H16:H23" si="10">VLOOKUP(A16+$G$2,Q:R,2)</f>
        <v>269.46300000000002</v>
      </c>
      <c r="I16" s="31">
        <f t="shared" ref="I16:I20" si="11">-1*(H16-$H$14)*$D$8*10^(-4)*$D$5</f>
        <v>36681.514209999797</v>
      </c>
      <c r="J16" s="32">
        <f t="shared" ref="J16:J20" si="12">(A16-$A$14)/360*$D$6*$D$5</f>
        <v>5194.4444444444443</v>
      </c>
      <c r="K16" s="79">
        <f t="shared" si="3"/>
        <v>-15482.680883137331</v>
      </c>
      <c r="M16" s="123">
        <v>45791.625</v>
      </c>
      <c r="N16" s="3">
        <v>92.87</v>
      </c>
      <c r="O16" s="123">
        <v>45790.625</v>
      </c>
      <c r="P16" s="3">
        <v>101.125</v>
      </c>
      <c r="Q16" s="123">
        <v>45940.625</v>
      </c>
      <c r="R16" s="3">
        <v>282.791</v>
      </c>
    </row>
    <row r="17" spans="1:18" x14ac:dyDescent="0.3">
      <c r="A17" s="128">
        <v>45953</v>
      </c>
      <c r="B17" s="45">
        <f t="shared" si="4"/>
        <v>92.5</v>
      </c>
      <c r="C17" s="31">
        <f t="shared" si="5"/>
        <v>77388.307212069572</v>
      </c>
      <c r="D17" s="32">
        <f t="shared" si="6"/>
        <v>-10250</v>
      </c>
      <c r="E17" s="45">
        <f t="shared" si="7"/>
        <v>101.229</v>
      </c>
      <c r="F17" s="31">
        <f t="shared" si="8"/>
        <v>-3900.0000000001478</v>
      </c>
      <c r="G17" s="32">
        <f t="shared" si="9"/>
        <v>-3793.8420000000006</v>
      </c>
      <c r="H17" s="45">
        <f t="shared" si="10"/>
        <v>268.702</v>
      </c>
      <c r="I17" s="31">
        <f t="shared" si="11"/>
        <v>43596.211340000016</v>
      </c>
      <c r="J17" s="32">
        <f t="shared" si="12"/>
        <v>7791.666666666667</v>
      </c>
      <c r="K17" s="79">
        <f t="shared" si="3"/>
        <v>23444.271205403038</v>
      </c>
      <c r="M17" s="123">
        <v>45792.625</v>
      </c>
      <c r="N17" s="3">
        <v>92.74</v>
      </c>
      <c r="O17" s="123">
        <v>45791.625</v>
      </c>
      <c r="P17" s="3">
        <v>101.087</v>
      </c>
      <c r="Q17" s="123">
        <v>45943.625</v>
      </c>
      <c r="R17" s="3">
        <v>283.67899999999997</v>
      </c>
    </row>
    <row r="18" spans="1:18" x14ac:dyDescent="0.3">
      <c r="A18" s="128">
        <v>45954</v>
      </c>
      <c r="B18" s="45">
        <f t="shared" si="4"/>
        <v>92.56</v>
      </c>
      <c r="C18" s="31">
        <f t="shared" si="5"/>
        <v>96897.964492426152</v>
      </c>
      <c r="D18" s="32">
        <f t="shared" si="6"/>
        <v>-13666.666666666668</v>
      </c>
      <c r="E18" s="45">
        <f t="shared" si="7"/>
        <v>101.092</v>
      </c>
      <c r="F18" s="31">
        <f t="shared" si="8"/>
        <v>-39520.000000000269</v>
      </c>
      <c r="G18" s="32">
        <f t="shared" si="9"/>
        <v>-5058.4560000000001</v>
      </c>
      <c r="H18" s="45">
        <f t="shared" si="10"/>
        <v>264.48399999999998</v>
      </c>
      <c r="I18" s="31">
        <f t="shared" si="11"/>
        <v>81922.351280000177</v>
      </c>
      <c r="J18" s="32">
        <f t="shared" si="12"/>
        <v>10388.888888888889</v>
      </c>
      <c r="K18" s="79">
        <f t="shared" si="3"/>
        <v>35498.51365687068</v>
      </c>
      <c r="M18" s="123">
        <v>45793.625</v>
      </c>
      <c r="N18" s="3">
        <v>92.96</v>
      </c>
      <c r="O18" s="123">
        <v>45792.625</v>
      </c>
      <c r="P18" s="3">
        <v>101.241</v>
      </c>
      <c r="Q18" s="123">
        <v>45944.625</v>
      </c>
      <c r="R18" s="3">
        <v>280.36599999999999</v>
      </c>
    </row>
    <row r="19" spans="1:18" x14ac:dyDescent="0.3">
      <c r="A19" s="36">
        <v>45957</v>
      </c>
      <c r="B19" s="45">
        <f t="shared" si="4"/>
        <v>92.8</v>
      </c>
      <c r="C19" s="31">
        <f t="shared" si="5"/>
        <v>174936.59361383918</v>
      </c>
      <c r="D19" s="32">
        <f t="shared" si="6"/>
        <v>-23916.666666666668</v>
      </c>
      <c r="E19" s="45">
        <f t="shared" si="7"/>
        <v>101.077</v>
      </c>
      <c r="F19" s="31">
        <f t="shared" si="8"/>
        <v>-43420.000000000415</v>
      </c>
      <c r="G19" s="32">
        <f t="shared" si="9"/>
        <v>-8852.2980000000043</v>
      </c>
      <c r="H19" s="45">
        <f t="shared" si="10"/>
        <v>257.31099999999998</v>
      </c>
      <c r="I19" s="31">
        <f t="shared" si="11"/>
        <v>147098.59637000022</v>
      </c>
      <c r="J19" s="32">
        <f t="shared" si="12"/>
        <v>18180.555555555558</v>
      </c>
      <c r="K19" s="79">
        <f t="shared" si="3"/>
        <v>38013.073021617165</v>
      </c>
      <c r="M19" s="123">
        <v>45796.625</v>
      </c>
      <c r="N19" s="3">
        <v>92.89</v>
      </c>
      <c r="O19" s="123">
        <v>45793.625</v>
      </c>
      <c r="P19" s="3">
        <v>101.34</v>
      </c>
      <c r="Q19" s="123">
        <v>45945.625</v>
      </c>
      <c r="R19" s="3">
        <v>267.60599999999999</v>
      </c>
    </row>
    <row r="20" spans="1:18" x14ac:dyDescent="0.3">
      <c r="A20" s="36">
        <v>45958</v>
      </c>
      <c r="B20" s="45">
        <f t="shared" si="4"/>
        <v>92.79</v>
      </c>
      <c r="C20" s="31">
        <f t="shared" si="5"/>
        <v>171684.98406711529</v>
      </c>
      <c r="D20" s="32">
        <f t="shared" si="6"/>
        <v>-27333.333333333336</v>
      </c>
      <c r="E20" s="45">
        <f t="shared" si="7"/>
        <v>101.083</v>
      </c>
      <c r="F20" s="31">
        <f t="shared" si="8"/>
        <v>-41860.000000000349</v>
      </c>
      <c r="G20" s="32">
        <f t="shared" si="9"/>
        <v>-10116.912</v>
      </c>
      <c r="H20" s="45">
        <f t="shared" si="10"/>
        <v>259.988</v>
      </c>
      <c r="I20" s="31">
        <f t="shared" si="11"/>
        <v>122774.49096000001</v>
      </c>
      <c r="J20" s="32">
        <f t="shared" si="12"/>
        <v>20777.777777777777</v>
      </c>
      <c r="K20" s="79">
        <f t="shared" ref="K20" si="13">C20+D20-F20-G20-I20-J20</f>
        <v>52776.293996004519</v>
      </c>
      <c r="M20" s="123">
        <v>45797.625</v>
      </c>
      <c r="N20" s="3">
        <v>93.05</v>
      </c>
      <c r="O20" s="123">
        <v>45796.625</v>
      </c>
      <c r="P20" s="3">
        <v>101.408</v>
      </c>
      <c r="Q20" s="123">
        <v>45946.625</v>
      </c>
      <c r="R20" s="3">
        <v>272.90899999999999</v>
      </c>
    </row>
    <row r="21" spans="1:18" x14ac:dyDescent="0.3">
      <c r="A21" s="36">
        <v>45959</v>
      </c>
      <c r="B21" s="45">
        <f t="shared" si="4"/>
        <v>92.78</v>
      </c>
      <c r="C21" s="31">
        <f t="shared" ref="C21" si="14">(B21/$B$14-1)*$B$5</f>
        <v>168433.37452038476</v>
      </c>
      <c r="D21" s="32">
        <f t="shared" ref="D21" si="15">-1*(A21-$A$14)/360*$B$7*$B$5</f>
        <v>-30750.000000000004</v>
      </c>
      <c r="E21" s="45">
        <f t="shared" si="7"/>
        <v>101.07899999999999</v>
      </c>
      <c r="F21" s="31">
        <f t="shared" ref="F21" si="16">(E21-$E$14)/100*$C$5</f>
        <v>-42900.000000001623</v>
      </c>
      <c r="G21" s="32">
        <f t="shared" ref="G21" si="17">(A21-$A$14)/360*$C$6*$C$5-(A21-$A$14)/360*$C$7*$C$5*$E$14/100</f>
        <v>-11381.526000000003</v>
      </c>
      <c r="H21" s="45">
        <f t="shared" si="10"/>
        <v>259.65800000000002</v>
      </c>
      <c r="I21" s="31">
        <f t="shared" ref="I21" si="18">-1*(H21-$H$14)*$D$8*10^(-4)*$D$5</f>
        <v>125772.97985999985</v>
      </c>
      <c r="J21" s="32">
        <f t="shared" ref="J21" si="19">(A21-$A$14)/360*$D$6*$D$5</f>
        <v>23375.000000000004</v>
      </c>
      <c r="K21" s="79">
        <f t="shared" ref="K21" si="20">C21+D21-F21-G21-I21-J21</f>
        <v>42816.92066038656</v>
      </c>
      <c r="M21" s="123">
        <v>45798.625</v>
      </c>
      <c r="N21" s="3">
        <v>92.95</v>
      </c>
      <c r="O21" s="123">
        <v>45797.625</v>
      </c>
      <c r="P21" s="3">
        <v>101.352</v>
      </c>
      <c r="Q21" s="123">
        <v>45947.625</v>
      </c>
      <c r="R21" s="3">
        <v>278.745</v>
      </c>
    </row>
    <row r="22" spans="1:18" x14ac:dyDescent="0.3">
      <c r="A22" s="36">
        <v>45960</v>
      </c>
      <c r="B22" s="45">
        <f t="shared" si="4"/>
        <v>92.49</v>
      </c>
      <c r="C22" s="31">
        <f t="shared" ref="C22:C23" si="21">(B22/$B$14-1)*$B$5</f>
        <v>74136.697665345695</v>
      </c>
      <c r="D22" s="32">
        <f t="shared" ref="D22:D23" si="22">-1*(A22-$A$14)/360*$B$7*$B$5</f>
        <v>-34166.666666666672</v>
      </c>
      <c r="E22" s="45">
        <f t="shared" si="7"/>
        <v>101.026</v>
      </c>
      <c r="F22" s="31">
        <f t="shared" ref="F22:F23" si="23">(E22-$E$14)/100*$C$5</f>
        <v>-56680.000000000917</v>
      </c>
      <c r="G22" s="32">
        <f t="shared" ref="G22:G23" si="24">(A22-$A$14)/360*$C$6*$C$5-(A22-$A$14)/360*$C$7*$C$5*$E$14/100</f>
        <v>-12646.140000000003</v>
      </c>
      <c r="H22" s="45">
        <f t="shared" si="10"/>
        <v>262.67700000000002</v>
      </c>
      <c r="I22" s="31">
        <f t="shared" ref="I22:I23" si="25">-1*(H22-$H$14)*$D$8*10^(-4)*$D$5</f>
        <v>98341.349589999823</v>
      </c>
      <c r="J22" s="32">
        <f t="shared" ref="J22:J23" si="26">(A22-$A$14)/360*$D$6*$D$5</f>
        <v>25972.222222222223</v>
      </c>
      <c r="K22" s="79">
        <f t="shared" ref="K22" si="27">C22+D22-F22-G22-I22-J22</f>
        <v>-15017.400813542106</v>
      </c>
      <c r="M22" s="123">
        <v>45799.625</v>
      </c>
      <c r="N22" s="3">
        <v>92.82</v>
      </c>
      <c r="O22" s="123">
        <v>45798.625</v>
      </c>
      <c r="P22" s="3">
        <v>101.282</v>
      </c>
      <c r="Q22" s="123">
        <v>45950.625</v>
      </c>
      <c r="R22" s="3">
        <v>270.43</v>
      </c>
    </row>
    <row r="23" spans="1:18" ht="14.4" customHeight="1" x14ac:dyDescent="0.3">
      <c r="A23" s="36">
        <v>45961</v>
      </c>
      <c r="B23" s="45">
        <f t="shared" si="4"/>
        <v>92.63</v>
      </c>
      <c r="C23" s="31">
        <f t="shared" si="21"/>
        <v>119659.23131949996</v>
      </c>
      <c r="D23" s="32">
        <f t="shared" si="22"/>
        <v>-37583.333333333336</v>
      </c>
      <c r="E23" s="45">
        <f t="shared" si="7"/>
        <v>101.04900000000001</v>
      </c>
      <c r="F23" s="31">
        <f t="shared" si="23"/>
        <v>-50699.999999998225</v>
      </c>
      <c r="G23" s="32">
        <f t="shared" si="24"/>
        <v>-13910.754000000004</v>
      </c>
      <c r="H23" s="45">
        <f t="shared" si="10"/>
        <v>264.13400000000001</v>
      </c>
      <c r="I23" s="31">
        <f t="shared" si="25"/>
        <v>85102.566779999877</v>
      </c>
      <c r="J23" s="32">
        <f t="shared" si="26"/>
        <v>28569.444444444445</v>
      </c>
      <c r="K23" s="79">
        <f>C23+D23-F23-G23-I23-J23</f>
        <v>33014.640761720533</v>
      </c>
      <c r="M23" s="123">
        <v>45800.625</v>
      </c>
      <c r="N23" s="3">
        <v>92.47</v>
      </c>
      <c r="O23" s="123">
        <v>45799.625</v>
      </c>
      <c r="P23" s="3">
        <v>101.363</v>
      </c>
      <c r="Q23" s="123">
        <v>45951.625</v>
      </c>
      <c r="R23" s="3">
        <v>268.29199999999997</v>
      </c>
    </row>
    <row r="24" spans="1:18" ht="14.4" customHeight="1" x14ac:dyDescent="0.3">
      <c r="A24" s="36">
        <v>45964</v>
      </c>
      <c r="B24" s="45"/>
      <c r="C24" s="31"/>
      <c r="D24" s="32"/>
      <c r="E24" s="45"/>
      <c r="F24" s="31"/>
      <c r="G24" s="32"/>
      <c r="H24" s="45"/>
      <c r="I24" s="31"/>
      <c r="J24" s="32"/>
      <c r="K24" s="79"/>
      <c r="M24" s="123">
        <v>45804.625</v>
      </c>
      <c r="N24" s="3">
        <v>93.11</v>
      </c>
      <c r="O24" s="123">
        <v>45800.625</v>
      </c>
      <c r="P24" s="3">
        <v>101.581</v>
      </c>
      <c r="Q24" s="123">
        <v>45952.625</v>
      </c>
      <c r="R24" s="3">
        <v>269.46300000000002</v>
      </c>
    </row>
    <row r="25" spans="1:18" ht="14.4" customHeight="1" x14ac:dyDescent="0.3">
      <c r="A25" s="36">
        <v>45965</v>
      </c>
      <c r="B25" s="45"/>
      <c r="C25" s="31"/>
      <c r="D25" s="32"/>
      <c r="E25" s="45"/>
      <c r="F25" s="31"/>
      <c r="G25" s="32"/>
      <c r="H25" s="45"/>
      <c r="I25" s="31"/>
      <c r="J25" s="32"/>
      <c r="K25" s="79"/>
      <c r="M25" s="123">
        <v>45805.625</v>
      </c>
      <c r="N25" s="3">
        <v>93.01</v>
      </c>
      <c r="O25" s="123">
        <v>45803.625</v>
      </c>
      <c r="P25" s="3">
        <v>101.53100000000001</v>
      </c>
      <c r="Q25" s="123">
        <v>45953.625</v>
      </c>
      <c r="R25" s="3">
        <v>268.702</v>
      </c>
    </row>
    <row r="26" spans="1:18" ht="14.4" customHeight="1" x14ac:dyDescent="0.3">
      <c r="A26" s="36">
        <v>45966</v>
      </c>
      <c r="B26" s="45"/>
      <c r="C26" s="31"/>
      <c r="D26" s="32"/>
      <c r="E26" s="45"/>
      <c r="F26" s="31"/>
      <c r="G26" s="32"/>
      <c r="H26" s="45"/>
      <c r="I26" s="31"/>
      <c r="J26" s="32"/>
      <c r="K26" s="79"/>
      <c r="M26" s="123">
        <v>45806.625</v>
      </c>
      <c r="N26" s="3">
        <v>93.33</v>
      </c>
      <c r="O26" s="123">
        <v>45804.625</v>
      </c>
      <c r="P26" s="3">
        <v>101.529</v>
      </c>
      <c r="Q26" s="123">
        <v>45954.625</v>
      </c>
      <c r="R26" s="3">
        <v>264.48399999999998</v>
      </c>
    </row>
    <row r="27" spans="1:18" ht="14.4" customHeight="1" x14ac:dyDescent="0.3">
      <c r="A27" s="36">
        <v>45967</v>
      </c>
      <c r="B27" s="31"/>
      <c r="C27" s="31"/>
      <c r="D27" s="32"/>
      <c r="E27" s="45"/>
      <c r="F27" s="31"/>
      <c r="G27" s="32"/>
      <c r="H27" s="45"/>
      <c r="I27" s="31"/>
      <c r="J27" s="32"/>
      <c r="K27" s="79"/>
      <c r="M27" s="123">
        <v>45807.625</v>
      </c>
      <c r="N27" s="3">
        <v>93.44</v>
      </c>
      <c r="O27" s="123">
        <v>45805.625</v>
      </c>
      <c r="P27" s="3">
        <v>101.491</v>
      </c>
      <c r="Q27" s="123">
        <v>45957.625</v>
      </c>
      <c r="R27" s="3">
        <v>257.31099999999998</v>
      </c>
    </row>
    <row r="28" spans="1:18" ht="14.4" customHeight="1" x14ac:dyDescent="0.3">
      <c r="A28" s="36">
        <v>45968</v>
      </c>
      <c r="B28" s="45"/>
      <c r="C28" s="31"/>
      <c r="D28" s="32"/>
      <c r="E28" s="45"/>
      <c r="F28" s="31"/>
      <c r="G28" s="32"/>
      <c r="H28" s="45"/>
      <c r="I28" s="31"/>
      <c r="J28" s="32"/>
      <c r="K28" s="79"/>
      <c r="M28" s="123">
        <v>45810.625</v>
      </c>
      <c r="N28" s="3">
        <v>93.5</v>
      </c>
      <c r="O28" s="123">
        <v>45806.625</v>
      </c>
      <c r="P28" s="3">
        <v>101.58</v>
      </c>
      <c r="Q28" s="123">
        <v>45958.625</v>
      </c>
      <c r="R28" s="3">
        <v>259.988</v>
      </c>
    </row>
    <row r="29" spans="1:18" ht="14.4" customHeight="1" x14ac:dyDescent="0.3">
      <c r="A29" s="36">
        <v>45969</v>
      </c>
      <c r="B29" s="45"/>
      <c r="C29" s="31"/>
      <c r="D29" s="32"/>
      <c r="E29" s="45"/>
      <c r="F29" s="31"/>
      <c r="G29" s="32"/>
      <c r="H29" s="45"/>
      <c r="I29" s="31"/>
      <c r="J29" s="32"/>
      <c r="K29" s="79"/>
      <c r="M29" s="123">
        <v>45811.625</v>
      </c>
      <c r="N29" s="3">
        <v>93.62</v>
      </c>
      <c r="O29" s="123">
        <v>45807.625</v>
      </c>
      <c r="P29" s="3">
        <v>101.56</v>
      </c>
      <c r="Q29" s="123">
        <v>45959.625</v>
      </c>
      <c r="R29" s="3">
        <v>259.65800000000002</v>
      </c>
    </row>
    <row r="30" spans="1:18" ht="14.4" customHeight="1" x14ac:dyDescent="0.3">
      <c r="A30" s="36">
        <v>45970</v>
      </c>
      <c r="B30" s="45"/>
      <c r="C30" s="31"/>
      <c r="D30" s="32"/>
      <c r="E30" s="45"/>
      <c r="F30" s="31"/>
      <c r="G30" s="32"/>
      <c r="H30" s="45"/>
      <c r="I30" s="31"/>
      <c r="J30" s="32"/>
      <c r="K30" s="79"/>
      <c r="M30" s="123">
        <v>45812.625</v>
      </c>
      <c r="N30" s="3">
        <v>93.7</v>
      </c>
      <c r="O30" s="123">
        <v>45810.625</v>
      </c>
      <c r="P30" s="3">
        <v>101.574</v>
      </c>
      <c r="Q30" s="123">
        <v>45960.625</v>
      </c>
      <c r="R30" s="3">
        <v>262.67700000000002</v>
      </c>
    </row>
    <row r="31" spans="1:18" ht="14.4" customHeight="1" x14ac:dyDescent="0.3">
      <c r="A31" s="128"/>
      <c r="B31" s="45"/>
      <c r="C31" s="31"/>
      <c r="D31" s="32"/>
      <c r="E31" s="45"/>
      <c r="F31" s="31"/>
      <c r="G31" s="32"/>
      <c r="H31" s="45"/>
      <c r="I31" s="31"/>
      <c r="J31" s="32"/>
      <c r="K31" s="79"/>
      <c r="M31" s="123">
        <v>45813.625</v>
      </c>
      <c r="N31" s="3">
        <v>93.55</v>
      </c>
      <c r="O31" s="123">
        <v>45811.625</v>
      </c>
      <c r="P31" s="3">
        <v>101.60599999999999</v>
      </c>
      <c r="Q31" s="3">
        <v>45961.625</v>
      </c>
      <c r="R31" s="3">
        <v>264.13400000000001</v>
      </c>
    </row>
    <row r="32" spans="1:18" ht="14.4" customHeight="1" x14ac:dyDescent="0.3">
      <c r="A32" s="128"/>
      <c r="B32" s="45"/>
      <c r="C32" s="31"/>
      <c r="D32" s="32"/>
      <c r="E32" s="45"/>
      <c r="F32" s="1"/>
      <c r="G32" s="32"/>
      <c r="H32" s="45"/>
      <c r="I32" s="1"/>
      <c r="J32" s="32"/>
      <c r="K32" s="79"/>
      <c r="M32" s="123">
        <v>45814.625</v>
      </c>
      <c r="N32" s="3">
        <v>93.7</v>
      </c>
      <c r="O32" s="123">
        <v>45812.625</v>
      </c>
      <c r="P32" s="3">
        <v>101.54</v>
      </c>
      <c r="Q32" s="3">
        <v>45964.625</v>
      </c>
      <c r="R32" s="3">
        <v>265.20699999999999</v>
      </c>
    </row>
    <row r="33" spans="1:16" ht="14.4" customHeight="1" x14ac:dyDescent="0.3">
      <c r="A33" s="128"/>
      <c r="B33" s="45"/>
      <c r="C33" s="31"/>
      <c r="D33" s="32"/>
      <c r="E33" s="45"/>
      <c r="F33" s="1"/>
      <c r="G33" s="32"/>
      <c r="H33" s="45"/>
      <c r="I33" s="1"/>
      <c r="J33" s="32"/>
      <c r="K33" s="79"/>
      <c r="M33" s="123">
        <v>45817.625</v>
      </c>
      <c r="N33" s="3">
        <v>93.62</v>
      </c>
      <c r="O33" s="123">
        <v>45813.625</v>
      </c>
      <c r="P33" s="3">
        <v>101.26</v>
      </c>
    </row>
    <row r="34" spans="1:16" ht="14.4" customHeight="1" x14ac:dyDescent="0.3">
      <c r="A34" s="128"/>
      <c r="B34" s="45"/>
      <c r="C34" s="31"/>
      <c r="D34" s="32"/>
      <c r="E34" s="45"/>
      <c r="F34" s="1"/>
      <c r="G34" s="32"/>
      <c r="H34" s="45"/>
      <c r="I34" s="1"/>
      <c r="J34" s="32"/>
      <c r="K34" s="79"/>
      <c r="M34" s="123">
        <v>45818.625</v>
      </c>
      <c r="N34" s="3">
        <v>93.67</v>
      </c>
      <c r="O34" s="123">
        <v>45814.625</v>
      </c>
      <c r="P34" s="3">
        <v>101.29900000000001</v>
      </c>
    </row>
    <row r="35" spans="1:16" ht="14.4" customHeight="1" x14ac:dyDescent="0.3">
      <c r="A35" s="128"/>
      <c r="B35" s="45"/>
      <c r="C35" s="31"/>
      <c r="D35" s="32"/>
      <c r="E35" s="45"/>
      <c r="F35" s="1"/>
      <c r="G35" s="32"/>
      <c r="H35" s="45"/>
      <c r="I35" s="1"/>
      <c r="J35" s="32"/>
      <c r="K35" s="79"/>
      <c r="M35" s="123">
        <v>45819.625</v>
      </c>
      <c r="N35" s="3">
        <v>93.76</v>
      </c>
      <c r="O35" s="123">
        <v>45817.625</v>
      </c>
      <c r="P35" s="3">
        <v>101.297</v>
      </c>
    </row>
    <row r="36" spans="1:16" ht="14.4" customHeight="1" x14ac:dyDescent="0.3">
      <c r="A36" s="128"/>
      <c r="B36" s="45"/>
      <c r="C36" s="31"/>
      <c r="D36" s="32"/>
      <c r="E36" s="45"/>
      <c r="F36" s="1"/>
      <c r="G36" s="32"/>
      <c r="H36" s="45"/>
      <c r="I36" s="1"/>
      <c r="J36" s="32"/>
      <c r="K36" s="79"/>
      <c r="M36" s="123">
        <v>45820.625</v>
      </c>
      <c r="N36" s="3">
        <v>93.76</v>
      </c>
      <c r="O36" s="123">
        <v>45818.625</v>
      </c>
      <c r="P36" s="3">
        <v>101.38500000000001</v>
      </c>
    </row>
    <row r="37" spans="1:16" x14ac:dyDescent="0.3">
      <c r="A37" s="128"/>
      <c r="B37" s="45"/>
      <c r="C37" s="31"/>
      <c r="D37" s="32"/>
      <c r="E37" s="45"/>
      <c r="F37" s="1"/>
      <c r="G37" s="32"/>
      <c r="H37" s="45"/>
      <c r="I37" s="1"/>
      <c r="J37" s="32"/>
      <c r="K37" s="79"/>
      <c r="M37" s="123">
        <v>45821.625</v>
      </c>
      <c r="N37" s="3">
        <v>93.42</v>
      </c>
      <c r="O37" s="123">
        <v>45819.625</v>
      </c>
      <c r="P37" s="3">
        <v>101.398</v>
      </c>
    </row>
    <row r="38" spans="1:16" x14ac:dyDescent="0.3">
      <c r="A38" s="128"/>
      <c r="B38" s="45"/>
      <c r="C38" s="31"/>
      <c r="D38" s="32"/>
      <c r="E38" s="45"/>
      <c r="F38" s="1"/>
      <c r="G38" s="32"/>
      <c r="H38" s="45"/>
      <c r="I38" s="1"/>
      <c r="J38" s="32"/>
      <c r="K38" s="79"/>
      <c r="M38" s="123">
        <v>45824.625</v>
      </c>
      <c r="N38" s="3">
        <v>93.76</v>
      </c>
      <c r="O38" s="123">
        <v>45820.625</v>
      </c>
      <c r="P38" s="3">
        <v>101.509</v>
      </c>
    </row>
    <row r="39" spans="1:16" x14ac:dyDescent="0.3">
      <c r="A39" s="128"/>
      <c r="B39" s="45"/>
      <c r="C39" s="31"/>
      <c r="D39" s="32"/>
      <c r="E39" s="45"/>
      <c r="F39" s="1"/>
      <c r="G39" s="32"/>
      <c r="H39" s="45"/>
      <c r="I39" s="1"/>
      <c r="J39" s="32"/>
      <c r="K39" s="79"/>
      <c r="M39" s="123">
        <v>45825.625</v>
      </c>
      <c r="N39" s="3">
        <v>93.56</v>
      </c>
      <c r="O39" s="123">
        <v>45821.625</v>
      </c>
      <c r="P39" s="3">
        <v>101.375</v>
      </c>
    </row>
    <row r="40" spans="1:16" x14ac:dyDescent="0.3">
      <c r="B40" s="45"/>
      <c r="C40" s="31"/>
      <c r="D40" s="32"/>
      <c r="E40" s="45"/>
      <c r="F40" s="1"/>
      <c r="G40" s="32"/>
      <c r="H40" s="45"/>
      <c r="I40" s="1"/>
      <c r="J40" s="32"/>
      <c r="K40" s="79"/>
      <c r="M40" s="123">
        <v>45826.625</v>
      </c>
      <c r="N40" s="3">
        <v>93.37</v>
      </c>
      <c r="O40" s="123">
        <v>45824.625</v>
      </c>
      <c r="P40" s="3">
        <v>101.402</v>
      </c>
    </row>
    <row r="41" spans="1:16" x14ac:dyDescent="0.3">
      <c r="B41" s="45"/>
      <c r="C41" s="31"/>
      <c r="D41" s="32"/>
      <c r="E41" s="45"/>
      <c r="F41" s="1"/>
      <c r="G41" s="32"/>
      <c r="H41" s="45"/>
      <c r="I41" s="1"/>
      <c r="J41" s="32"/>
      <c r="K41" s="79"/>
      <c r="M41" s="123">
        <v>45827.625</v>
      </c>
      <c r="N41" s="3">
        <v>93.19</v>
      </c>
      <c r="O41" s="123">
        <v>45825.625</v>
      </c>
      <c r="P41" s="3">
        <v>101.369</v>
      </c>
    </row>
    <row r="42" spans="1:16" x14ac:dyDescent="0.3">
      <c r="B42" s="45"/>
      <c r="C42" s="31"/>
      <c r="D42" s="32"/>
      <c r="E42" s="45"/>
      <c r="F42" s="1"/>
      <c r="G42" s="32"/>
      <c r="H42" s="45"/>
      <c r="I42" s="1"/>
      <c r="J42" s="32"/>
      <c r="K42" s="79"/>
      <c r="M42" s="123">
        <v>45828.625</v>
      </c>
      <c r="N42" s="3">
        <v>93.4</v>
      </c>
      <c r="O42" s="123">
        <v>45826.625</v>
      </c>
      <c r="P42" s="3">
        <v>101.449</v>
      </c>
    </row>
    <row r="43" spans="1:16" x14ac:dyDescent="0.3">
      <c r="B43" s="45"/>
      <c r="C43" s="31"/>
      <c r="D43" s="32"/>
      <c r="E43" s="45"/>
      <c r="F43" s="1"/>
      <c r="G43" s="32"/>
      <c r="H43" s="45"/>
      <c r="I43" s="1"/>
      <c r="J43" s="32"/>
      <c r="K43" s="79"/>
      <c r="M43" s="123">
        <v>45831.625</v>
      </c>
      <c r="N43" s="3">
        <v>93.3</v>
      </c>
      <c r="O43" s="123">
        <v>45827.625</v>
      </c>
      <c r="P43" s="3">
        <v>101.432</v>
      </c>
    </row>
    <row r="44" spans="1:16" x14ac:dyDescent="0.3">
      <c r="B44" s="45"/>
      <c r="C44" s="31"/>
      <c r="D44" s="5"/>
      <c r="E44" s="45"/>
      <c r="F44" s="1"/>
      <c r="G44" s="5"/>
      <c r="H44" s="45"/>
      <c r="I44" s="1"/>
      <c r="J44" s="5"/>
      <c r="K44" s="78"/>
      <c r="M44" s="123">
        <v>45832.625</v>
      </c>
      <c r="N44" s="3">
        <v>93.63</v>
      </c>
      <c r="O44" s="123">
        <v>45828.625</v>
      </c>
      <c r="P44" s="3">
        <v>101.38200000000001</v>
      </c>
    </row>
    <row r="45" spans="1:16" x14ac:dyDescent="0.3">
      <c r="B45" s="45"/>
      <c r="C45" s="31"/>
      <c r="D45" s="5"/>
      <c r="E45" s="45"/>
      <c r="F45" s="1"/>
      <c r="G45" s="5"/>
      <c r="H45" s="45"/>
      <c r="I45" s="1"/>
      <c r="J45" s="5"/>
      <c r="K45" s="78"/>
      <c r="M45" s="123">
        <v>45833.625</v>
      </c>
      <c r="N45" s="3">
        <v>93.47</v>
      </c>
      <c r="O45" s="123">
        <v>45831.625</v>
      </c>
      <c r="P45" s="3">
        <v>101.441</v>
      </c>
    </row>
    <row r="46" spans="1:16" x14ac:dyDescent="0.3">
      <c r="B46" s="45"/>
      <c r="C46" s="31"/>
      <c r="D46" s="5"/>
      <c r="E46" s="45"/>
      <c r="F46" s="1"/>
      <c r="G46" s="5"/>
      <c r="H46" s="45"/>
      <c r="I46" s="1"/>
      <c r="J46" s="5"/>
      <c r="K46" s="78"/>
      <c r="M46" s="123">
        <v>45834.625</v>
      </c>
      <c r="N46" s="3">
        <v>93.5</v>
      </c>
      <c r="O46" s="123">
        <v>45832.625</v>
      </c>
      <c r="P46" s="3">
        <v>101.40600000000001</v>
      </c>
    </row>
    <row r="47" spans="1:16" x14ac:dyDescent="0.3">
      <c r="B47" s="45"/>
      <c r="C47" s="31"/>
      <c r="D47" s="5"/>
      <c r="E47" s="45"/>
      <c r="F47" s="1"/>
      <c r="G47" s="5"/>
      <c r="H47" s="45"/>
      <c r="I47" s="1"/>
      <c r="J47" s="5"/>
      <c r="K47" s="78"/>
      <c r="M47" s="123">
        <v>45835.625</v>
      </c>
      <c r="N47" s="3">
        <v>93.63</v>
      </c>
      <c r="O47" s="123">
        <v>45833.625</v>
      </c>
      <c r="P47" s="3">
        <v>101.367</v>
      </c>
    </row>
    <row r="48" spans="1:16" x14ac:dyDescent="0.3">
      <c r="B48" s="57"/>
      <c r="C48" s="58"/>
      <c r="D48" s="34"/>
      <c r="E48" s="57"/>
      <c r="G48" s="34"/>
      <c r="H48" s="57"/>
      <c r="J48" s="34"/>
      <c r="K48" s="80"/>
      <c r="M48" s="123">
        <v>45838.625</v>
      </c>
      <c r="N48" s="3">
        <v>93.64</v>
      </c>
      <c r="O48" s="123">
        <v>45834.625</v>
      </c>
      <c r="P48" s="3">
        <v>101.43</v>
      </c>
    </row>
    <row r="49" spans="2:33" ht="15" thickBot="1" x14ac:dyDescent="0.35">
      <c r="B49" s="35"/>
      <c r="C49" s="67"/>
      <c r="D49" s="13"/>
      <c r="E49" s="114"/>
      <c r="F49" s="12"/>
      <c r="G49" s="13"/>
      <c r="H49" s="114"/>
      <c r="I49" s="12"/>
      <c r="J49" s="13"/>
      <c r="K49" s="81"/>
      <c r="M49" s="123">
        <v>45839.625</v>
      </c>
      <c r="N49" s="3">
        <v>93.68</v>
      </c>
      <c r="O49" s="123">
        <v>45835.625</v>
      </c>
      <c r="P49" s="3">
        <v>101.3</v>
      </c>
    </row>
    <row r="50" spans="2:33" x14ac:dyDescent="0.3">
      <c r="E50" s="59"/>
      <c r="H50" s="59"/>
      <c r="M50" s="123">
        <v>45840.625</v>
      </c>
      <c r="N50" s="3">
        <v>93.74</v>
      </c>
      <c r="O50" s="123">
        <v>45838.625</v>
      </c>
      <c r="P50" s="3">
        <v>101.331</v>
      </c>
    </row>
    <row r="51" spans="2:33" x14ac:dyDescent="0.3">
      <c r="E51" s="59"/>
      <c r="H51" s="59"/>
      <c r="M51" s="123">
        <v>45841.625</v>
      </c>
      <c r="N51" s="3">
        <v>93.9</v>
      </c>
      <c r="O51" s="123">
        <v>45839.625</v>
      </c>
      <c r="P51" s="3">
        <v>101.357</v>
      </c>
    </row>
    <row r="52" spans="2:33" x14ac:dyDescent="0.3">
      <c r="H52" s="59"/>
      <c r="M52" s="123">
        <v>45842.625</v>
      </c>
      <c r="N52" s="3">
        <v>93.86</v>
      </c>
      <c r="O52" s="123">
        <v>45840.625</v>
      </c>
      <c r="P52" s="3">
        <v>101.286</v>
      </c>
    </row>
    <row r="53" spans="2:33" x14ac:dyDescent="0.3">
      <c r="H53" s="59"/>
      <c r="M53" s="123">
        <v>45845.625</v>
      </c>
      <c r="N53" s="3">
        <v>93.91</v>
      </c>
      <c r="O53" s="123">
        <v>45841.625</v>
      </c>
      <c r="P53" s="3">
        <v>101.379</v>
      </c>
    </row>
    <row r="54" spans="2:33" x14ac:dyDescent="0.3">
      <c r="H54" s="59"/>
      <c r="M54" s="123">
        <v>45846.625</v>
      </c>
      <c r="N54" s="3">
        <v>93.9</v>
      </c>
      <c r="O54" s="123">
        <v>45842.625</v>
      </c>
      <c r="P54" s="3">
        <v>101.465</v>
      </c>
    </row>
    <row r="55" spans="2:33" x14ac:dyDescent="0.3">
      <c r="H55" s="59"/>
      <c r="M55" s="123">
        <v>45847.625</v>
      </c>
      <c r="N55" s="3">
        <v>94.17</v>
      </c>
      <c r="O55" s="123">
        <v>45845.625</v>
      </c>
      <c r="P55" s="3">
        <v>101.348</v>
      </c>
    </row>
    <row r="56" spans="2:33" x14ac:dyDescent="0.3">
      <c r="H56" s="59"/>
      <c r="M56" s="123">
        <v>45848.625</v>
      </c>
      <c r="N56" s="3">
        <v>94.22</v>
      </c>
      <c r="O56" s="123">
        <v>45846.625</v>
      </c>
      <c r="P56" s="3">
        <v>101.241</v>
      </c>
    </row>
    <row r="57" spans="2:33" x14ac:dyDescent="0.3">
      <c r="M57" s="123">
        <v>45849.625</v>
      </c>
      <c r="N57" s="3">
        <v>94.12</v>
      </c>
      <c r="O57" s="123">
        <v>45847.625</v>
      </c>
      <c r="P57" s="3">
        <v>101.289</v>
      </c>
    </row>
    <row r="58" spans="2:33" x14ac:dyDescent="0.3">
      <c r="M58" s="123">
        <v>45852.625</v>
      </c>
      <c r="N58" s="3">
        <v>94.05</v>
      </c>
      <c r="O58" s="123">
        <v>45848.625</v>
      </c>
      <c r="P58" s="3">
        <v>101.181</v>
      </c>
    </row>
    <row r="59" spans="2:33" x14ac:dyDescent="0.3">
      <c r="M59" s="123">
        <v>45853.625</v>
      </c>
      <c r="N59" s="3">
        <v>94.05</v>
      </c>
      <c r="O59" s="123">
        <v>45849.625</v>
      </c>
      <c r="P59" s="3">
        <v>101.123</v>
      </c>
    </row>
    <row r="60" spans="2:33" x14ac:dyDescent="0.3">
      <c r="M60" s="123">
        <v>45854.625</v>
      </c>
      <c r="N60" s="3">
        <v>93.96</v>
      </c>
      <c r="O60" s="123">
        <v>45852.625</v>
      </c>
      <c r="P60" s="3">
        <v>101.181</v>
      </c>
    </row>
    <row r="61" spans="2:33" x14ac:dyDescent="0.3">
      <c r="M61" s="123">
        <v>45855.625</v>
      </c>
      <c r="N61" s="3">
        <v>94.08</v>
      </c>
      <c r="O61" s="123">
        <v>45853.625</v>
      </c>
      <c r="P61" s="3">
        <v>101.23699999999999</v>
      </c>
    </row>
    <row r="62" spans="2:33" x14ac:dyDescent="0.3">
      <c r="M62" s="123">
        <v>45856.625</v>
      </c>
      <c r="N62" s="3">
        <v>94.09</v>
      </c>
      <c r="O62" s="123">
        <v>45854.625</v>
      </c>
      <c r="P62" s="3">
        <v>101.31</v>
      </c>
    </row>
    <row r="63" spans="2:33" x14ac:dyDescent="0.3">
      <c r="M63" s="123">
        <v>45859.625</v>
      </c>
      <c r="N63" s="3">
        <v>94.13</v>
      </c>
      <c r="O63" s="123">
        <v>45855.625</v>
      </c>
      <c r="P63" s="3">
        <v>101.328</v>
      </c>
      <c r="Y63" s="58"/>
      <c r="AG63" s="82"/>
    </row>
    <row r="64" spans="2:33" x14ac:dyDescent="0.3">
      <c r="M64" s="123">
        <v>45860.625</v>
      </c>
      <c r="N64" s="3">
        <v>94.13</v>
      </c>
      <c r="O64" s="123">
        <v>45856.625</v>
      </c>
      <c r="P64" s="3">
        <v>101.28</v>
      </c>
      <c r="X64" s="111" t="s">
        <v>86</v>
      </c>
      <c r="Y64" s="111" t="s">
        <v>87</v>
      </c>
      <c r="Z64" s="111" t="s">
        <v>88</v>
      </c>
      <c r="AA64" s="111" t="s">
        <v>89</v>
      </c>
      <c r="AB64" s="111" t="s">
        <v>90</v>
      </c>
      <c r="AC64" s="111" t="s">
        <v>91</v>
      </c>
      <c r="AD64" s="111" t="s">
        <v>92</v>
      </c>
      <c r="AE64" s="111" t="s">
        <v>93</v>
      </c>
      <c r="AF64" s="110"/>
      <c r="AG64" s="82"/>
    </row>
    <row r="65" spans="13:33" x14ac:dyDescent="0.3">
      <c r="M65" s="123">
        <v>45861.625</v>
      </c>
      <c r="N65" s="3">
        <v>94.21</v>
      </c>
      <c r="O65" s="123">
        <v>45859.625</v>
      </c>
      <c r="P65" s="3">
        <v>101.45</v>
      </c>
      <c r="X65" s="111">
        <v>6787</v>
      </c>
      <c r="Y65" s="112">
        <v>45936</v>
      </c>
      <c r="Z65" s="113" t="s">
        <v>94</v>
      </c>
      <c r="AA65" s="113" t="s">
        <v>95</v>
      </c>
      <c r="AB65" s="113" t="s">
        <v>96</v>
      </c>
      <c r="AC65" s="113" t="s">
        <v>97</v>
      </c>
      <c r="AD65" s="113" t="s">
        <v>98</v>
      </c>
      <c r="AE65" s="113" t="s">
        <v>99</v>
      </c>
      <c r="AF65" s="113">
        <v>56.9191</v>
      </c>
      <c r="AG65" s="82"/>
    </row>
    <row r="66" spans="13:33" x14ac:dyDescent="0.3">
      <c r="M66" s="123">
        <v>45862.625</v>
      </c>
      <c r="N66" s="3">
        <v>94.34</v>
      </c>
      <c r="O66" s="123">
        <v>45860.625</v>
      </c>
      <c r="P66" s="3">
        <v>101.5</v>
      </c>
      <c r="X66" s="111">
        <v>61629</v>
      </c>
      <c r="Y66" s="112">
        <v>45937</v>
      </c>
      <c r="Z66" s="113" t="s">
        <v>94</v>
      </c>
      <c r="AA66" s="113" t="s">
        <v>95</v>
      </c>
      <c r="AB66" s="113" t="s">
        <v>96</v>
      </c>
      <c r="AC66" s="113" t="s">
        <v>97</v>
      </c>
      <c r="AD66" s="113" t="s">
        <v>98</v>
      </c>
      <c r="AE66" s="113" t="s">
        <v>99</v>
      </c>
      <c r="AF66" s="113">
        <v>56.886099999999999</v>
      </c>
      <c r="AG66" s="82"/>
    </row>
    <row r="67" spans="13:33" x14ac:dyDescent="0.3">
      <c r="M67" s="123">
        <v>45863.625</v>
      </c>
      <c r="N67" s="3">
        <v>94.27</v>
      </c>
      <c r="O67" s="123">
        <v>45861.625</v>
      </c>
      <c r="P67" s="3">
        <v>101.505</v>
      </c>
      <c r="X67" s="111">
        <v>116533</v>
      </c>
      <c r="Y67" s="112">
        <v>45938</v>
      </c>
      <c r="Z67" s="113" t="s">
        <v>94</v>
      </c>
      <c r="AA67" s="113" t="s">
        <v>95</v>
      </c>
      <c r="AB67" s="113" t="s">
        <v>96</v>
      </c>
      <c r="AC67" s="113" t="s">
        <v>97</v>
      </c>
      <c r="AD67" s="113" t="s">
        <v>98</v>
      </c>
      <c r="AE67" s="113" t="s">
        <v>99</v>
      </c>
      <c r="AF67" s="113">
        <v>56.288499999999999</v>
      </c>
      <c r="AG67" s="82"/>
    </row>
    <row r="68" spans="13:33" x14ac:dyDescent="0.3">
      <c r="M68" s="123">
        <v>45866.625</v>
      </c>
      <c r="N68" s="3">
        <v>94.37</v>
      </c>
      <c r="O68" s="123">
        <v>45862.625</v>
      </c>
      <c r="P68" s="3">
        <v>101.15300000000001</v>
      </c>
      <c r="X68" s="111">
        <v>171383</v>
      </c>
      <c r="Y68" s="112">
        <v>45939</v>
      </c>
      <c r="Z68" s="113" t="s">
        <v>94</v>
      </c>
      <c r="AA68" s="113" t="s">
        <v>95</v>
      </c>
      <c r="AB68" s="113" t="s">
        <v>96</v>
      </c>
      <c r="AC68" s="113" t="s">
        <v>97</v>
      </c>
      <c r="AD68" s="113" t="s">
        <v>98</v>
      </c>
      <c r="AE68" s="113" t="s">
        <v>99</v>
      </c>
      <c r="AF68" s="113">
        <v>56.36</v>
      </c>
      <c r="AG68" s="82"/>
    </row>
    <row r="69" spans="13:33" x14ac:dyDescent="0.3">
      <c r="M69" s="123">
        <v>45867.625</v>
      </c>
      <c r="N69" s="3">
        <v>94.46</v>
      </c>
      <c r="O69" s="123">
        <v>45863.625</v>
      </c>
      <c r="P69" s="3">
        <v>101.054</v>
      </c>
      <c r="X69" s="111">
        <v>226332</v>
      </c>
      <c r="Y69" s="112">
        <v>45940</v>
      </c>
      <c r="Z69" s="113" t="s">
        <v>94</v>
      </c>
      <c r="AA69" s="113" t="s">
        <v>95</v>
      </c>
      <c r="AB69" s="113" t="s">
        <v>96</v>
      </c>
      <c r="AC69" s="113" t="s">
        <v>97</v>
      </c>
      <c r="AD69" s="113" t="s">
        <v>98</v>
      </c>
      <c r="AE69" s="113" t="s">
        <v>99</v>
      </c>
      <c r="AF69" s="113">
        <v>59.473300000000002</v>
      </c>
      <c r="AG69" s="82"/>
    </row>
    <row r="70" spans="13:33" x14ac:dyDescent="0.3">
      <c r="M70" s="123">
        <v>45868.625</v>
      </c>
      <c r="N70" s="3">
        <v>94.48</v>
      </c>
      <c r="O70" s="123">
        <v>45866.625</v>
      </c>
      <c r="P70" s="3">
        <v>101.17</v>
      </c>
      <c r="Y70" s="58"/>
      <c r="AG70" s="82"/>
    </row>
    <row r="71" spans="13:33" x14ac:dyDescent="0.3">
      <c r="M71" s="123">
        <v>45869.625</v>
      </c>
      <c r="N71" s="3">
        <v>94.45</v>
      </c>
      <c r="O71" s="123">
        <v>45867.625</v>
      </c>
      <c r="P71" s="3">
        <v>101.105</v>
      </c>
      <c r="Y71" s="58"/>
      <c r="AG71" s="82"/>
    </row>
    <row r="72" spans="13:33" x14ac:dyDescent="0.3">
      <c r="M72" s="123">
        <v>45870.625</v>
      </c>
      <c r="N72" s="3">
        <v>94.32</v>
      </c>
      <c r="O72" s="123">
        <v>45868.625</v>
      </c>
      <c r="P72" s="3">
        <v>101.048</v>
      </c>
      <c r="Y72" s="58"/>
      <c r="AG72" s="82"/>
    </row>
    <row r="73" spans="13:33" x14ac:dyDescent="0.3">
      <c r="M73" s="123">
        <v>45873.625</v>
      </c>
      <c r="N73" s="3">
        <v>94.38</v>
      </c>
      <c r="O73" s="123">
        <v>45869.625</v>
      </c>
      <c r="P73" s="3">
        <v>101.02200000000001</v>
      </c>
      <c r="Y73" s="58"/>
      <c r="AF73" s="3">
        <f>AF65-N103</f>
        <v>-35.430899999999994</v>
      </c>
      <c r="AG73" s="82"/>
    </row>
    <row r="74" spans="13:33" x14ac:dyDescent="0.3">
      <c r="M74" s="123">
        <v>45874.625</v>
      </c>
      <c r="N74" s="3">
        <v>94.45</v>
      </c>
      <c r="O74" s="123">
        <v>45870.625</v>
      </c>
      <c r="P74" s="3">
        <v>101.155</v>
      </c>
      <c r="Y74" s="58"/>
      <c r="AF74" s="3">
        <f>AF66-N104</f>
        <v>-35.503900000000002</v>
      </c>
      <c r="AG74" s="82"/>
    </row>
    <row r="75" spans="13:33" x14ac:dyDescent="0.3">
      <c r="M75" s="123">
        <v>45875.625</v>
      </c>
      <c r="N75" s="3">
        <v>94.47</v>
      </c>
      <c r="O75" s="123">
        <v>45873.625</v>
      </c>
      <c r="P75" s="3">
        <v>101.214</v>
      </c>
      <c r="Y75" s="58"/>
      <c r="AF75" s="3">
        <f>AF67-N105</f>
        <v>-36.381500000000003</v>
      </c>
      <c r="AG75" s="82"/>
    </row>
    <row r="76" spans="13:33" x14ac:dyDescent="0.3">
      <c r="M76" s="123">
        <v>45876.625</v>
      </c>
      <c r="N76" s="3">
        <v>94.64</v>
      </c>
      <c r="O76" s="123">
        <v>45874.625</v>
      </c>
      <c r="P76" s="3">
        <v>101.217</v>
      </c>
      <c r="Y76" s="58"/>
      <c r="AF76" s="3">
        <f>AF68-N106</f>
        <v>-36.31</v>
      </c>
      <c r="AG76" s="82"/>
    </row>
    <row r="77" spans="13:33" x14ac:dyDescent="0.3">
      <c r="M77" s="123">
        <v>45877.625</v>
      </c>
      <c r="N77" s="3">
        <v>94.67</v>
      </c>
      <c r="O77" s="123">
        <v>45875.625</v>
      </c>
      <c r="P77" s="3">
        <v>101.197</v>
      </c>
      <c r="Y77" s="58"/>
      <c r="AF77" s="3">
        <f>AF69-N107</f>
        <v>-33.046699999999994</v>
      </c>
      <c r="AG77" s="82"/>
    </row>
    <row r="78" spans="13:33" x14ac:dyDescent="0.3">
      <c r="M78" s="123">
        <v>45880.625</v>
      </c>
      <c r="N78" s="3">
        <v>94.66</v>
      </c>
      <c r="O78" s="123">
        <v>45876.625</v>
      </c>
      <c r="P78" s="3">
        <v>101.16500000000001</v>
      </c>
    </row>
    <row r="79" spans="13:33" x14ac:dyDescent="0.3">
      <c r="M79" s="123">
        <v>45881.625</v>
      </c>
      <c r="N79" s="3">
        <v>94.75</v>
      </c>
      <c r="O79" s="123">
        <v>45877.625</v>
      </c>
      <c r="P79" s="3">
        <v>101.039</v>
      </c>
    </row>
    <row r="80" spans="13:33" x14ac:dyDescent="0.3">
      <c r="M80" s="123">
        <v>45882.625</v>
      </c>
      <c r="N80" s="3">
        <v>94.88</v>
      </c>
      <c r="O80" s="123">
        <v>45880.625</v>
      </c>
      <c r="P80" s="3">
        <v>101.004</v>
      </c>
    </row>
    <row r="81" spans="13:16" x14ac:dyDescent="0.3">
      <c r="M81" s="123">
        <v>45883.625</v>
      </c>
      <c r="N81" s="3">
        <v>94.94</v>
      </c>
      <c r="O81" s="123">
        <v>45881.625</v>
      </c>
      <c r="P81" s="3">
        <v>100.947</v>
      </c>
    </row>
    <row r="82" spans="13:16" x14ac:dyDescent="0.3">
      <c r="M82" s="123">
        <v>45884.625</v>
      </c>
      <c r="N82" s="3">
        <v>94.87</v>
      </c>
      <c r="O82" s="123">
        <v>45882.625</v>
      </c>
      <c r="P82" s="3">
        <v>101.11799999999999</v>
      </c>
    </row>
    <row r="83" spans="13:16" x14ac:dyDescent="0.3">
      <c r="M83" s="123">
        <v>45887.625</v>
      </c>
      <c r="N83" s="3">
        <v>94.83</v>
      </c>
      <c r="O83" s="123">
        <v>45883.625</v>
      </c>
      <c r="P83" s="3">
        <v>101.057</v>
      </c>
    </row>
    <row r="84" spans="13:16" x14ac:dyDescent="0.3">
      <c r="M84" s="123">
        <v>45888.625</v>
      </c>
      <c r="N84" s="3">
        <v>94.8</v>
      </c>
      <c r="O84" s="123">
        <v>45884.625</v>
      </c>
      <c r="P84" s="3">
        <v>100.946</v>
      </c>
    </row>
    <row r="85" spans="13:16" x14ac:dyDescent="0.3">
      <c r="M85" s="123">
        <v>45889.625</v>
      </c>
      <c r="N85" s="3">
        <v>94.64</v>
      </c>
      <c r="O85" s="123">
        <v>45887.625</v>
      </c>
      <c r="P85" s="3">
        <v>100.953</v>
      </c>
    </row>
    <row r="86" spans="13:16" x14ac:dyDescent="0.3">
      <c r="M86" s="123">
        <v>45890.625</v>
      </c>
      <c r="N86" s="3">
        <v>94.47</v>
      </c>
      <c r="O86" s="123">
        <v>45888.625</v>
      </c>
      <c r="P86" s="3">
        <v>100.99</v>
      </c>
    </row>
    <row r="87" spans="13:16" x14ac:dyDescent="0.3">
      <c r="M87" s="123">
        <v>45891.625</v>
      </c>
      <c r="N87" s="3">
        <v>94.76</v>
      </c>
      <c r="O87" s="123">
        <v>45889.625</v>
      </c>
      <c r="P87" s="3">
        <v>101.083</v>
      </c>
    </row>
    <row r="88" spans="13:16" x14ac:dyDescent="0.3">
      <c r="M88" s="123">
        <v>45895.625</v>
      </c>
      <c r="N88" s="3">
        <v>94.59</v>
      </c>
      <c r="O88" s="123">
        <v>45890.625</v>
      </c>
      <c r="P88" s="3">
        <v>100.955</v>
      </c>
    </row>
    <row r="89" spans="13:16" x14ac:dyDescent="0.3">
      <c r="M89" s="123">
        <v>45896.625</v>
      </c>
      <c r="N89" s="3">
        <v>94.56</v>
      </c>
      <c r="O89" s="123">
        <v>45891.625</v>
      </c>
      <c r="P89" s="3">
        <v>101.027</v>
      </c>
    </row>
    <row r="90" spans="13:16" x14ac:dyDescent="0.3">
      <c r="M90" s="123">
        <v>45897.625</v>
      </c>
      <c r="N90" s="3">
        <v>94.44</v>
      </c>
      <c r="O90" s="123">
        <v>45894.625</v>
      </c>
      <c r="P90" s="3">
        <v>100.916</v>
      </c>
    </row>
    <row r="91" spans="13:16" x14ac:dyDescent="0.3">
      <c r="M91" s="123">
        <v>45898.625</v>
      </c>
      <c r="N91" s="3">
        <v>94.44</v>
      </c>
      <c r="O91" s="123">
        <v>45895.625</v>
      </c>
      <c r="P91" s="3">
        <v>101.051</v>
      </c>
    </row>
    <row r="92" spans="13:16" x14ac:dyDescent="0.3">
      <c r="M92" s="123">
        <v>45901.625</v>
      </c>
      <c r="N92" s="3">
        <v>94.4</v>
      </c>
      <c r="O92" s="123">
        <v>45896.625</v>
      </c>
      <c r="P92" s="3">
        <v>101.142</v>
      </c>
    </row>
    <row r="93" spans="13:16" x14ac:dyDescent="0.3">
      <c r="M93" s="123">
        <v>45902.625</v>
      </c>
      <c r="N93" s="3">
        <v>94.24</v>
      </c>
      <c r="O93" s="123">
        <v>45897.625</v>
      </c>
      <c r="P93" s="3">
        <v>101.092</v>
      </c>
    </row>
    <row r="94" spans="13:16" x14ac:dyDescent="0.3">
      <c r="M94" s="123">
        <v>45903.625</v>
      </c>
      <c r="N94" s="3">
        <v>94.38</v>
      </c>
      <c r="O94" s="123">
        <v>45898.625</v>
      </c>
      <c r="P94" s="3">
        <v>101.096</v>
      </c>
    </row>
    <row r="95" spans="13:16" x14ac:dyDescent="0.3">
      <c r="M95" s="123">
        <v>45904.625</v>
      </c>
      <c r="N95" s="3">
        <v>94.54</v>
      </c>
      <c r="O95" s="123">
        <v>45901.625</v>
      </c>
      <c r="P95" s="3">
        <v>101.01900000000001</v>
      </c>
    </row>
    <row r="96" spans="13:16" x14ac:dyDescent="0.3">
      <c r="M96" s="123">
        <v>45905.625</v>
      </c>
      <c r="N96" s="3">
        <v>94.64</v>
      </c>
      <c r="O96" s="123">
        <v>45902.625</v>
      </c>
      <c r="P96" s="3">
        <v>100.976</v>
      </c>
    </row>
    <row r="97" spans="13:16" x14ac:dyDescent="0.3">
      <c r="M97" s="123">
        <v>45908.625</v>
      </c>
      <c r="N97" s="3">
        <v>94.65</v>
      </c>
      <c r="O97" s="123">
        <v>45903.625</v>
      </c>
      <c r="P97" s="3">
        <v>101.038</v>
      </c>
    </row>
    <row r="98" spans="13:16" x14ac:dyDescent="0.3">
      <c r="M98" s="123">
        <v>45909.625</v>
      </c>
      <c r="N98" s="3">
        <v>94.54</v>
      </c>
      <c r="O98" s="123">
        <v>45904.625</v>
      </c>
      <c r="P98" s="3">
        <v>101.06399999999999</v>
      </c>
    </row>
    <row r="99" spans="13:16" x14ac:dyDescent="0.3">
      <c r="M99" s="123">
        <v>45910.625</v>
      </c>
      <c r="N99" s="3">
        <v>94.53</v>
      </c>
      <c r="O99" s="123">
        <v>45905.625</v>
      </c>
      <c r="P99" s="3">
        <v>101.19</v>
      </c>
    </row>
    <row r="100" spans="13:16" x14ac:dyDescent="0.3">
      <c r="M100" s="123">
        <v>45911.625</v>
      </c>
      <c r="N100" s="3">
        <v>92.29</v>
      </c>
      <c r="O100" s="123">
        <v>45908.625</v>
      </c>
      <c r="P100" s="3">
        <v>101.23099999999999</v>
      </c>
    </row>
    <row r="101" spans="13:16" x14ac:dyDescent="0.3">
      <c r="M101" s="123">
        <v>45912.625</v>
      </c>
      <c r="N101" s="3">
        <v>92.46</v>
      </c>
      <c r="O101" s="123">
        <v>45909.625</v>
      </c>
      <c r="P101" s="3">
        <v>101.163</v>
      </c>
    </row>
    <row r="102" spans="13:16" x14ac:dyDescent="0.3">
      <c r="M102" s="123">
        <v>45915.625</v>
      </c>
      <c r="N102" s="3">
        <v>92.46</v>
      </c>
      <c r="O102" s="123">
        <v>45910.625</v>
      </c>
      <c r="P102" s="3">
        <v>101.126</v>
      </c>
    </row>
    <row r="103" spans="13:16" x14ac:dyDescent="0.3">
      <c r="M103" s="123">
        <v>45916.625</v>
      </c>
      <c r="N103" s="3">
        <v>92.35</v>
      </c>
      <c r="O103" s="123">
        <v>45911.625</v>
      </c>
      <c r="P103" s="3">
        <v>101.012</v>
      </c>
    </row>
    <row r="104" spans="13:16" x14ac:dyDescent="0.3">
      <c r="M104" s="123">
        <v>45917.625</v>
      </c>
      <c r="N104" s="3">
        <v>92.39</v>
      </c>
      <c r="O104" s="123">
        <v>45912.625</v>
      </c>
      <c r="P104" s="3">
        <v>100.934</v>
      </c>
    </row>
    <row r="105" spans="13:16" x14ac:dyDescent="0.3">
      <c r="M105" s="123">
        <v>45918.625</v>
      </c>
      <c r="N105" s="3">
        <v>92.67</v>
      </c>
      <c r="O105" s="123">
        <v>45915.625</v>
      </c>
      <c r="P105" s="3">
        <v>100.944</v>
      </c>
    </row>
    <row r="106" spans="13:16" x14ac:dyDescent="0.3">
      <c r="M106" s="123">
        <v>45919.625</v>
      </c>
      <c r="N106" s="3">
        <v>92.67</v>
      </c>
      <c r="O106" s="123">
        <v>45916.625</v>
      </c>
      <c r="P106" s="3">
        <v>100.953</v>
      </c>
    </row>
    <row r="107" spans="13:16" x14ac:dyDescent="0.3">
      <c r="M107" s="123">
        <v>45922.625</v>
      </c>
      <c r="N107" s="3">
        <v>92.52</v>
      </c>
      <c r="O107" s="123">
        <v>45917.625</v>
      </c>
      <c r="P107" s="3">
        <v>100.971</v>
      </c>
    </row>
    <row r="108" spans="13:16" x14ac:dyDescent="0.3">
      <c r="M108" s="123">
        <v>45923.625</v>
      </c>
      <c r="N108" s="3">
        <v>92.67</v>
      </c>
      <c r="O108" s="123">
        <v>45918.625</v>
      </c>
      <c r="P108" s="3">
        <v>100.956</v>
      </c>
    </row>
    <row r="109" spans="13:16" x14ac:dyDescent="0.3">
      <c r="M109" s="123">
        <v>45924.625</v>
      </c>
      <c r="N109" s="3">
        <v>92.59</v>
      </c>
      <c r="O109" s="123">
        <v>45919.625</v>
      </c>
      <c r="P109" s="3">
        <v>100.904</v>
      </c>
    </row>
    <row r="110" spans="13:16" x14ac:dyDescent="0.3">
      <c r="M110" s="123">
        <v>45925.625</v>
      </c>
      <c r="N110" s="3">
        <v>92.45</v>
      </c>
      <c r="O110" s="123">
        <v>45922.625</v>
      </c>
      <c r="P110" s="3">
        <v>100.913</v>
      </c>
    </row>
    <row r="111" spans="13:16" x14ac:dyDescent="0.3">
      <c r="M111" s="123">
        <v>45926.625</v>
      </c>
      <c r="N111" s="3">
        <v>92.46</v>
      </c>
      <c r="O111" s="123">
        <v>45923.625</v>
      </c>
      <c r="P111" s="3">
        <v>100.883</v>
      </c>
    </row>
    <row r="112" spans="13:16" x14ac:dyDescent="0.3">
      <c r="M112" s="123">
        <v>45929.625</v>
      </c>
      <c r="N112" s="3">
        <v>92.5</v>
      </c>
      <c r="O112" s="123">
        <v>45924.625</v>
      </c>
      <c r="P112" s="3">
        <v>100.893</v>
      </c>
    </row>
    <row r="113" spans="13:16" x14ac:dyDescent="0.3">
      <c r="M113" s="123">
        <v>45930.625</v>
      </c>
      <c r="N113" s="3">
        <v>92.47</v>
      </c>
      <c r="O113" s="123">
        <v>45925.625</v>
      </c>
      <c r="P113" s="3">
        <v>100.822</v>
      </c>
    </row>
    <row r="114" spans="13:16" x14ac:dyDescent="0.3">
      <c r="M114" s="123">
        <v>45931.625</v>
      </c>
      <c r="N114" s="3">
        <v>92.57</v>
      </c>
      <c r="O114" s="123">
        <v>45926.625</v>
      </c>
      <c r="P114" s="3">
        <v>100.866</v>
      </c>
    </row>
    <row r="115" spans="13:16" x14ac:dyDescent="0.3">
      <c r="M115" s="123">
        <v>45932.625</v>
      </c>
      <c r="N115" s="3">
        <v>92.64</v>
      </c>
      <c r="O115" s="123">
        <v>45929.625</v>
      </c>
      <c r="P115" s="3">
        <v>100.89</v>
      </c>
    </row>
    <row r="116" spans="13:16" x14ac:dyDescent="0.3">
      <c r="M116" s="123">
        <v>45933.625</v>
      </c>
      <c r="N116" s="3">
        <v>92.6</v>
      </c>
      <c r="O116" s="123">
        <v>45930.625</v>
      </c>
      <c r="P116" s="3">
        <v>100.89400000000001</v>
      </c>
    </row>
    <row r="117" spans="13:16" x14ac:dyDescent="0.3">
      <c r="M117" s="123">
        <v>45936.625</v>
      </c>
      <c r="N117" s="3">
        <v>92.49</v>
      </c>
      <c r="O117" s="123">
        <v>45931.625</v>
      </c>
      <c r="P117" s="3">
        <v>100.92</v>
      </c>
    </row>
    <row r="118" spans="13:16" x14ac:dyDescent="0.3">
      <c r="M118" s="123">
        <v>45937.625</v>
      </c>
      <c r="N118" s="3">
        <v>92.19</v>
      </c>
      <c r="O118" s="123">
        <v>45932.625</v>
      </c>
      <c r="P118" s="3">
        <v>100.905</v>
      </c>
    </row>
    <row r="119" spans="13:16" x14ac:dyDescent="0.3">
      <c r="M119" s="123">
        <v>45938.625</v>
      </c>
      <c r="N119" s="3">
        <v>92.12</v>
      </c>
      <c r="O119" s="123">
        <v>45933.625</v>
      </c>
      <c r="P119" s="3">
        <v>100.893</v>
      </c>
    </row>
    <row r="120" spans="13:16" x14ac:dyDescent="0.3">
      <c r="M120" s="123">
        <v>45939.625</v>
      </c>
      <c r="N120" s="3">
        <v>92</v>
      </c>
      <c r="O120" s="123">
        <v>45936.625</v>
      </c>
      <c r="P120" s="3">
        <v>100.928</v>
      </c>
    </row>
    <row r="121" spans="13:16" x14ac:dyDescent="0.3">
      <c r="M121" s="123">
        <v>45940.625</v>
      </c>
      <c r="N121" s="3">
        <v>91.78</v>
      </c>
      <c r="O121" s="123">
        <v>45937.625</v>
      </c>
      <c r="P121" s="3">
        <v>100.908</v>
      </c>
    </row>
    <row r="122" spans="13:16" x14ac:dyDescent="0.3">
      <c r="M122" s="123">
        <v>45943.625</v>
      </c>
      <c r="N122" s="3">
        <v>91.79</v>
      </c>
      <c r="O122" s="123">
        <v>45938.625</v>
      </c>
      <c r="P122" s="3">
        <v>100.99299999999999</v>
      </c>
    </row>
    <row r="123" spans="13:16" x14ac:dyDescent="0.3">
      <c r="M123" s="123">
        <v>45944.625</v>
      </c>
      <c r="N123" s="3">
        <v>91.85</v>
      </c>
      <c r="O123" s="123">
        <v>45939.625</v>
      </c>
      <c r="P123" s="3">
        <v>100.934</v>
      </c>
    </row>
    <row r="124" spans="13:16" x14ac:dyDescent="0.3">
      <c r="M124" s="123">
        <v>45945.625</v>
      </c>
      <c r="N124" s="3">
        <v>92.38</v>
      </c>
      <c r="O124" s="123">
        <v>45940.625</v>
      </c>
      <c r="P124" s="3">
        <v>101.017</v>
      </c>
    </row>
    <row r="125" spans="13:16" x14ac:dyDescent="0.3">
      <c r="M125" s="123">
        <v>45946.625</v>
      </c>
      <c r="N125" s="3">
        <v>92.23</v>
      </c>
      <c r="O125" s="123">
        <v>45943.625</v>
      </c>
      <c r="P125" s="3">
        <v>101.122</v>
      </c>
    </row>
    <row r="126" spans="13:16" x14ac:dyDescent="0.3">
      <c r="M126" s="123">
        <v>45947.625</v>
      </c>
      <c r="N126" s="3">
        <v>92.1</v>
      </c>
      <c r="O126" s="123">
        <v>45944.625</v>
      </c>
      <c r="P126" s="3">
        <v>101.13800000000001</v>
      </c>
    </row>
    <row r="127" spans="13:16" x14ac:dyDescent="0.3">
      <c r="M127" s="123">
        <v>45950.625</v>
      </c>
      <c r="N127" s="3">
        <v>92.33</v>
      </c>
      <c r="O127" s="123">
        <v>45945.625</v>
      </c>
      <c r="P127" s="3">
        <v>101.23699999999999</v>
      </c>
    </row>
    <row r="128" spans="13:16" x14ac:dyDescent="0.3">
      <c r="M128" s="123">
        <v>45952.625</v>
      </c>
      <c r="N128" s="3">
        <v>92.37</v>
      </c>
      <c r="O128" s="123">
        <v>45946.625</v>
      </c>
      <c r="P128" s="3">
        <v>101.221</v>
      </c>
    </row>
    <row r="129" spans="13:16" x14ac:dyDescent="0.3">
      <c r="M129" s="123">
        <v>45953.625</v>
      </c>
      <c r="N129" s="3">
        <v>92.5</v>
      </c>
      <c r="O129" s="123">
        <v>45947.625</v>
      </c>
      <c r="P129" s="3">
        <v>101.253</v>
      </c>
    </row>
    <row r="130" spans="13:16" x14ac:dyDescent="0.3">
      <c r="M130" s="123">
        <v>45954.625</v>
      </c>
      <c r="N130" s="3">
        <v>92.56</v>
      </c>
      <c r="O130" s="123">
        <v>45950.625</v>
      </c>
      <c r="P130" s="3">
        <v>101.25</v>
      </c>
    </row>
    <row r="131" spans="13:16" x14ac:dyDescent="0.3">
      <c r="M131" s="123">
        <v>45957.625</v>
      </c>
      <c r="N131" s="3">
        <v>92.8</v>
      </c>
      <c r="O131" s="123">
        <v>45951.625</v>
      </c>
      <c r="P131" s="3">
        <v>101.289</v>
      </c>
    </row>
    <row r="132" spans="13:16" x14ac:dyDescent="0.3">
      <c r="M132" s="123">
        <v>45958.625</v>
      </c>
      <c r="N132" s="3">
        <v>92.79</v>
      </c>
      <c r="O132" s="123">
        <v>45952.625</v>
      </c>
      <c r="P132" s="3">
        <v>101.261</v>
      </c>
    </row>
    <row r="133" spans="13:16" x14ac:dyDescent="0.3">
      <c r="M133" s="123">
        <v>45959.625</v>
      </c>
      <c r="N133" s="3">
        <v>92.78</v>
      </c>
      <c r="O133" s="123">
        <v>45953.625</v>
      </c>
      <c r="P133" s="3">
        <v>101.229</v>
      </c>
    </row>
    <row r="134" spans="13:16" x14ac:dyDescent="0.3">
      <c r="M134" s="123">
        <v>45960.625</v>
      </c>
      <c r="N134" s="3">
        <v>92.49</v>
      </c>
      <c r="O134" s="123">
        <v>45954.625</v>
      </c>
      <c r="P134" s="3">
        <v>101.092</v>
      </c>
    </row>
    <row r="135" spans="13:16" x14ac:dyDescent="0.3">
      <c r="M135" s="123">
        <v>45961.625</v>
      </c>
      <c r="N135" s="3">
        <v>92.63</v>
      </c>
      <c r="O135" s="123">
        <v>45957.625</v>
      </c>
      <c r="P135" s="3">
        <v>101.077</v>
      </c>
    </row>
    <row r="136" spans="13:16" x14ac:dyDescent="0.3">
      <c r="M136" s="3">
        <v>45964.625</v>
      </c>
      <c r="N136" s="3">
        <v>92.55</v>
      </c>
      <c r="O136" s="123">
        <v>45958.625</v>
      </c>
      <c r="P136" s="3">
        <v>101.083</v>
      </c>
    </row>
    <row r="137" spans="13:16" x14ac:dyDescent="0.3">
      <c r="O137" s="123">
        <v>45959.625</v>
      </c>
      <c r="P137" s="3">
        <v>101.07899999999999</v>
      </c>
    </row>
    <row r="138" spans="13:16" x14ac:dyDescent="0.3">
      <c r="O138" s="123">
        <v>45960.625</v>
      </c>
      <c r="P138" s="3">
        <v>101.026</v>
      </c>
    </row>
    <row r="139" spans="13:16" x14ac:dyDescent="0.3">
      <c r="O139" s="123">
        <v>45961.625</v>
      </c>
      <c r="P139" s="3">
        <v>101.04900000000001</v>
      </c>
    </row>
    <row r="140" spans="13:16" x14ac:dyDescent="0.3">
      <c r="O140" s="3">
        <v>45964.625</v>
      </c>
      <c r="P140" s="3">
        <v>101.01600000000001</v>
      </c>
    </row>
  </sheetData>
  <mergeCells count="3">
    <mergeCell ref="B12:D12"/>
    <mergeCell ref="E12:G12"/>
    <mergeCell ref="H12:J12"/>
  </mergeCells>
  <conditionalFormatting sqref="L1 L7:L11 K12:K49 L50:L100 AG63:AG77 L116:L1048576">
    <cfRule type="cellIs" dxfId="3" priority="1" operator="lessThan">
      <formula>0</formula>
    </cfRule>
  </conditionalFormatting>
  <hyperlinks>
    <hyperlink ref="C4" r:id="rId1" xr:uid="{8E647626-B68B-4F5D-8EA1-BAE7360D1002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82C-4491-4D12-8D2A-5B85C08E9B29}">
  <dimension ref="A1:M140"/>
  <sheetViews>
    <sheetView zoomScale="80" zoomScaleNormal="80" workbookViewId="0">
      <selection activeCell="F20" sqref="F20:G22"/>
    </sheetView>
  </sheetViews>
  <sheetFormatPr defaultColWidth="8.88671875" defaultRowHeight="14.4" x14ac:dyDescent="0.3"/>
  <cols>
    <col min="1" max="1" width="15.44140625" style="54" bestFit="1" customWidth="1"/>
    <col min="2" max="2" width="19" style="54" bestFit="1" customWidth="1"/>
    <col min="3" max="4" width="16.88671875" style="54" customWidth="1"/>
    <col min="5" max="6" width="11.5546875" style="54" bestFit="1" customWidth="1"/>
    <col min="7" max="7" width="13.33203125" style="54" bestFit="1" customWidth="1"/>
    <col min="8" max="8" width="11.88671875" style="54" bestFit="1" customWidth="1"/>
    <col min="10" max="10" width="15.6640625" style="54" hidden="1" customWidth="1"/>
    <col min="11" max="11" width="8.88671875" style="54" hidden="1" customWidth="1"/>
    <col min="12" max="12" width="15.6640625" style="54" hidden="1" customWidth="1"/>
    <col min="13" max="13" width="8.88671875" style="54" hidden="1" customWidth="1"/>
    <col min="14" max="16384" width="8.88671875" style="54"/>
  </cols>
  <sheetData>
    <row r="1" spans="1:13" ht="15" thickBot="1" x14ac:dyDescent="0.35">
      <c r="A1" s="1"/>
      <c r="B1" s="1"/>
      <c r="C1" s="1"/>
      <c r="D1" s="1"/>
      <c r="J1" s="53"/>
      <c r="K1" s="1"/>
      <c r="L1" s="1"/>
    </row>
    <row r="2" spans="1:13" ht="15" thickBot="1" x14ac:dyDescent="0.35">
      <c r="A2" s="30"/>
      <c r="B2" s="40" t="s">
        <v>0</v>
      </c>
      <c r="C2" s="155" t="s">
        <v>1</v>
      </c>
      <c r="E2" s="124" t="s">
        <v>101</v>
      </c>
      <c r="F2" s="125">
        <v>0.5</v>
      </c>
      <c r="J2" s="27" t="s">
        <v>0</v>
      </c>
      <c r="K2" s="1"/>
      <c r="L2" s="155" t="s">
        <v>1</v>
      </c>
    </row>
    <row r="3" spans="1:13" x14ac:dyDescent="0.3">
      <c r="A3" s="15" t="s">
        <v>32</v>
      </c>
      <c r="B3" s="61" t="s">
        <v>150</v>
      </c>
      <c r="C3" s="62" t="s">
        <v>151</v>
      </c>
      <c r="J3" s="123" cm="1">
        <f t="array" ref="J3:K140">_xll.BDH(B4, "LAST_PRICE", "01/01/2025 12:00:00", "01/01/2035 13:00:00", "BarSize=60", "BarType=T", "RecurDaily=True", "TZ=New_York")</f>
        <v>45769.5</v>
      </c>
      <c r="K3" s="46">
        <v>95.489000000000004</v>
      </c>
      <c r="L3" s="123" cm="1">
        <f t="array" ref="L3:M136">_xll.BDH(C4, "LAST_PRICE", "01/01/2025 12:00:00", "01/01/2035 13:00:00", "BarSize=60", "BarType=T", "RecurDaily=True", "TZ=New_York")</f>
        <v>45768.5</v>
      </c>
      <c r="M3" s="54">
        <v>85.33</v>
      </c>
    </row>
    <row r="4" spans="1:13" ht="32.25" customHeight="1" x14ac:dyDescent="0.3">
      <c r="A4" s="15" t="s">
        <v>33</v>
      </c>
      <c r="B4" s="63" t="s">
        <v>152</v>
      </c>
      <c r="C4" s="42" t="s">
        <v>153</v>
      </c>
      <c r="J4" s="126">
        <v>45770.5</v>
      </c>
      <c r="K4" s="1">
        <v>96.23</v>
      </c>
      <c r="L4" s="127">
        <v>45769.5</v>
      </c>
      <c r="M4" s="54">
        <v>85.585999999999999</v>
      </c>
    </row>
    <row r="5" spans="1:13" x14ac:dyDescent="0.3">
      <c r="A5" s="15" t="s">
        <v>8</v>
      </c>
      <c r="B5" s="64">
        <f>14*10^6</f>
        <v>14000000</v>
      </c>
      <c r="C5" s="8">
        <f>4.2*10^6</f>
        <v>4200000</v>
      </c>
      <c r="J5" s="126">
        <v>45771.5</v>
      </c>
      <c r="K5" s="1">
        <v>96.411000000000001</v>
      </c>
      <c r="L5" s="127">
        <v>45770.5</v>
      </c>
      <c r="M5" s="54">
        <v>86.504000000000005</v>
      </c>
    </row>
    <row r="6" spans="1:13" x14ac:dyDescent="0.3">
      <c r="A6" s="15" t="s">
        <v>10</v>
      </c>
      <c r="B6" s="66">
        <v>4.7500000000000001E-2</v>
      </c>
      <c r="C6" s="10">
        <v>4.5999999999999999E-2</v>
      </c>
      <c r="J6" s="126">
        <v>45772.5</v>
      </c>
      <c r="K6" s="1">
        <v>96.954999999999998</v>
      </c>
      <c r="L6" s="127">
        <v>45771.5</v>
      </c>
      <c r="M6" s="54">
        <v>86.83</v>
      </c>
    </row>
    <row r="7" spans="1:13" x14ac:dyDescent="0.3">
      <c r="A7" s="15" t="s">
        <v>12</v>
      </c>
      <c r="B7" s="66">
        <v>4.2299999999999997E-2</v>
      </c>
      <c r="C7" s="10">
        <v>4.2299999999999997E-2</v>
      </c>
      <c r="J7" s="127">
        <v>45775.5</v>
      </c>
      <c r="K7" s="1">
        <v>97.102000000000004</v>
      </c>
      <c r="L7" s="127">
        <v>45772.5</v>
      </c>
      <c r="M7" s="1">
        <v>87.311000000000007</v>
      </c>
    </row>
    <row r="8" spans="1:13" x14ac:dyDescent="0.3">
      <c r="A8" s="15" t="s">
        <v>14</v>
      </c>
      <c r="B8" s="4" t="s">
        <v>23</v>
      </c>
      <c r="C8" s="5" t="s">
        <v>23</v>
      </c>
      <c r="E8" s="1"/>
      <c r="F8" s="1"/>
      <c r="G8" s="1"/>
      <c r="H8" s="1"/>
      <c r="J8" s="126">
        <v>45776.5</v>
      </c>
      <c r="K8" s="54">
        <v>96.911000000000001</v>
      </c>
      <c r="L8" s="126">
        <v>45775.5</v>
      </c>
      <c r="M8" s="54">
        <v>87.972999999999999</v>
      </c>
    </row>
    <row r="9" spans="1:13" x14ac:dyDescent="0.3">
      <c r="A9" s="15" t="s">
        <v>15</v>
      </c>
      <c r="B9" s="4" cm="1">
        <f t="array" ref="B9">_xll.BDP("EURUSD BGN Curncy","PX_LAST")</f>
        <v>1.1517999999999999</v>
      </c>
      <c r="C9" s="5" t="s">
        <v>23</v>
      </c>
      <c r="E9" s="1"/>
      <c r="F9" s="1"/>
      <c r="G9" s="1"/>
      <c r="H9" s="1"/>
      <c r="J9" s="126">
        <v>45777.5</v>
      </c>
      <c r="K9" s="54">
        <v>96.878</v>
      </c>
      <c r="L9" s="126">
        <v>45776.5</v>
      </c>
      <c r="M9" s="54">
        <v>87.659000000000006</v>
      </c>
    </row>
    <row r="10" spans="1:13" ht="15" thickBot="1" x14ac:dyDescent="0.35">
      <c r="A10" s="16" t="s">
        <v>28</v>
      </c>
      <c r="B10" s="11" cm="1">
        <f t="array" ref="B10">_xll.BDP(B4,"px_last")</f>
        <v>100.346</v>
      </c>
      <c r="C10" s="22" cm="1">
        <f t="array" ref="C10">_xll.BDP(C4,"px_last")</f>
        <v>94.570999999999998</v>
      </c>
      <c r="E10" s="1"/>
      <c r="F10" s="1"/>
      <c r="G10" s="1"/>
      <c r="H10" s="1"/>
      <c r="J10" s="126">
        <v>45779.5</v>
      </c>
      <c r="K10" s="54">
        <v>97.052000000000007</v>
      </c>
      <c r="L10" s="126">
        <v>45777.5</v>
      </c>
      <c r="M10" s="54">
        <v>87.683999999999997</v>
      </c>
    </row>
    <row r="11" spans="1:13" ht="15" thickBot="1" x14ac:dyDescent="0.35">
      <c r="C11" s="1"/>
      <c r="D11" s="1"/>
      <c r="E11" s="1"/>
      <c r="F11" s="1"/>
      <c r="G11" s="1"/>
      <c r="H11" s="1"/>
      <c r="J11" s="126">
        <v>45782.5</v>
      </c>
      <c r="K11" s="54">
        <v>97.096000000000004</v>
      </c>
      <c r="L11" s="126">
        <v>45778.5</v>
      </c>
      <c r="M11" s="54">
        <v>87.37</v>
      </c>
    </row>
    <row r="12" spans="1:13" ht="15" thickBot="1" x14ac:dyDescent="0.35">
      <c r="A12" s="39" t="s">
        <v>22</v>
      </c>
      <c r="B12" s="169" t="s">
        <v>0</v>
      </c>
      <c r="C12" s="170"/>
      <c r="D12" s="170"/>
      <c r="E12" s="189" t="s">
        <v>1</v>
      </c>
      <c r="F12" s="190"/>
      <c r="G12" s="191"/>
      <c r="H12" s="39" t="s">
        <v>16</v>
      </c>
      <c r="J12" s="126">
        <v>45783.5</v>
      </c>
      <c r="K12" s="54">
        <v>97.076999999999998</v>
      </c>
      <c r="L12" s="126">
        <v>45779.5</v>
      </c>
      <c r="M12" s="54">
        <v>87.603999999999999</v>
      </c>
    </row>
    <row r="13" spans="1:13" ht="15" thickBot="1" x14ac:dyDescent="0.35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96"/>
      <c r="J13" s="126">
        <v>45784.5</v>
      </c>
      <c r="K13" s="54">
        <v>97.191000000000003</v>
      </c>
      <c r="L13" s="126">
        <v>45782.5</v>
      </c>
      <c r="M13" s="54">
        <v>87.787000000000006</v>
      </c>
    </row>
    <row r="14" spans="1:13" x14ac:dyDescent="0.3">
      <c r="A14" s="128">
        <v>45951</v>
      </c>
      <c r="B14" s="45">
        <v>100.375</v>
      </c>
      <c r="C14" s="46"/>
      <c r="D14" s="47"/>
      <c r="E14" s="45">
        <v>94.375</v>
      </c>
      <c r="F14" s="1"/>
      <c r="G14" s="5"/>
      <c r="H14" s="79">
        <v>0</v>
      </c>
      <c r="J14" s="126">
        <v>45785.5</v>
      </c>
      <c r="K14" s="54">
        <v>97.447999999999993</v>
      </c>
      <c r="L14" s="126">
        <v>45783.5</v>
      </c>
      <c r="M14" s="54">
        <v>87.846000000000004</v>
      </c>
    </row>
    <row r="15" spans="1:13" x14ac:dyDescent="0.3">
      <c r="A15" s="128">
        <v>45952</v>
      </c>
      <c r="B15" s="45">
        <f t="shared" ref="B15:B20" si="0">VLOOKUP($A15+$F$2,J:K,2)</f>
        <v>100.2</v>
      </c>
      <c r="C15" s="31">
        <f t="shared" ref="C15" si="1">(B15-$B$14)/100*$B$5</f>
        <v>-24499.999999999603</v>
      </c>
      <c r="D15" s="32">
        <f>(A15-$A$14)/360*$B$6*$B$5-(A15-$A$14)/360*$B$7*$B$5*$B$14/100</f>
        <v>196.05347222222235</v>
      </c>
      <c r="E15" s="45">
        <f t="shared" ref="E15:E20" si="2">VLOOKUP($A15+$F$2,L:M,2)</f>
        <v>94.685000000000002</v>
      </c>
      <c r="F15" s="31">
        <f>(E15-$E$14)/100*$C$5</f>
        <v>13020.000000000096</v>
      </c>
      <c r="G15" s="32">
        <f>(A15-$A$14)/360*$C$6*$C$5-(A15-$A$14)/360*$C$7*$C$5*$E$14/100</f>
        <v>70.92604166666672</v>
      </c>
      <c r="H15" s="79">
        <f t="shared" ref="H15:H19" si="3">(C15+D15)*$B$9-F15-G15</f>
        <v>-41084.211652360747</v>
      </c>
      <c r="J15" s="126">
        <v>45786.5</v>
      </c>
      <c r="K15" s="54">
        <v>97.521000000000001</v>
      </c>
      <c r="L15" s="126">
        <v>45784.5</v>
      </c>
      <c r="M15" s="54">
        <v>87.988</v>
      </c>
    </row>
    <row r="16" spans="1:13" x14ac:dyDescent="0.3">
      <c r="A16" s="128">
        <v>45953</v>
      </c>
      <c r="B16" s="45">
        <f t="shared" si="0"/>
        <v>100.199</v>
      </c>
      <c r="C16" s="31">
        <f t="shared" ref="C16:C19" si="4">(B16-$B$14)/100*$B$5</f>
        <v>-24640.000000000273</v>
      </c>
      <c r="D16" s="32">
        <f t="shared" ref="D16:D19" si="5">(A16-$A$14)/360*$B$6*$B$5-(A16-$A$14)/360*$B$7*$B$5*$B$14/100</f>
        <v>392.10694444444471</v>
      </c>
      <c r="E16" s="45">
        <f t="shared" si="2"/>
        <v>94.555000000000007</v>
      </c>
      <c r="F16" s="31">
        <f t="shared" ref="F16:F19" si="6">(E16-$E$14)/100*$C$5</f>
        <v>7560.0000000002865</v>
      </c>
      <c r="G16" s="32">
        <f t="shared" ref="G16:G19" si="7">(A16-$A$14)/360*$C$6*$C$5-(A16-$A$14)/360*$C$7*$C$5*$E$14/100</f>
        <v>141.85208333333344</v>
      </c>
      <c r="H16" s="79">
        <f t="shared" si="3"/>
        <v>-35630.575304722821</v>
      </c>
      <c r="J16" s="126">
        <v>45789.5</v>
      </c>
      <c r="K16" s="54">
        <v>98.126999999999995</v>
      </c>
      <c r="L16" s="126">
        <v>45785.5</v>
      </c>
      <c r="M16" s="54">
        <v>88.298000000000002</v>
      </c>
    </row>
    <row r="17" spans="1:13" x14ac:dyDescent="0.3">
      <c r="A17" s="128">
        <v>45954</v>
      </c>
      <c r="B17" s="45">
        <f t="shared" si="0"/>
        <v>100.27800000000001</v>
      </c>
      <c r="C17" s="31">
        <f t="shared" si="4"/>
        <v>-13579.999999999189</v>
      </c>
      <c r="D17" s="32">
        <f t="shared" si="5"/>
        <v>588.16041666666843</v>
      </c>
      <c r="E17" s="45">
        <f t="shared" si="2"/>
        <v>94.671000000000006</v>
      </c>
      <c r="F17" s="31">
        <f t="shared" si="6"/>
        <v>12432.000000000273</v>
      </c>
      <c r="G17" s="32">
        <f t="shared" si="7"/>
        <v>212.77812500000027</v>
      </c>
      <c r="H17" s="79">
        <f t="shared" si="3"/>
        <v>-27608.778957082668</v>
      </c>
      <c r="J17" s="126">
        <v>45790.5</v>
      </c>
      <c r="K17" s="54">
        <v>98.275000000000006</v>
      </c>
      <c r="L17" s="126">
        <v>45786.5</v>
      </c>
      <c r="M17" s="54">
        <v>88.647999999999996</v>
      </c>
    </row>
    <row r="18" spans="1:13" x14ac:dyDescent="0.3">
      <c r="A18" s="36">
        <v>45957</v>
      </c>
      <c r="B18" s="45">
        <f t="shared" si="0"/>
        <v>100.46299999999999</v>
      </c>
      <c r="C18" s="31">
        <f t="shared" si="4"/>
        <v>12319.99999999914</v>
      </c>
      <c r="D18" s="32">
        <f t="shared" si="5"/>
        <v>1176.3208333333369</v>
      </c>
      <c r="E18" s="45">
        <f t="shared" si="2"/>
        <v>94.858000000000004</v>
      </c>
      <c r="F18" s="31">
        <f t="shared" si="6"/>
        <v>20286.000000000171</v>
      </c>
      <c r="G18" s="32">
        <f t="shared" si="7"/>
        <v>425.55625000000055</v>
      </c>
      <c r="H18" s="79">
        <f t="shared" si="3"/>
        <v>-5166.4939141678269</v>
      </c>
      <c r="J18" s="126">
        <v>45791.5</v>
      </c>
      <c r="K18" s="54">
        <v>98.212999999999994</v>
      </c>
      <c r="L18" s="126">
        <v>45789.5</v>
      </c>
      <c r="M18" s="54">
        <v>89.379000000000005</v>
      </c>
    </row>
    <row r="19" spans="1:13" x14ac:dyDescent="0.3">
      <c r="A19" s="36">
        <v>45958</v>
      </c>
      <c r="B19" s="45">
        <f t="shared" si="0"/>
        <v>100.536</v>
      </c>
      <c r="C19" s="31">
        <f t="shared" si="4"/>
        <v>22540.000000000189</v>
      </c>
      <c r="D19" s="32">
        <f t="shared" si="5"/>
        <v>1372.3743055555569</v>
      </c>
      <c r="E19" s="45">
        <f t="shared" si="2"/>
        <v>94.799000000000007</v>
      </c>
      <c r="F19" s="31">
        <f t="shared" si="6"/>
        <v>17808.000000000276</v>
      </c>
      <c r="G19" s="32">
        <f t="shared" si="7"/>
        <v>496.4822916666667</v>
      </c>
      <c r="H19" s="79">
        <f t="shared" si="3"/>
        <v>9237.7904334721643</v>
      </c>
      <c r="J19" s="126">
        <v>45792.5</v>
      </c>
      <c r="K19" s="54">
        <v>98.144999999999996</v>
      </c>
      <c r="L19" s="126">
        <v>45790.5</v>
      </c>
      <c r="M19" s="54">
        <v>89.656999999999996</v>
      </c>
    </row>
    <row r="20" spans="1:13" x14ac:dyDescent="0.3">
      <c r="A20" s="36">
        <v>45959</v>
      </c>
      <c r="B20" s="45">
        <f t="shared" si="0"/>
        <v>100.578</v>
      </c>
      <c r="C20" s="31">
        <f t="shared" ref="C20" si="8">(B20-$B$14)/100*$B$5</f>
        <v>28420.000000000415</v>
      </c>
      <c r="D20" s="32">
        <f t="shared" ref="D20" si="9">(A20-$A$14)/360*$B$6*$B$5-(A20-$A$14)/360*$B$7*$B$5*$B$14/100</f>
        <v>1568.4277777777788</v>
      </c>
      <c r="E20" s="45">
        <f t="shared" si="2"/>
        <v>94.850999999999999</v>
      </c>
      <c r="F20" s="31">
        <f t="shared" ref="F20" si="10">(E20-$E$14)/100*$C$5</f>
        <v>19991.99999999996</v>
      </c>
      <c r="G20" s="32">
        <f t="shared" ref="G20" si="11">(A20-$A$14)/360*$C$6*$C$5-(A20-$A$14)/360*$C$7*$C$5*$E$14/100</f>
        <v>567.40833333333376</v>
      </c>
      <c r="H20" s="79">
        <f t="shared" ref="H20" si="12">(C20+D20)*$B$9-F20-G20</f>
        <v>13981.262781111629</v>
      </c>
      <c r="J20" s="126">
        <v>45793.5</v>
      </c>
      <c r="K20" s="54">
        <v>98.168000000000006</v>
      </c>
      <c r="L20" s="126">
        <v>45791.5</v>
      </c>
      <c r="M20" s="54">
        <v>89.561000000000007</v>
      </c>
    </row>
    <row r="21" spans="1:13" x14ac:dyDescent="0.3">
      <c r="A21" s="36">
        <v>45960</v>
      </c>
      <c r="B21" s="45">
        <f t="shared" ref="B21" si="13">VLOOKUP($A21+$F$2,J:K,2)</f>
        <v>100.348</v>
      </c>
      <c r="C21" s="31">
        <f t="shared" ref="C21:C22" si="14">(B21-$B$14)/100*$B$5</f>
        <v>-3780.0000000001437</v>
      </c>
      <c r="D21" s="32">
        <f t="shared" ref="D21:D22" si="15">(A21-$A$14)/360*$B$6*$B$5-(A21-$A$14)/360*$B$7*$B$5*$B$14/100</f>
        <v>1764.4812500000044</v>
      </c>
      <c r="E21" s="45">
        <f t="shared" ref="E21" si="16">VLOOKUP($A21+$F$2,L:M,2)</f>
        <v>94.626000000000005</v>
      </c>
      <c r="F21" s="31">
        <f t="shared" ref="F21:F22" si="17">(E21-$E$14)/100*$C$5</f>
        <v>10542.0000000002</v>
      </c>
      <c r="G21" s="32">
        <f t="shared" ref="G21:G22" si="18">(A21-$A$14)/360*$C$6*$C$5-(A21-$A$14)/360*$C$7*$C$5*$E$14/100</f>
        <v>638.33437500000036</v>
      </c>
      <c r="H21" s="79">
        <f t="shared" ref="H21" si="19">(C21+D21)*$B$9-F21-G21</f>
        <v>-13501.808871250361</v>
      </c>
      <c r="J21" s="126">
        <v>45796.5</v>
      </c>
      <c r="K21" s="54">
        <v>97.981999999999999</v>
      </c>
      <c r="L21" s="126">
        <v>45792.5</v>
      </c>
      <c r="M21" s="54">
        <v>89.507000000000005</v>
      </c>
    </row>
    <row r="22" spans="1:13" x14ac:dyDescent="0.3">
      <c r="A22" s="36">
        <v>45961</v>
      </c>
      <c r="B22" s="45">
        <f>$B$10</f>
        <v>100.346</v>
      </c>
      <c r="C22" s="31">
        <f t="shared" si="14"/>
        <v>-4059.9999999994907</v>
      </c>
      <c r="D22" s="32">
        <f t="shared" si="15"/>
        <v>1960.5347222222263</v>
      </c>
      <c r="E22" s="45">
        <f>$C$10</f>
        <v>94.570999999999998</v>
      </c>
      <c r="F22" s="31">
        <f t="shared" si="17"/>
        <v>8231.9999999999145</v>
      </c>
      <c r="G22" s="32">
        <f t="shared" si="18"/>
        <v>709.26041666666697</v>
      </c>
      <c r="H22" s="79">
        <f>(C22+D22)*$B$9-F22-G22</f>
        <v>-11359.424523610436</v>
      </c>
      <c r="J22" s="126">
        <v>45797.5</v>
      </c>
      <c r="K22" s="54">
        <v>97.991</v>
      </c>
      <c r="L22" s="126">
        <v>45793.5</v>
      </c>
      <c r="M22" s="54">
        <v>89.405000000000001</v>
      </c>
    </row>
    <row r="23" spans="1:13" x14ac:dyDescent="0.3">
      <c r="A23" s="36">
        <v>45964</v>
      </c>
      <c r="B23" s="45"/>
      <c r="C23" s="31"/>
      <c r="D23" s="32"/>
      <c r="E23" s="73"/>
      <c r="F23" s="31"/>
      <c r="G23" s="32"/>
      <c r="H23" s="79"/>
      <c r="J23" s="126">
        <v>45798.5</v>
      </c>
      <c r="K23" s="54">
        <v>97.769000000000005</v>
      </c>
      <c r="L23" s="126">
        <v>45796.5</v>
      </c>
      <c r="M23" s="54">
        <v>89.33</v>
      </c>
    </row>
    <row r="24" spans="1:13" x14ac:dyDescent="0.3">
      <c r="A24" s="36">
        <v>45965</v>
      </c>
      <c r="B24" s="45"/>
      <c r="C24" s="31"/>
      <c r="D24" s="32"/>
      <c r="E24" s="73"/>
      <c r="F24" s="31"/>
      <c r="G24" s="32"/>
      <c r="H24" s="79"/>
      <c r="J24" s="126">
        <v>45799.5</v>
      </c>
      <c r="K24" s="54">
        <v>97.575999999999993</v>
      </c>
      <c r="L24" s="126">
        <v>45797.5</v>
      </c>
      <c r="M24" s="54">
        <v>89.411000000000001</v>
      </c>
    </row>
    <row r="25" spans="1:13" x14ac:dyDescent="0.3">
      <c r="A25" s="36">
        <v>45966</v>
      </c>
      <c r="B25" s="45"/>
      <c r="C25" s="31"/>
      <c r="D25" s="32"/>
      <c r="E25" s="73"/>
      <c r="F25" s="31"/>
      <c r="G25" s="32"/>
      <c r="H25" s="79"/>
      <c r="J25" s="126">
        <v>45800.5</v>
      </c>
      <c r="K25" s="54">
        <v>97.462999999999994</v>
      </c>
      <c r="L25" s="126">
        <v>45798.5</v>
      </c>
      <c r="M25" s="54">
        <v>89.293000000000006</v>
      </c>
    </row>
    <row r="26" spans="1:13" x14ac:dyDescent="0.3">
      <c r="A26" s="36">
        <v>45967</v>
      </c>
      <c r="B26" s="45"/>
      <c r="C26" s="31"/>
      <c r="D26" s="32"/>
      <c r="E26" s="73"/>
      <c r="F26" s="31"/>
      <c r="G26" s="32"/>
      <c r="H26" s="79"/>
      <c r="J26" s="126">
        <v>45803.5</v>
      </c>
      <c r="K26" s="54">
        <v>97.587999999999994</v>
      </c>
      <c r="L26" s="126">
        <v>45799.5</v>
      </c>
      <c r="M26" s="54">
        <v>89.213999999999999</v>
      </c>
    </row>
    <row r="27" spans="1:13" x14ac:dyDescent="0.3">
      <c r="A27" s="36">
        <v>45968</v>
      </c>
      <c r="B27" s="45"/>
      <c r="C27" s="31"/>
      <c r="D27" s="32"/>
      <c r="E27" s="73"/>
      <c r="F27" s="31"/>
      <c r="G27" s="32"/>
      <c r="H27" s="79"/>
      <c r="J27" s="126">
        <v>45804.5</v>
      </c>
      <c r="K27" s="54">
        <v>97.683000000000007</v>
      </c>
      <c r="L27" s="126">
        <v>45800.5</v>
      </c>
      <c r="M27" s="54">
        <v>89.271000000000001</v>
      </c>
    </row>
    <row r="28" spans="1:13" x14ac:dyDescent="0.3">
      <c r="A28" s="36">
        <v>45969</v>
      </c>
      <c r="B28" s="45"/>
      <c r="C28" s="31"/>
      <c r="D28" s="32"/>
      <c r="E28" s="73"/>
      <c r="F28" s="31"/>
      <c r="G28" s="32"/>
      <c r="H28" s="79"/>
      <c r="J28" s="126">
        <v>45805.5</v>
      </c>
      <c r="K28" s="54">
        <v>97.787000000000006</v>
      </c>
      <c r="L28" s="126">
        <v>45804.5</v>
      </c>
      <c r="M28" s="54">
        <v>89.878</v>
      </c>
    </row>
    <row r="29" spans="1:13" x14ac:dyDescent="0.3">
      <c r="A29" s="36">
        <v>45970</v>
      </c>
      <c r="B29" s="45"/>
      <c r="C29" s="31"/>
      <c r="D29" s="31"/>
      <c r="E29" s="4"/>
      <c r="F29" s="31"/>
      <c r="G29" s="32"/>
      <c r="H29" s="79"/>
      <c r="J29" s="126">
        <v>45806.5</v>
      </c>
      <c r="K29" s="54">
        <v>97.932000000000002</v>
      </c>
      <c r="L29" s="126">
        <v>45805.5</v>
      </c>
      <c r="M29" s="54">
        <v>89.912000000000006</v>
      </c>
    </row>
    <row r="30" spans="1:13" x14ac:dyDescent="0.3">
      <c r="B30" s="45"/>
      <c r="C30" s="31"/>
      <c r="D30" s="31"/>
      <c r="E30" s="4"/>
      <c r="F30" s="31"/>
      <c r="G30" s="32"/>
      <c r="H30" s="38"/>
      <c r="J30" s="126">
        <v>45807.5</v>
      </c>
      <c r="K30" s="54">
        <v>97.97</v>
      </c>
      <c r="L30" s="126">
        <v>45806.5</v>
      </c>
      <c r="M30" s="54">
        <v>90.085999999999999</v>
      </c>
    </row>
    <row r="31" spans="1:13" x14ac:dyDescent="0.3">
      <c r="B31" s="45"/>
      <c r="C31" s="31"/>
      <c r="D31" s="31"/>
      <c r="E31" s="4"/>
      <c r="F31" s="31"/>
      <c r="G31" s="32"/>
      <c r="H31" s="38"/>
      <c r="J31" s="126">
        <v>45810.5</v>
      </c>
      <c r="K31" s="54">
        <v>97.968999999999994</v>
      </c>
      <c r="L31" s="126">
        <v>45807.5</v>
      </c>
      <c r="M31" s="54">
        <v>90.168000000000006</v>
      </c>
    </row>
    <row r="32" spans="1:13" x14ac:dyDescent="0.3">
      <c r="B32" s="45"/>
      <c r="C32" s="31"/>
      <c r="D32" s="31"/>
      <c r="E32" s="4"/>
      <c r="F32" s="31"/>
      <c r="G32" s="32"/>
      <c r="H32" s="38"/>
      <c r="J32" s="126">
        <v>45811.5</v>
      </c>
      <c r="K32" s="54">
        <v>98.082999999999998</v>
      </c>
      <c r="L32" s="126">
        <v>45810.5</v>
      </c>
      <c r="M32" s="54">
        <v>89.983999999999995</v>
      </c>
    </row>
    <row r="33" spans="1:13" x14ac:dyDescent="0.3">
      <c r="B33" s="45"/>
      <c r="C33" s="31"/>
      <c r="D33" s="31"/>
      <c r="E33" s="4"/>
      <c r="F33" s="31"/>
      <c r="G33" s="32"/>
      <c r="H33" s="38"/>
      <c r="J33" s="126">
        <v>45812.5</v>
      </c>
      <c r="K33" s="54">
        <v>98.396000000000001</v>
      </c>
      <c r="L33" s="126">
        <v>45811.5</v>
      </c>
      <c r="M33" s="54">
        <v>90.061000000000007</v>
      </c>
    </row>
    <row r="34" spans="1:13" x14ac:dyDescent="0.3">
      <c r="A34" s="15"/>
      <c r="B34" s="45"/>
      <c r="C34" s="31"/>
      <c r="D34" s="31"/>
      <c r="E34" s="4"/>
      <c r="F34" s="31"/>
      <c r="G34" s="32"/>
      <c r="H34" s="38"/>
      <c r="J34" s="126">
        <v>45813.5</v>
      </c>
      <c r="K34" s="54">
        <v>98.448999999999998</v>
      </c>
      <c r="L34" s="126">
        <v>45812.5</v>
      </c>
      <c r="M34" s="54">
        <v>90.367999999999995</v>
      </c>
    </row>
    <row r="35" spans="1:13" x14ac:dyDescent="0.3">
      <c r="A35" s="15"/>
      <c r="B35" s="45"/>
      <c r="C35" s="31"/>
      <c r="D35" s="31"/>
      <c r="E35" s="4"/>
      <c r="F35" s="31"/>
      <c r="G35" s="32"/>
      <c r="H35" s="38"/>
      <c r="J35" s="126">
        <v>45814.5</v>
      </c>
      <c r="K35" s="54">
        <v>98.497</v>
      </c>
      <c r="L35" s="126">
        <v>45813.5</v>
      </c>
      <c r="M35" s="54">
        <v>90.504999999999995</v>
      </c>
    </row>
    <row r="36" spans="1:13" x14ac:dyDescent="0.3">
      <c r="A36" s="15"/>
      <c r="B36" s="45"/>
      <c r="C36" s="31"/>
      <c r="D36" s="31"/>
      <c r="E36" s="4"/>
      <c r="F36" s="31"/>
      <c r="G36" s="32"/>
      <c r="H36" s="38"/>
      <c r="J36" s="126">
        <v>45817.5</v>
      </c>
      <c r="K36" s="54">
        <v>98.674000000000007</v>
      </c>
      <c r="L36" s="126">
        <v>45814.5</v>
      </c>
      <c r="M36" s="54">
        <v>90.488</v>
      </c>
    </row>
    <row r="37" spans="1:13" x14ac:dyDescent="0.3">
      <c r="A37" s="15"/>
      <c r="B37" s="45"/>
      <c r="C37" s="31"/>
      <c r="D37" s="31"/>
      <c r="E37" s="4"/>
      <c r="F37" s="31"/>
      <c r="G37" s="32"/>
      <c r="H37" s="38"/>
      <c r="J37" s="126">
        <v>45818.5</v>
      </c>
      <c r="K37" s="54">
        <v>98.793000000000006</v>
      </c>
      <c r="L37" s="126">
        <v>45817.5</v>
      </c>
      <c r="M37" s="54">
        <v>90.736000000000004</v>
      </c>
    </row>
    <row r="38" spans="1:13" x14ac:dyDescent="0.3">
      <c r="A38" s="15"/>
      <c r="B38" s="45"/>
      <c r="C38" s="31"/>
      <c r="D38" s="31"/>
      <c r="E38" s="4"/>
      <c r="F38" s="31"/>
      <c r="G38" s="32"/>
      <c r="H38" s="38"/>
      <c r="J38" s="126">
        <v>45819.5</v>
      </c>
      <c r="K38" s="54">
        <v>99.042000000000002</v>
      </c>
      <c r="L38" s="126">
        <v>45818.5</v>
      </c>
      <c r="M38" s="54">
        <v>90.775000000000006</v>
      </c>
    </row>
    <row r="39" spans="1:13" x14ac:dyDescent="0.3">
      <c r="A39" s="15"/>
      <c r="B39" s="45"/>
      <c r="C39" s="31"/>
      <c r="D39" s="31"/>
      <c r="E39" s="4"/>
      <c r="F39" s="31"/>
      <c r="G39" s="32"/>
      <c r="H39" s="38"/>
      <c r="J39" s="126">
        <v>45820.5</v>
      </c>
      <c r="K39" s="54">
        <v>98.966999999999999</v>
      </c>
      <c r="L39" s="126">
        <v>45819.5</v>
      </c>
      <c r="M39" s="54">
        <v>90.893000000000001</v>
      </c>
    </row>
    <row r="40" spans="1:13" x14ac:dyDescent="0.3">
      <c r="A40" s="15"/>
      <c r="B40" s="45"/>
      <c r="C40" s="31"/>
      <c r="D40" s="31"/>
      <c r="E40" s="4"/>
      <c r="F40" s="31"/>
      <c r="G40" s="32"/>
      <c r="H40" s="38"/>
      <c r="J40" s="126">
        <v>45821.5</v>
      </c>
      <c r="K40" s="54">
        <v>98.813999999999993</v>
      </c>
      <c r="L40" s="126">
        <v>45820.5</v>
      </c>
      <c r="M40" s="54">
        <v>90.816999999999993</v>
      </c>
    </row>
    <row r="41" spans="1:13" ht="15" thickBot="1" x14ac:dyDescent="0.35">
      <c r="A41" s="16"/>
      <c r="B41" s="48"/>
      <c r="C41" s="49"/>
      <c r="D41" s="49"/>
      <c r="E41" s="11"/>
      <c r="F41" s="49"/>
      <c r="G41" s="50"/>
      <c r="H41" s="51"/>
      <c r="J41" s="126">
        <v>45824.5</v>
      </c>
      <c r="K41" s="54">
        <v>98.903999999999996</v>
      </c>
      <c r="L41" s="126">
        <v>45821.5</v>
      </c>
      <c r="M41" s="54">
        <v>90.671000000000006</v>
      </c>
    </row>
    <row r="42" spans="1:13" x14ac:dyDescent="0.3">
      <c r="B42" s="56"/>
      <c r="C42" s="56"/>
      <c r="D42" s="56"/>
      <c r="F42" s="55"/>
      <c r="G42" s="55"/>
      <c r="H42" s="55"/>
      <c r="J42" s="126">
        <v>45825.5</v>
      </c>
      <c r="K42" s="54">
        <v>98.835999999999999</v>
      </c>
      <c r="L42" s="126">
        <v>45824.5</v>
      </c>
      <c r="M42" s="54">
        <v>90.781000000000006</v>
      </c>
    </row>
    <row r="43" spans="1:13" x14ac:dyDescent="0.3">
      <c r="B43" s="56"/>
      <c r="C43" s="56"/>
      <c r="D43" s="56"/>
      <c r="F43" s="55"/>
      <c r="G43" s="55"/>
      <c r="H43" s="55"/>
      <c r="J43" s="126">
        <v>45826.5</v>
      </c>
      <c r="K43" s="54">
        <v>98.888000000000005</v>
      </c>
      <c r="L43" s="126">
        <v>45825.5</v>
      </c>
      <c r="M43" s="54">
        <v>90.947000000000003</v>
      </c>
    </row>
    <row r="44" spans="1:13" x14ac:dyDescent="0.3">
      <c r="B44" s="56"/>
      <c r="C44" s="56"/>
      <c r="D44" s="56"/>
      <c r="F44" s="55"/>
      <c r="G44" s="55"/>
      <c r="H44" s="55"/>
      <c r="J44" s="126">
        <v>45827.5</v>
      </c>
      <c r="K44" s="54">
        <v>98.688999999999993</v>
      </c>
      <c r="L44" s="126">
        <v>45826.5</v>
      </c>
      <c r="M44" s="54">
        <v>90.823999999999998</v>
      </c>
    </row>
    <row r="45" spans="1:13" x14ac:dyDescent="0.3">
      <c r="B45" s="56"/>
      <c r="C45" s="56"/>
      <c r="D45" s="56"/>
      <c r="F45" s="55"/>
      <c r="G45" s="55"/>
      <c r="H45" s="55"/>
      <c r="J45" s="126">
        <v>45828.5</v>
      </c>
      <c r="K45" s="54">
        <v>98.77</v>
      </c>
      <c r="L45" s="126">
        <v>45828.5</v>
      </c>
      <c r="M45" s="54">
        <v>90.664000000000001</v>
      </c>
    </row>
    <row r="46" spans="1:13" x14ac:dyDescent="0.3">
      <c r="B46" s="56"/>
      <c r="C46" s="56"/>
      <c r="D46" s="56"/>
      <c r="J46" s="126">
        <v>45831.5</v>
      </c>
      <c r="K46" s="54">
        <v>98.757999999999996</v>
      </c>
      <c r="L46" s="126">
        <v>45831.5</v>
      </c>
      <c r="M46" s="54">
        <v>90.632000000000005</v>
      </c>
    </row>
    <row r="47" spans="1:13" x14ac:dyDescent="0.3">
      <c r="B47" s="56"/>
      <c r="C47" s="56"/>
      <c r="D47" s="56"/>
      <c r="J47" s="126">
        <v>45832.5</v>
      </c>
      <c r="K47" s="54">
        <v>99.096000000000004</v>
      </c>
      <c r="L47" s="126">
        <v>45832.5</v>
      </c>
      <c r="M47" s="54">
        <v>91.016000000000005</v>
      </c>
    </row>
    <row r="48" spans="1:13" x14ac:dyDescent="0.3">
      <c r="B48" s="56"/>
      <c r="C48" s="56"/>
      <c r="D48" s="56"/>
      <c r="J48" s="126">
        <v>45833.5</v>
      </c>
      <c r="K48" s="54">
        <v>99.137</v>
      </c>
      <c r="L48" s="126">
        <v>45833.5</v>
      </c>
      <c r="M48" s="54">
        <v>90.808999999999997</v>
      </c>
    </row>
    <row r="49" spans="2:13" x14ac:dyDescent="0.3">
      <c r="B49" s="56"/>
      <c r="C49" s="56"/>
      <c r="D49" s="56"/>
      <c r="J49" s="126">
        <v>45834.5</v>
      </c>
      <c r="K49" s="54">
        <v>99.146000000000001</v>
      </c>
      <c r="L49" s="126">
        <v>45834.5</v>
      </c>
      <c r="M49" s="54">
        <v>90.78</v>
      </c>
    </row>
    <row r="50" spans="2:13" x14ac:dyDescent="0.3">
      <c r="B50" s="56"/>
      <c r="C50" s="56"/>
      <c r="D50" s="56"/>
      <c r="J50" s="126">
        <v>45835.5</v>
      </c>
      <c r="K50" s="54">
        <v>99.268000000000001</v>
      </c>
      <c r="L50" s="126">
        <v>45835.5</v>
      </c>
      <c r="M50" s="54">
        <v>90.888000000000005</v>
      </c>
    </row>
    <row r="51" spans="2:13" x14ac:dyDescent="0.3">
      <c r="B51" s="56"/>
      <c r="C51" s="56"/>
      <c r="D51" s="56"/>
      <c r="J51" s="126">
        <v>45838.5</v>
      </c>
      <c r="K51" s="54">
        <v>99.662999999999997</v>
      </c>
      <c r="L51" s="126">
        <v>45838.5</v>
      </c>
      <c r="M51" s="54">
        <v>91.111000000000004</v>
      </c>
    </row>
    <row r="52" spans="2:13" x14ac:dyDescent="0.3">
      <c r="B52" s="56"/>
      <c r="C52" s="56"/>
      <c r="D52" s="56"/>
      <c r="J52" s="126">
        <v>45839.5</v>
      </c>
      <c r="K52" s="54">
        <v>99.932000000000002</v>
      </c>
      <c r="L52" s="126">
        <v>45839.5</v>
      </c>
      <c r="M52" s="54">
        <v>91.224999999999994</v>
      </c>
    </row>
    <row r="53" spans="2:13" x14ac:dyDescent="0.3">
      <c r="B53" s="56"/>
      <c r="C53" s="56"/>
      <c r="D53" s="56"/>
      <c r="J53" s="126">
        <v>45840.5</v>
      </c>
      <c r="K53" s="54">
        <v>99.879000000000005</v>
      </c>
      <c r="L53" s="126">
        <v>45840.5</v>
      </c>
      <c r="M53" s="54">
        <v>91.188999999999993</v>
      </c>
    </row>
    <row r="54" spans="2:13" x14ac:dyDescent="0.3">
      <c r="J54" s="126">
        <v>45841.5</v>
      </c>
      <c r="K54" s="54">
        <v>100.04900000000001</v>
      </c>
      <c r="L54" s="126">
        <v>45841.5</v>
      </c>
      <c r="M54" s="54">
        <v>91.427999999999997</v>
      </c>
    </row>
    <row r="55" spans="2:13" x14ac:dyDescent="0.3">
      <c r="J55" s="126">
        <v>45842.5</v>
      </c>
      <c r="K55" s="54">
        <v>100.077</v>
      </c>
      <c r="L55" s="126">
        <v>45845.5</v>
      </c>
      <c r="M55" s="54">
        <v>91.521000000000001</v>
      </c>
    </row>
    <row r="56" spans="2:13" x14ac:dyDescent="0.3">
      <c r="J56" s="126">
        <v>45845.5</v>
      </c>
      <c r="K56" s="54">
        <v>100.214</v>
      </c>
      <c r="L56" s="126">
        <v>45846.5</v>
      </c>
      <c r="M56" s="54">
        <v>91.418999999999997</v>
      </c>
    </row>
    <row r="57" spans="2:13" x14ac:dyDescent="0.3">
      <c r="J57" s="126">
        <v>45846.5</v>
      </c>
      <c r="K57" s="54">
        <v>100.245</v>
      </c>
      <c r="L57" s="126">
        <v>45847.5</v>
      </c>
      <c r="M57" s="54">
        <v>91.539000000000001</v>
      </c>
    </row>
    <row r="58" spans="2:13" x14ac:dyDescent="0.3">
      <c r="J58" s="126">
        <v>45847.5</v>
      </c>
      <c r="K58" s="54">
        <v>100.286</v>
      </c>
      <c r="L58" s="126">
        <v>45848.5</v>
      </c>
      <c r="M58" s="54">
        <v>91.616</v>
      </c>
    </row>
    <row r="59" spans="2:13" x14ac:dyDescent="0.3">
      <c r="J59" s="126">
        <v>45848.5</v>
      </c>
      <c r="K59" s="54">
        <v>100.43</v>
      </c>
      <c r="L59" s="126">
        <v>45849.5</v>
      </c>
      <c r="M59" s="54">
        <v>91.462999999999994</v>
      </c>
    </row>
    <row r="60" spans="2:13" x14ac:dyDescent="0.3">
      <c r="J60" s="126">
        <v>45849.5</v>
      </c>
      <c r="K60" s="54">
        <v>100.411</v>
      </c>
      <c r="L60" s="126">
        <v>45852.5</v>
      </c>
      <c r="M60" s="54">
        <v>91.364999999999995</v>
      </c>
    </row>
    <row r="61" spans="2:13" x14ac:dyDescent="0.3">
      <c r="J61" s="126">
        <v>45852.5</v>
      </c>
      <c r="K61" s="54">
        <v>100.29600000000001</v>
      </c>
      <c r="L61" s="126">
        <v>45853.5</v>
      </c>
      <c r="M61" s="54">
        <v>91.25</v>
      </c>
    </row>
    <row r="62" spans="2:13" x14ac:dyDescent="0.3">
      <c r="J62" s="126">
        <v>45853.5</v>
      </c>
      <c r="K62" s="54">
        <v>100.238</v>
      </c>
      <c r="L62" s="126">
        <v>45854.5</v>
      </c>
      <c r="M62" s="54">
        <v>91.075000000000003</v>
      </c>
    </row>
    <row r="63" spans="2:13" x14ac:dyDescent="0.3">
      <c r="J63" s="126">
        <v>45854.5</v>
      </c>
      <c r="K63" s="54">
        <v>100.092</v>
      </c>
      <c r="L63" s="126">
        <v>45855.5</v>
      </c>
      <c r="M63" s="54">
        <v>91.096999999999994</v>
      </c>
    </row>
    <row r="64" spans="2:13" x14ac:dyDescent="0.3">
      <c r="J64" s="126">
        <v>45855.5</v>
      </c>
      <c r="K64" s="54">
        <v>100.175</v>
      </c>
      <c r="L64" s="126">
        <v>45856.5</v>
      </c>
      <c r="M64" s="54">
        <v>91.161000000000001</v>
      </c>
    </row>
    <row r="65" spans="10:13" x14ac:dyDescent="0.3">
      <c r="J65" s="126">
        <v>45856.5</v>
      </c>
      <c r="K65" s="54">
        <v>100.232</v>
      </c>
      <c r="L65" s="126">
        <v>45859.5</v>
      </c>
      <c r="M65" s="54">
        <v>91.164000000000001</v>
      </c>
    </row>
    <row r="66" spans="10:13" x14ac:dyDescent="0.3">
      <c r="J66" s="126">
        <v>45859.5</v>
      </c>
      <c r="K66" s="54">
        <v>100.322</v>
      </c>
      <c r="L66" s="126">
        <v>45860.5</v>
      </c>
      <c r="M66" s="54">
        <v>91.251000000000005</v>
      </c>
    </row>
    <row r="67" spans="10:13" x14ac:dyDescent="0.3">
      <c r="J67" s="126">
        <v>45860.5</v>
      </c>
      <c r="K67" s="54">
        <v>100.399</v>
      </c>
      <c r="L67" s="126">
        <v>45861.5</v>
      </c>
      <c r="M67" s="54">
        <v>91.373000000000005</v>
      </c>
    </row>
    <row r="68" spans="10:13" x14ac:dyDescent="0.3">
      <c r="J68" s="126">
        <v>45861.5</v>
      </c>
      <c r="K68" s="54">
        <v>100.605</v>
      </c>
      <c r="L68" s="126">
        <v>45862.5</v>
      </c>
      <c r="M68" s="54">
        <v>91.622</v>
      </c>
    </row>
    <row r="69" spans="10:13" x14ac:dyDescent="0.3">
      <c r="J69" s="126">
        <v>45862.5</v>
      </c>
      <c r="K69" s="54">
        <v>100.776</v>
      </c>
      <c r="L69" s="126">
        <v>45863.5</v>
      </c>
      <c r="M69" s="54">
        <v>91.76</v>
      </c>
    </row>
    <row r="70" spans="10:13" x14ac:dyDescent="0.3">
      <c r="J70" s="126">
        <v>45863.5</v>
      </c>
      <c r="K70" s="54">
        <v>100.76900000000001</v>
      </c>
      <c r="L70" s="126">
        <v>45866.5</v>
      </c>
      <c r="M70" s="54">
        <v>92.058000000000007</v>
      </c>
    </row>
    <row r="71" spans="10:13" x14ac:dyDescent="0.3">
      <c r="J71" s="126">
        <v>45866.5</v>
      </c>
      <c r="K71" s="54">
        <v>100.923</v>
      </c>
      <c r="L71" s="126">
        <v>45867.5</v>
      </c>
      <c r="M71" s="54">
        <v>92.073999999999998</v>
      </c>
    </row>
    <row r="72" spans="10:13" x14ac:dyDescent="0.3">
      <c r="J72" s="126">
        <v>45867.5</v>
      </c>
      <c r="K72" s="54">
        <v>100.943</v>
      </c>
      <c r="L72" s="126">
        <v>45868.5</v>
      </c>
      <c r="M72" s="54">
        <v>92.117000000000004</v>
      </c>
    </row>
    <row r="73" spans="10:13" x14ac:dyDescent="0.3">
      <c r="J73" s="126">
        <v>45868.5</v>
      </c>
      <c r="K73" s="54">
        <v>100.962</v>
      </c>
      <c r="L73" s="126">
        <v>45869.5</v>
      </c>
      <c r="M73" s="54">
        <v>92.191999999999993</v>
      </c>
    </row>
    <row r="74" spans="10:13" x14ac:dyDescent="0.3">
      <c r="J74" s="126">
        <v>45869.5</v>
      </c>
      <c r="K74" s="54">
        <v>100.944</v>
      </c>
      <c r="L74" s="126">
        <v>45870.5</v>
      </c>
      <c r="M74" s="54">
        <v>91.975999999999999</v>
      </c>
    </row>
    <row r="75" spans="10:13" x14ac:dyDescent="0.3">
      <c r="J75" s="126">
        <v>45870.5</v>
      </c>
      <c r="K75" s="54">
        <v>100.86</v>
      </c>
      <c r="L75" s="126">
        <v>45873.5</v>
      </c>
      <c r="M75" s="54">
        <v>91.972999999999999</v>
      </c>
    </row>
    <row r="76" spans="10:13" x14ac:dyDescent="0.3">
      <c r="J76" s="126">
        <v>45873.5</v>
      </c>
      <c r="K76" s="54">
        <v>100.864</v>
      </c>
      <c r="L76" s="126">
        <v>45874.5</v>
      </c>
      <c r="M76" s="54">
        <v>92.156999999999996</v>
      </c>
    </row>
    <row r="77" spans="10:13" x14ac:dyDescent="0.3">
      <c r="J77" s="126">
        <v>45874.5</v>
      </c>
      <c r="K77" s="54">
        <v>100.913</v>
      </c>
      <c r="L77" s="126">
        <v>45875.5</v>
      </c>
      <c r="M77" s="54">
        <v>92.242000000000004</v>
      </c>
    </row>
    <row r="78" spans="10:13" x14ac:dyDescent="0.3">
      <c r="J78" s="126">
        <v>45875.5</v>
      </c>
      <c r="K78" s="54">
        <v>100.887</v>
      </c>
      <c r="L78" s="126">
        <v>45876.5</v>
      </c>
      <c r="M78" s="54">
        <v>92.466999999999999</v>
      </c>
    </row>
    <row r="79" spans="10:13" x14ac:dyDescent="0.3">
      <c r="J79" s="126">
        <v>45876.5</v>
      </c>
      <c r="K79" s="54">
        <v>100.959</v>
      </c>
      <c r="L79" s="126">
        <v>45877.5</v>
      </c>
      <c r="M79" s="54">
        <v>92.727999999999994</v>
      </c>
    </row>
    <row r="80" spans="10:13" x14ac:dyDescent="0.3">
      <c r="J80" s="126">
        <v>45877.5</v>
      </c>
      <c r="K80" s="54">
        <v>101.02200000000001</v>
      </c>
      <c r="L80" s="126">
        <v>45880.5</v>
      </c>
      <c r="M80" s="54">
        <v>92.95</v>
      </c>
    </row>
    <row r="81" spans="10:13" x14ac:dyDescent="0.3">
      <c r="J81" s="126">
        <v>45880.5</v>
      </c>
      <c r="K81" s="54">
        <v>101.158</v>
      </c>
      <c r="L81" s="126">
        <v>45881.5</v>
      </c>
      <c r="M81" s="54">
        <v>92.971999999999994</v>
      </c>
    </row>
    <row r="82" spans="10:13" x14ac:dyDescent="0.3">
      <c r="J82" s="126">
        <v>45881.5</v>
      </c>
      <c r="K82" s="54">
        <v>101.214</v>
      </c>
      <c r="L82" s="126">
        <v>45882.5</v>
      </c>
      <c r="M82" s="54">
        <v>92.992000000000004</v>
      </c>
    </row>
    <row r="83" spans="10:13" x14ac:dyDescent="0.3">
      <c r="J83" s="126">
        <v>45882.5</v>
      </c>
      <c r="K83" s="54">
        <v>101.212</v>
      </c>
      <c r="L83" s="126">
        <v>45883.5</v>
      </c>
      <c r="M83" s="54">
        <v>93.097999999999999</v>
      </c>
    </row>
    <row r="84" spans="10:13" x14ac:dyDescent="0.3">
      <c r="J84" s="126">
        <v>45883.5</v>
      </c>
      <c r="K84" s="54">
        <v>101.288</v>
      </c>
      <c r="L84" s="126">
        <v>45884.5</v>
      </c>
      <c r="M84" s="54">
        <v>93.164000000000001</v>
      </c>
    </row>
    <row r="85" spans="10:13" x14ac:dyDescent="0.3">
      <c r="J85" s="126">
        <v>45884.5</v>
      </c>
      <c r="K85" s="54">
        <v>101.3</v>
      </c>
      <c r="L85" s="126">
        <v>45887.5</v>
      </c>
      <c r="M85" s="54">
        <v>93.180999999999997</v>
      </c>
    </row>
    <row r="86" spans="10:13" x14ac:dyDescent="0.3">
      <c r="J86" s="126">
        <v>45887.5</v>
      </c>
      <c r="K86" s="54">
        <v>101.23099999999999</v>
      </c>
      <c r="L86" s="126">
        <v>45888.5</v>
      </c>
      <c r="M86" s="54">
        <v>93.129000000000005</v>
      </c>
    </row>
    <row r="87" spans="10:13" x14ac:dyDescent="0.3">
      <c r="J87" s="126">
        <v>45888.5</v>
      </c>
      <c r="K87" s="54">
        <v>101.202</v>
      </c>
      <c r="L87" s="126">
        <v>45889.5</v>
      </c>
      <c r="M87" s="54">
        <v>93.037000000000006</v>
      </c>
    </row>
    <row r="88" spans="10:13" x14ac:dyDescent="0.3">
      <c r="J88" s="126">
        <v>45889.5</v>
      </c>
      <c r="K88" s="54">
        <v>100.97499999999999</v>
      </c>
      <c r="L88" s="126">
        <v>45890.5</v>
      </c>
      <c r="M88" s="54">
        <v>92.834000000000003</v>
      </c>
    </row>
    <row r="89" spans="10:13" x14ac:dyDescent="0.3">
      <c r="J89" s="126">
        <v>45890.5</v>
      </c>
      <c r="K89" s="54">
        <v>100.729</v>
      </c>
      <c r="L89" s="126">
        <v>45891.5</v>
      </c>
      <c r="M89" s="54">
        <v>92.912999999999997</v>
      </c>
    </row>
    <row r="90" spans="10:13" x14ac:dyDescent="0.3">
      <c r="J90" s="126">
        <v>45891.5</v>
      </c>
      <c r="K90" s="54">
        <v>100.77500000000001</v>
      </c>
      <c r="L90" s="126">
        <v>45894.5</v>
      </c>
      <c r="M90" s="54">
        <v>93.022000000000006</v>
      </c>
    </row>
    <row r="91" spans="10:13" x14ac:dyDescent="0.3">
      <c r="J91" s="126">
        <v>45894.5</v>
      </c>
      <c r="K91" s="54">
        <v>101.101</v>
      </c>
      <c r="L91" s="126">
        <v>45895.5</v>
      </c>
      <c r="M91" s="54">
        <v>92.844999999999999</v>
      </c>
    </row>
    <row r="92" spans="10:13" x14ac:dyDescent="0.3">
      <c r="J92" s="126">
        <v>45895.5</v>
      </c>
      <c r="K92" s="54">
        <v>100.712</v>
      </c>
      <c r="L92" s="126">
        <v>45896.5</v>
      </c>
      <c r="M92" s="54">
        <v>92.975999999999999</v>
      </c>
    </row>
    <row r="93" spans="10:13" x14ac:dyDescent="0.3">
      <c r="J93" s="126">
        <v>45896.5</v>
      </c>
      <c r="K93" s="54">
        <v>100.676</v>
      </c>
      <c r="L93" s="126">
        <v>45897.5</v>
      </c>
      <c r="M93" s="54">
        <v>92.855999999999995</v>
      </c>
    </row>
    <row r="94" spans="10:13" x14ac:dyDescent="0.3">
      <c r="J94" s="126">
        <v>45897.5</v>
      </c>
      <c r="K94" s="54">
        <v>100.68899999999999</v>
      </c>
      <c r="L94" s="126">
        <v>45898.5</v>
      </c>
      <c r="M94" s="54">
        <v>92.986999999999995</v>
      </c>
    </row>
    <row r="95" spans="10:13" x14ac:dyDescent="0.3">
      <c r="J95" s="126">
        <v>45898.5</v>
      </c>
      <c r="K95" s="54">
        <v>100.669</v>
      </c>
      <c r="L95" s="126">
        <v>45902.5</v>
      </c>
      <c r="M95" s="54">
        <v>92.703999999999994</v>
      </c>
    </row>
    <row r="96" spans="10:13" x14ac:dyDescent="0.3">
      <c r="J96" s="126">
        <v>45901.5</v>
      </c>
      <c r="K96" s="54">
        <v>100.59699999999999</v>
      </c>
      <c r="L96" s="126">
        <v>45903.5</v>
      </c>
      <c r="M96" s="54">
        <v>92.709000000000003</v>
      </c>
    </row>
    <row r="97" spans="10:13" x14ac:dyDescent="0.3">
      <c r="J97" s="126">
        <v>45902.5</v>
      </c>
      <c r="K97" s="54">
        <v>100.313</v>
      </c>
      <c r="L97" s="126">
        <v>45904.5</v>
      </c>
      <c r="M97" s="54">
        <v>92.816999999999993</v>
      </c>
    </row>
    <row r="98" spans="10:13" x14ac:dyDescent="0.3">
      <c r="J98" s="126">
        <v>45903.5</v>
      </c>
      <c r="K98" s="54">
        <v>100.292</v>
      </c>
      <c r="L98" s="126">
        <v>45905.5</v>
      </c>
      <c r="M98" s="54">
        <v>93.281999999999996</v>
      </c>
    </row>
    <row r="99" spans="10:13" x14ac:dyDescent="0.3">
      <c r="J99" s="126">
        <v>45904.5</v>
      </c>
      <c r="K99" s="54">
        <v>100.35</v>
      </c>
      <c r="L99" s="126">
        <v>45908.5</v>
      </c>
      <c r="M99" s="54">
        <v>93.317999999999998</v>
      </c>
    </row>
    <row r="100" spans="10:13" x14ac:dyDescent="0.3">
      <c r="J100" s="126">
        <v>45905.5</v>
      </c>
      <c r="K100" s="54">
        <v>100.505</v>
      </c>
      <c r="L100" s="126">
        <v>45909.5</v>
      </c>
      <c r="M100" s="54">
        <v>93.483999999999995</v>
      </c>
    </row>
    <row r="101" spans="10:13" x14ac:dyDescent="0.3">
      <c r="J101" s="126">
        <v>45908.5</v>
      </c>
      <c r="K101" s="54">
        <v>100.499</v>
      </c>
      <c r="L101" s="126">
        <v>45910.5</v>
      </c>
      <c r="M101" s="54">
        <v>93.79</v>
      </c>
    </row>
    <row r="102" spans="10:13" x14ac:dyDescent="0.3">
      <c r="J102" s="126">
        <v>45909.5</v>
      </c>
      <c r="K102" s="54">
        <v>100.614</v>
      </c>
      <c r="L102" s="126">
        <v>45911.5</v>
      </c>
      <c r="M102" s="54">
        <v>93.917000000000002</v>
      </c>
    </row>
    <row r="103" spans="10:13" x14ac:dyDescent="0.3">
      <c r="J103" s="126">
        <v>45910.5</v>
      </c>
      <c r="K103" s="54">
        <v>100.715</v>
      </c>
      <c r="L103" s="126">
        <v>45912.5</v>
      </c>
      <c r="M103" s="54">
        <v>94.206999999999994</v>
      </c>
    </row>
    <row r="104" spans="10:13" x14ac:dyDescent="0.3">
      <c r="J104" s="126">
        <v>45911.5</v>
      </c>
      <c r="K104" s="54">
        <v>100.779</v>
      </c>
      <c r="L104" s="126">
        <v>45915.5</v>
      </c>
      <c r="M104" s="54">
        <v>94.388000000000005</v>
      </c>
    </row>
    <row r="105" spans="10:13" x14ac:dyDescent="0.3">
      <c r="J105" s="126">
        <v>45912.5</v>
      </c>
      <c r="K105" s="54">
        <v>100.88800000000001</v>
      </c>
      <c r="L105" s="126">
        <v>45916.5</v>
      </c>
      <c r="M105" s="54">
        <v>94.521000000000001</v>
      </c>
    </row>
    <row r="106" spans="10:13" x14ac:dyDescent="0.3">
      <c r="J106" s="126">
        <v>45915.5</v>
      </c>
      <c r="K106" s="54">
        <v>101.017</v>
      </c>
      <c r="L106" s="126">
        <v>45917.5</v>
      </c>
      <c r="M106" s="54">
        <v>94.456000000000003</v>
      </c>
    </row>
    <row r="107" spans="10:13" x14ac:dyDescent="0.3">
      <c r="J107" s="126">
        <v>45916.5</v>
      </c>
      <c r="K107" s="54">
        <v>101.077</v>
      </c>
      <c r="L107" s="126">
        <v>45918.5</v>
      </c>
      <c r="M107" s="54">
        <v>94.563999999999993</v>
      </c>
    </row>
    <row r="108" spans="10:13" x14ac:dyDescent="0.3">
      <c r="J108" s="126">
        <v>45917.5</v>
      </c>
      <c r="K108" s="54">
        <v>101.035</v>
      </c>
      <c r="L108" s="126">
        <v>45919.5</v>
      </c>
      <c r="M108" s="54">
        <v>94.572000000000003</v>
      </c>
    </row>
    <row r="109" spans="10:13" x14ac:dyDescent="0.3">
      <c r="J109" s="126">
        <v>45918.5</v>
      </c>
      <c r="K109" s="54">
        <v>101.07899999999999</v>
      </c>
      <c r="L109" s="126">
        <v>45922.5</v>
      </c>
      <c r="M109" s="54">
        <v>94.5</v>
      </c>
    </row>
    <row r="110" spans="10:13" x14ac:dyDescent="0.3">
      <c r="J110" s="126">
        <v>45919.5</v>
      </c>
      <c r="K110" s="54">
        <v>101.056</v>
      </c>
      <c r="L110" s="126">
        <v>45923.5</v>
      </c>
      <c r="M110" s="54">
        <v>94.533000000000001</v>
      </c>
    </row>
    <row r="111" spans="10:13" x14ac:dyDescent="0.3">
      <c r="J111" s="126">
        <v>45922.5</v>
      </c>
      <c r="K111" s="54">
        <v>100.854</v>
      </c>
      <c r="L111" s="126">
        <v>45924.5</v>
      </c>
      <c r="M111" s="54">
        <v>94.55</v>
      </c>
    </row>
    <row r="112" spans="10:13" x14ac:dyDescent="0.3">
      <c r="J112" s="126">
        <v>45923.5</v>
      </c>
      <c r="K112" s="54">
        <v>100.913</v>
      </c>
      <c r="L112" s="126">
        <v>45925.5</v>
      </c>
      <c r="M112" s="54">
        <v>94.45</v>
      </c>
    </row>
    <row r="113" spans="10:13" x14ac:dyDescent="0.3">
      <c r="J113" s="126">
        <v>45924.5</v>
      </c>
      <c r="K113" s="54">
        <v>100.92100000000001</v>
      </c>
      <c r="L113" s="126">
        <v>45926.5</v>
      </c>
      <c r="M113" s="54">
        <v>94.471000000000004</v>
      </c>
    </row>
    <row r="114" spans="10:13" x14ac:dyDescent="0.3">
      <c r="J114" s="126">
        <v>45925.5</v>
      </c>
      <c r="K114" s="54">
        <v>100.791</v>
      </c>
      <c r="L114" s="126">
        <v>45929.5</v>
      </c>
      <c r="M114" s="54">
        <v>94.594999999999999</v>
      </c>
    </row>
    <row r="115" spans="10:13" x14ac:dyDescent="0.3">
      <c r="J115" s="126">
        <v>45926.5</v>
      </c>
      <c r="K115" s="54">
        <v>100.693</v>
      </c>
      <c r="L115" s="126">
        <v>45930.5</v>
      </c>
      <c r="M115" s="54">
        <v>94.665000000000006</v>
      </c>
    </row>
    <row r="116" spans="10:13" x14ac:dyDescent="0.3">
      <c r="J116" s="126">
        <v>45929.5</v>
      </c>
      <c r="K116" s="54">
        <v>100.642</v>
      </c>
      <c r="L116" s="126">
        <v>45931.5</v>
      </c>
      <c r="M116" s="54">
        <v>94.710999999999999</v>
      </c>
    </row>
    <row r="117" spans="10:13" x14ac:dyDescent="0.3">
      <c r="J117" s="126">
        <v>45930.5</v>
      </c>
      <c r="K117" s="54">
        <v>100.61</v>
      </c>
      <c r="L117" s="126">
        <v>45932.5</v>
      </c>
      <c r="M117" s="54">
        <v>94.906999999999996</v>
      </c>
    </row>
    <row r="118" spans="10:13" x14ac:dyDescent="0.3">
      <c r="J118" s="126">
        <v>45931.5</v>
      </c>
      <c r="K118" s="54">
        <v>100.628</v>
      </c>
      <c r="L118" s="126">
        <v>45933.5</v>
      </c>
      <c r="M118" s="54">
        <v>94.863</v>
      </c>
    </row>
    <row r="119" spans="10:13" x14ac:dyDescent="0.3">
      <c r="J119" s="126">
        <v>45932.5</v>
      </c>
      <c r="K119" s="54">
        <v>100.75700000000001</v>
      </c>
      <c r="L119" s="126">
        <v>45936.5</v>
      </c>
      <c r="M119" s="54">
        <v>94.762</v>
      </c>
    </row>
    <row r="120" spans="10:13" x14ac:dyDescent="0.3">
      <c r="J120" s="126">
        <v>45933.5</v>
      </c>
      <c r="K120" s="54">
        <v>100.82</v>
      </c>
      <c r="L120" s="126">
        <v>45937.5</v>
      </c>
      <c r="M120" s="54">
        <v>94.718999999999994</v>
      </c>
    </row>
    <row r="121" spans="10:13" x14ac:dyDescent="0.3">
      <c r="J121" s="126">
        <v>45936.5</v>
      </c>
      <c r="K121" s="54">
        <v>100.755</v>
      </c>
      <c r="L121" s="126">
        <v>45938.5</v>
      </c>
      <c r="M121" s="54">
        <v>94.774000000000001</v>
      </c>
    </row>
    <row r="122" spans="10:13" x14ac:dyDescent="0.3">
      <c r="J122" s="126">
        <v>45937.5</v>
      </c>
      <c r="K122" s="54">
        <v>100.65</v>
      </c>
      <c r="L122" s="126">
        <v>45939.5</v>
      </c>
      <c r="M122" s="54">
        <v>94.606999999999999</v>
      </c>
    </row>
    <row r="123" spans="10:13" x14ac:dyDescent="0.3">
      <c r="J123" s="126">
        <v>45938.5</v>
      </c>
      <c r="K123" s="54">
        <v>100.625</v>
      </c>
      <c r="L123" s="126">
        <v>45944.5</v>
      </c>
      <c r="M123" s="54">
        <v>94.204999999999998</v>
      </c>
    </row>
    <row r="124" spans="10:13" x14ac:dyDescent="0.3">
      <c r="J124" s="126">
        <v>45939.5</v>
      </c>
      <c r="K124" s="54">
        <v>100.494</v>
      </c>
      <c r="L124" s="126">
        <v>45945.5</v>
      </c>
      <c r="M124" s="54">
        <v>94.239000000000004</v>
      </c>
    </row>
    <row r="125" spans="10:13" x14ac:dyDescent="0.3">
      <c r="J125" s="126">
        <v>45940.5</v>
      </c>
      <c r="K125" s="54">
        <v>99.935000000000002</v>
      </c>
      <c r="L125" s="126">
        <v>45946.5</v>
      </c>
      <c r="M125" s="54">
        <v>94.6</v>
      </c>
    </row>
    <row r="126" spans="10:13" x14ac:dyDescent="0.3">
      <c r="J126" s="126">
        <v>45943.5</v>
      </c>
      <c r="K126" s="54">
        <v>99.822000000000003</v>
      </c>
      <c r="L126" s="126">
        <v>45947.5</v>
      </c>
      <c r="M126" s="54">
        <v>94.385000000000005</v>
      </c>
    </row>
    <row r="127" spans="10:13" x14ac:dyDescent="0.3">
      <c r="J127" s="126">
        <v>45944.5</v>
      </c>
      <c r="K127" s="54">
        <v>99.814999999999998</v>
      </c>
      <c r="L127" s="126">
        <v>45950.5</v>
      </c>
      <c r="M127" s="54">
        <v>94.629000000000005</v>
      </c>
    </row>
    <row r="128" spans="10:13" x14ac:dyDescent="0.3">
      <c r="J128" s="126">
        <v>45945.5</v>
      </c>
      <c r="K128" s="54">
        <v>100.09399999999999</v>
      </c>
      <c r="L128" s="126">
        <v>45951.5</v>
      </c>
      <c r="M128" s="54">
        <v>94.748000000000005</v>
      </c>
    </row>
    <row r="129" spans="10:13" x14ac:dyDescent="0.3">
      <c r="J129" s="126">
        <v>45946.5</v>
      </c>
      <c r="K129" s="54">
        <v>100.185</v>
      </c>
      <c r="L129" s="126">
        <v>45952.5</v>
      </c>
      <c r="M129" s="54">
        <v>94.685000000000002</v>
      </c>
    </row>
    <row r="130" spans="10:13" x14ac:dyDescent="0.3">
      <c r="J130" s="126">
        <v>45947.5</v>
      </c>
      <c r="K130" s="54">
        <v>99.971000000000004</v>
      </c>
      <c r="L130" s="126">
        <v>45953.5</v>
      </c>
      <c r="M130" s="54">
        <v>94.555000000000007</v>
      </c>
    </row>
    <row r="131" spans="10:13" x14ac:dyDescent="0.3">
      <c r="J131" s="126">
        <v>45950.5</v>
      </c>
      <c r="K131" s="54">
        <v>100.221</v>
      </c>
      <c r="L131" s="126">
        <v>45954.5</v>
      </c>
      <c r="M131" s="54">
        <v>94.671000000000006</v>
      </c>
    </row>
    <row r="132" spans="10:13" x14ac:dyDescent="0.3">
      <c r="J132" s="126">
        <v>45951.5</v>
      </c>
      <c r="K132" s="54">
        <v>100.244</v>
      </c>
      <c r="L132" s="126">
        <v>45957.5</v>
      </c>
      <c r="M132" s="54">
        <v>94.858000000000004</v>
      </c>
    </row>
    <row r="133" spans="10:13" x14ac:dyDescent="0.3">
      <c r="J133" s="126">
        <v>45952.5</v>
      </c>
      <c r="K133" s="54">
        <v>100.2</v>
      </c>
      <c r="L133" s="126">
        <v>45958.5</v>
      </c>
      <c r="M133" s="54">
        <v>94.799000000000007</v>
      </c>
    </row>
    <row r="134" spans="10:13" x14ac:dyDescent="0.3">
      <c r="J134" s="126">
        <v>45953.5</v>
      </c>
      <c r="K134" s="54">
        <v>100.199</v>
      </c>
      <c r="L134" s="126">
        <v>45959.5</v>
      </c>
      <c r="M134" s="54">
        <v>94.850999999999999</v>
      </c>
    </row>
    <row r="135" spans="10:13" x14ac:dyDescent="0.3">
      <c r="J135" s="126">
        <v>45954.5</v>
      </c>
      <c r="K135" s="54">
        <v>100.27800000000001</v>
      </c>
      <c r="L135" s="126">
        <v>45960.5</v>
      </c>
      <c r="M135" s="54">
        <v>94.626000000000005</v>
      </c>
    </row>
    <row r="136" spans="10:13" x14ac:dyDescent="0.3">
      <c r="J136" s="126">
        <v>45957.5</v>
      </c>
      <c r="K136" s="54">
        <v>100.46299999999999</v>
      </c>
      <c r="L136" s="126">
        <v>45961.5</v>
      </c>
      <c r="M136" s="54">
        <v>94.619</v>
      </c>
    </row>
    <row r="137" spans="10:13" x14ac:dyDescent="0.3">
      <c r="J137" s="126">
        <v>45958.5</v>
      </c>
      <c r="K137" s="54">
        <v>100.536</v>
      </c>
    </row>
    <row r="138" spans="10:13" x14ac:dyDescent="0.3">
      <c r="J138" s="126">
        <v>45959.5</v>
      </c>
      <c r="K138" s="54">
        <v>100.578</v>
      </c>
    </row>
    <row r="139" spans="10:13" x14ac:dyDescent="0.3">
      <c r="J139" s="126">
        <v>45960.5</v>
      </c>
      <c r="K139" s="54">
        <v>100.348</v>
      </c>
    </row>
    <row r="140" spans="10:13" x14ac:dyDescent="0.3">
      <c r="J140" s="126">
        <v>45961.5</v>
      </c>
      <c r="K140" s="54">
        <v>100.363</v>
      </c>
    </row>
  </sheetData>
  <mergeCells count="2">
    <mergeCell ref="B12:D12"/>
    <mergeCell ref="E12:G12"/>
  </mergeCells>
  <conditionalFormatting sqref="M1:M7 H8:H1048576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FEB-95F5-4D5C-AEEC-FD1713005959}">
  <dimension ref="A1:Z151"/>
  <sheetViews>
    <sheetView zoomScale="80" zoomScaleNormal="80" workbookViewId="0">
      <selection activeCell="E14" sqref="E14"/>
    </sheetView>
  </sheetViews>
  <sheetFormatPr defaultColWidth="8.88671875" defaultRowHeight="14.4" x14ac:dyDescent="0.3"/>
  <cols>
    <col min="1" max="1" width="15.44140625" style="54" bestFit="1" customWidth="1"/>
    <col min="2" max="2" width="19" style="54" bestFit="1" customWidth="1"/>
    <col min="3" max="4" width="16.88671875" style="54" customWidth="1"/>
    <col min="5" max="6" width="11.5546875" style="54" bestFit="1" customWidth="1"/>
    <col min="7" max="7" width="13.33203125" style="54" bestFit="1" customWidth="1"/>
    <col min="8" max="8" width="11.88671875" style="54" bestFit="1" customWidth="1"/>
    <col min="10" max="10" width="15.6640625" style="54" hidden="1" customWidth="1"/>
    <col min="11" max="11" width="8.88671875" style="54" hidden="1" customWidth="1"/>
    <col min="12" max="12" width="15.6640625" style="54" hidden="1" customWidth="1"/>
    <col min="13" max="13" width="8.88671875" style="54" hidden="1" customWidth="1"/>
    <col min="14" max="23" width="8.88671875" style="54"/>
    <col min="24" max="24" width="15.6640625" style="54" bestFit="1" customWidth="1"/>
    <col min="25" max="16384" width="8.88671875" style="54"/>
  </cols>
  <sheetData>
    <row r="1" spans="1:26" ht="15" thickBot="1" x14ac:dyDescent="0.35">
      <c r="A1" s="1"/>
      <c r="B1" s="1"/>
      <c r="C1" s="1"/>
      <c r="D1" s="1"/>
      <c r="J1" s="53"/>
      <c r="K1" s="1" t="s">
        <v>158</v>
      </c>
      <c r="L1" s="1"/>
    </row>
    <row r="2" spans="1:26" ht="15" thickBot="1" x14ac:dyDescent="0.35">
      <c r="A2" s="30"/>
      <c r="B2" s="40" t="s">
        <v>0</v>
      </c>
      <c r="C2" s="155" t="s">
        <v>1</v>
      </c>
      <c r="E2" s="124" t="s">
        <v>101</v>
      </c>
      <c r="F2" s="125">
        <v>0.45833333333333331</v>
      </c>
      <c r="J2" s="27" t="s">
        <v>0</v>
      </c>
      <c r="K2" s="1"/>
      <c r="L2" s="155" t="s">
        <v>1</v>
      </c>
      <c r="X2" s="126">
        <v>45951.041666666664</v>
      </c>
      <c r="Y2" s="54">
        <v>92.150999999999996</v>
      </c>
      <c r="Z2" s="54">
        <v>99.448816525325995</v>
      </c>
    </row>
    <row r="3" spans="1:26" x14ac:dyDescent="0.3">
      <c r="A3" s="15" t="s">
        <v>32</v>
      </c>
      <c r="B3" s="61" t="s">
        <v>154</v>
      </c>
      <c r="C3" s="62" t="s">
        <v>156</v>
      </c>
      <c r="J3" s="123" cm="1">
        <f t="array" ref="J3:K137">_xll.BDH(B4, "LAST_PRICE", "01/01/2025 11:00:00", "01/01/2035 12:00:00", "BarSize=60", "BarType=T", "RecurDaily=True", "TZ=New_York")</f>
        <v>45768.458333333336</v>
      </c>
      <c r="K3" s="46">
        <v>86.736000000000004</v>
      </c>
      <c r="L3" s="123" cm="1">
        <f t="array" ref="L3:M140">_xll.BDH(C4, "LAST_PRICE", "01/01/2025 11:00:00", "01/01/2035 12:00:00", "BarSize=60", "BarType=T", "RecurDaily=True", "TZ=New_York")</f>
        <v>45769.458333333336</v>
      </c>
      <c r="M3" s="54">
        <v>92.731999999999999</v>
      </c>
      <c r="X3" s="126">
        <v>45951.048611111109</v>
      </c>
      <c r="Y3" s="54">
        <v>92.147999999999996</v>
      </c>
      <c r="Z3" s="54">
        <v>99.51328672915038</v>
      </c>
    </row>
    <row r="4" spans="1:26" ht="32.25" customHeight="1" x14ac:dyDescent="0.3">
      <c r="A4" s="15" t="s">
        <v>33</v>
      </c>
      <c r="B4" s="156" t="s">
        <v>155</v>
      </c>
      <c r="C4" s="42" t="s">
        <v>157</v>
      </c>
      <c r="J4" s="126">
        <v>45769.458333333336</v>
      </c>
      <c r="K4" s="1">
        <v>86.72</v>
      </c>
      <c r="L4" s="127">
        <v>45770.458333333336</v>
      </c>
      <c r="M4" s="54">
        <v>92.632000000000005</v>
      </c>
      <c r="X4" s="126">
        <v>45951.055555555555</v>
      </c>
      <c r="Y4" s="54">
        <v>92.146000000000001</v>
      </c>
      <c r="Z4" s="54">
        <v>99.556268203565551</v>
      </c>
    </row>
    <row r="5" spans="1:26" x14ac:dyDescent="0.3">
      <c r="A5" s="15" t="s">
        <v>8</v>
      </c>
      <c r="B5" s="64">
        <f>15*10^6</f>
        <v>15000000</v>
      </c>
      <c r="C5" s="8">
        <f>20.5*10^6</f>
        <v>20500000</v>
      </c>
      <c r="J5" s="126">
        <v>45770.458333333336</v>
      </c>
      <c r="K5" s="1">
        <v>86.97</v>
      </c>
      <c r="L5" s="127">
        <v>45771.458333333336</v>
      </c>
      <c r="M5" s="54">
        <v>92.825000000000003</v>
      </c>
      <c r="X5" s="126">
        <v>45951.0625</v>
      </c>
      <c r="Y5" s="54">
        <v>92.141000000000005</v>
      </c>
      <c r="Z5" s="54">
        <v>99.663726574864555</v>
      </c>
    </row>
    <row r="6" spans="1:26" x14ac:dyDescent="0.3">
      <c r="A6" s="15" t="s">
        <v>10</v>
      </c>
      <c r="B6" s="66">
        <v>3.0349999999999999E-2</v>
      </c>
      <c r="C6" s="10">
        <v>1.7500000000000002E-2</v>
      </c>
      <c r="J6" s="126">
        <v>45771.458333333336</v>
      </c>
      <c r="K6" s="1">
        <v>87.103999999999999</v>
      </c>
      <c r="L6" s="127">
        <v>45772.458333333336</v>
      </c>
      <c r="M6" s="54">
        <v>92.674999999999997</v>
      </c>
      <c r="X6" s="126">
        <v>45951.069444444445</v>
      </c>
      <c r="Y6" s="54">
        <v>92.153999999999996</v>
      </c>
      <c r="Z6" s="54">
        <v>99.384348730721101</v>
      </c>
    </row>
    <row r="7" spans="1:26" ht="14.4" customHeight="1" x14ac:dyDescent="0.3">
      <c r="A7" s="15" t="s">
        <v>12</v>
      </c>
      <c r="B7" s="66">
        <v>4.2299999999999997E-2</v>
      </c>
      <c r="C7" s="10">
        <v>4.2299999999999997E-2</v>
      </c>
      <c r="D7" s="192" t="s">
        <v>159</v>
      </c>
      <c r="E7" s="193"/>
      <c r="F7" s="193"/>
      <c r="G7" s="193"/>
      <c r="J7" s="127">
        <v>45772.458333333336</v>
      </c>
      <c r="K7" s="1">
        <v>87.516000000000005</v>
      </c>
      <c r="L7" s="127">
        <v>45775.458333333336</v>
      </c>
      <c r="M7" s="1">
        <v>92.551000000000002</v>
      </c>
      <c r="X7" s="126">
        <v>45951.076388888891</v>
      </c>
      <c r="Y7" s="54">
        <v>92.15</v>
      </c>
      <c r="Z7" s="54">
        <v>99.47030632556752</v>
      </c>
    </row>
    <row r="8" spans="1:26" x14ac:dyDescent="0.3">
      <c r="A8" s="15" t="s">
        <v>14</v>
      </c>
      <c r="B8" s="4" t="s">
        <v>23</v>
      </c>
      <c r="C8" s="5" t="s">
        <v>23</v>
      </c>
      <c r="D8" s="192"/>
      <c r="E8" s="193"/>
      <c r="F8" s="193"/>
      <c r="G8" s="193"/>
      <c r="H8" s="1"/>
      <c r="J8" s="126">
        <v>45775.458333333336</v>
      </c>
      <c r="K8" s="54">
        <v>87.879000000000005</v>
      </c>
      <c r="L8" s="126">
        <v>45776.458333333336</v>
      </c>
      <c r="M8" s="54">
        <v>92.483999999999995</v>
      </c>
      <c r="X8" s="126">
        <v>45951.083333333336</v>
      </c>
      <c r="Y8" s="54">
        <v>92.147000000000006</v>
      </c>
      <c r="Z8" s="54">
        <v>99.534777332496162</v>
      </c>
    </row>
    <row r="9" spans="1:26" x14ac:dyDescent="0.3">
      <c r="A9" s="15" t="s">
        <v>15</v>
      </c>
      <c r="B9" s="4" cm="1">
        <f t="array" ref="B9">_xll.BDP("EURUSD BGN Curncy","PX_LAST")</f>
        <v>1.1517999999999999</v>
      </c>
      <c r="C9" s="5" t="s">
        <v>23</v>
      </c>
      <c r="D9" s="192"/>
      <c r="E9" s="193"/>
      <c r="F9" s="193"/>
      <c r="G9" s="193"/>
      <c r="H9" s="1"/>
      <c r="J9" s="126">
        <v>45776.458333333336</v>
      </c>
      <c r="K9" s="54">
        <v>88.102999999999994</v>
      </c>
      <c r="L9" s="126">
        <v>45777.458333333336</v>
      </c>
      <c r="M9" s="54">
        <v>92.507999999999996</v>
      </c>
      <c r="X9" s="126">
        <v>45951.090277777781</v>
      </c>
      <c r="Y9" s="54">
        <v>92.153000000000006</v>
      </c>
      <c r="Z9" s="54">
        <v>99.405837727907226</v>
      </c>
    </row>
    <row r="10" spans="1:26" ht="15" thickBot="1" x14ac:dyDescent="0.35">
      <c r="A10" s="16" t="s">
        <v>28</v>
      </c>
      <c r="B10" s="11" cm="1">
        <f t="array" ref="B10">_xll.BDP(B4,"px_last")</f>
        <v>91.457999999999998</v>
      </c>
      <c r="C10" s="22" cm="1">
        <f t="array" ref="C10">_xll.BDP(C4,"px_last")</f>
        <v>95.106999999999999</v>
      </c>
      <c r="D10" s="192"/>
      <c r="E10" s="193"/>
      <c r="F10" s="193"/>
      <c r="G10" s="193"/>
      <c r="H10" s="1"/>
      <c r="J10" s="126">
        <v>45777.458333333336</v>
      </c>
      <c r="K10" s="54">
        <v>88.257000000000005</v>
      </c>
      <c r="L10" s="126">
        <v>45779.458333333336</v>
      </c>
      <c r="M10" s="54">
        <v>92.277000000000001</v>
      </c>
      <c r="X10" s="126">
        <v>45951.097222222219</v>
      </c>
      <c r="Y10" s="54">
        <v>92.155000000000001</v>
      </c>
      <c r="Z10" s="54">
        <v>99.362860001200872</v>
      </c>
    </row>
    <row r="11" spans="1:26" ht="15" thickBot="1" x14ac:dyDescent="0.35">
      <c r="C11" s="1"/>
      <c r="D11" s="1"/>
      <c r="E11" s="1"/>
      <c r="F11" s="1"/>
      <c r="G11" s="1"/>
      <c r="H11" s="1"/>
      <c r="J11" s="126">
        <v>45778.458333333336</v>
      </c>
      <c r="K11" s="54">
        <v>88.043000000000006</v>
      </c>
      <c r="L11" s="126">
        <v>45782.458333333336</v>
      </c>
      <c r="M11" s="54">
        <v>92.379000000000005</v>
      </c>
      <c r="X11" s="126">
        <v>45951.104166666664</v>
      </c>
      <c r="Y11" s="54">
        <v>92.152000000000001</v>
      </c>
      <c r="Z11" s="54">
        <v>99.427326992777012</v>
      </c>
    </row>
    <row r="12" spans="1:26" ht="15" thickBot="1" x14ac:dyDescent="0.35">
      <c r="A12" s="39" t="s">
        <v>22</v>
      </c>
      <c r="B12" s="169" t="s">
        <v>0</v>
      </c>
      <c r="C12" s="170"/>
      <c r="D12" s="170"/>
      <c r="E12" s="189" t="s">
        <v>1</v>
      </c>
      <c r="F12" s="190"/>
      <c r="G12" s="191"/>
      <c r="H12" s="39" t="s">
        <v>16</v>
      </c>
      <c r="J12" s="126">
        <v>45779.458333333336</v>
      </c>
      <c r="K12" s="54">
        <v>87.593999999999994</v>
      </c>
      <c r="L12" s="126">
        <v>45783.458333333336</v>
      </c>
      <c r="M12" s="54">
        <v>92.393000000000001</v>
      </c>
      <c r="X12" s="126">
        <v>45951.111111111109</v>
      </c>
      <c r="Y12" s="54">
        <v>92.17</v>
      </c>
      <c r="Z12" s="54">
        <v>99.040561174751346</v>
      </c>
    </row>
    <row r="13" spans="1:26" ht="15" thickBot="1" x14ac:dyDescent="0.35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96"/>
      <c r="J13" s="126">
        <v>45782.458333333336</v>
      </c>
      <c r="K13" s="54">
        <v>87.69</v>
      </c>
      <c r="L13" s="126">
        <v>45784.458333333336</v>
      </c>
      <c r="M13" s="54">
        <v>92.653000000000006</v>
      </c>
      <c r="X13" s="126">
        <v>45951.118055555555</v>
      </c>
      <c r="Y13" s="54">
        <v>92.18</v>
      </c>
      <c r="Z13" s="54">
        <v>98.82572873804007</v>
      </c>
    </row>
    <row r="14" spans="1:26" x14ac:dyDescent="0.3">
      <c r="A14" s="128">
        <v>45951</v>
      </c>
      <c r="B14" s="45">
        <f>VLOOKUP(A14,J:K,2)</f>
        <v>92.061000000000007</v>
      </c>
      <c r="C14" s="46"/>
      <c r="D14" s="47"/>
      <c r="E14" s="45">
        <f>VLOOKUP(A14,L:M,2)</f>
        <v>95.207999999999998</v>
      </c>
      <c r="F14" s="1"/>
      <c r="G14" s="5"/>
      <c r="H14" s="79">
        <v>0</v>
      </c>
      <c r="J14" s="126">
        <v>45783.458333333336</v>
      </c>
      <c r="K14" s="54">
        <v>87.656000000000006</v>
      </c>
      <c r="L14" s="126">
        <v>45785.458333333336</v>
      </c>
      <c r="M14" s="54">
        <v>92.539000000000001</v>
      </c>
      <c r="X14" s="126">
        <v>45951.125</v>
      </c>
      <c r="Y14" s="54">
        <v>92.186000000000007</v>
      </c>
      <c r="Z14" s="54">
        <v>98.696842116744449</v>
      </c>
    </row>
    <row r="15" spans="1:26" x14ac:dyDescent="0.3">
      <c r="A15" s="128">
        <v>45952</v>
      </c>
      <c r="B15" s="45">
        <f t="shared" ref="B14:B20" si="0">VLOOKUP($A15+$F$2,J:K,2)</f>
        <v>92.034999999999997</v>
      </c>
      <c r="C15" s="31">
        <f t="shared" ref="C15" si="1">(B15-$B$14)/100*$B$5</f>
        <v>-3900.0000000015689</v>
      </c>
      <c r="D15" s="32">
        <f>(A15-$A$14)/360*$B$6*$B$5-(A15-$A$14)/360*$B$7*$B$5*$B$14/100</f>
        <v>-357.99179166666681</v>
      </c>
      <c r="E15" s="45">
        <f t="shared" ref="E14:E20" si="2">VLOOKUP($A15+$F$2,L:M,2)</f>
        <v>95.277000000000001</v>
      </c>
      <c r="F15" s="31">
        <f>(E15-$E$14)/100*$C$5</f>
        <v>14145.000000000535</v>
      </c>
      <c r="G15" s="32">
        <f>(A15-$A$14)/360*$C$6*$C$5-(A15-$A$14)/360*$C$7*$C$5*$E$14/100</f>
        <v>-1296.7949222222219</v>
      </c>
      <c r="H15" s="79">
        <f t="shared" ref="H15:H19" si="3">(C15+D15)*$B$9-F15-G15</f>
        <v>-17752.560023421785</v>
      </c>
      <c r="J15" s="126">
        <v>45784.458333333336</v>
      </c>
      <c r="K15" s="54">
        <v>87.787999999999997</v>
      </c>
      <c r="L15" s="126">
        <v>45786.458333333336</v>
      </c>
      <c r="M15" s="54">
        <v>92.600999999999999</v>
      </c>
      <c r="X15" s="126">
        <v>45951.131944444445</v>
      </c>
      <c r="Y15" s="54">
        <v>92.192999999999998</v>
      </c>
      <c r="Z15" s="54">
        <v>98.546486561640336</v>
      </c>
    </row>
    <row r="16" spans="1:26" x14ac:dyDescent="0.3">
      <c r="A16" s="128">
        <v>45953</v>
      </c>
      <c r="B16" s="45">
        <f t="shared" si="0"/>
        <v>92.001000000000005</v>
      </c>
      <c r="C16" s="31">
        <f t="shared" ref="C16:C19" si="4">(B16-$B$14)/100*$B$5</f>
        <v>-9000.0000000003402</v>
      </c>
      <c r="D16" s="32">
        <f t="shared" ref="D16:D19" si="5">(A16-$A$14)/360*$B$6*$B$5-(A16-$A$14)/360*$B$7*$B$5*$B$14/100</f>
        <v>-715.98358333333363</v>
      </c>
      <c r="E16" s="45">
        <f t="shared" si="2"/>
        <v>95.203999999999994</v>
      </c>
      <c r="F16" s="31">
        <f t="shared" ref="F16:F19" si="6">(E16-$E$14)/100*$C$5</f>
        <v>-820.00000000100215</v>
      </c>
      <c r="G16" s="32">
        <f t="shared" ref="G16:G19" si="7">(A16-$A$14)/360*$C$6*$C$5-(A16-$A$14)/360*$C$7*$C$5*$E$14/100</f>
        <v>-2593.5898444444438</v>
      </c>
      <c r="H16" s="79">
        <f t="shared" si="3"/>
        <v>-7777.2800468382784</v>
      </c>
      <c r="J16" s="126">
        <v>45785.458333333336</v>
      </c>
      <c r="K16" s="54">
        <v>87.611000000000004</v>
      </c>
      <c r="L16" s="126">
        <v>45789.458333333336</v>
      </c>
      <c r="M16" s="54">
        <v>92.509</v>
      </c>
      <c r="X16" s="126">
        <v>45951.138888888891</v>
      </c>
      <c r="Y16" s="54">
        <v>92.186000000000007</v>
      </c>
      <c r="Z16" s="54">
        <v>98.696842116744449</v>
      </c>
    </row>
    <row r="17" spans="1:26" x14ac:dyDescent="0.3">
      <c r="A17" s="128">
        <v>45954</v>
      </c>
      <c r="B17" s="45">
        <f t="shared" si="0"/>
        <v>92.037999999999997</v>
      </c>
      <c r="C17" s="31">
        <f t="shared" si="4"/>
        <v>-3450.0000000015521</v>
      </c>
      <c r="D17" s="32">
        <f t="shared" si="5"/>
        <v>-1073.9753750000004</v>
      </c>
      <c r="E17" s="45">
        <f t="shared" si="2"/>
        <v>95.120999999999995</v>
      </c>
      <c r="F17" s="31">
        <f t="shared" si="6"/>
        <v>-17835.000000000677</v>
      </c>
      <c r="G17" s="32">
        <f t="shared" si="7"/>
        <v>-3890.3847666666657</v>
      </c>
      <c r="H17" s="79">
        <f t="shared" si="3"/>
        <v>16514.669929740554</v>
      </c>
      <c r="J17" s="126">
        <v>45786.458333333336</v>
      </c>
      <c r="K17" s="54">
        <v>87.519000000000005</v>
      </c>
      <c r="L17" s="126">
        <v>45790.458333333336</v>
      </c>
      <c r="M17" s="54">
        <v>92.510999999999996</v>
      </c>
      <c r="X17" s="126">
        <v>45951.145833333336</v>
      </c>
      <c r="Y17" s="54">
        <v>92.183999999999997</v>
      </c>
      <c r="Z17" s="54">
        <v>98.739803253903304</v>
      </c>
    </row>
    <row r="18" spans="1:26" x14ac:dyDescent="0.3">
      <c r="A18" s="36">
        <v>45957</v>
      </c>
      <c r="B18" s="45">
        <f t="shared" si="0"/>
        <v>92.007000000000005</v>
      </c>
      <c r="C18" s="31">
        <f t="shared" si="4"/>
        <v>-8100.0000000003074</v>
      </c>
      <c r="D18" s="32">
        <f t="shared" si="5"/>
        <v>-2147.9507500000009</v>
      </c>
      <c r="E18" s="45">
        <f t="shared" si="2"/>
        <v>95.209000000000003</v>
      </c>
      <c r="F18" s="31">
        <f t="shared" si="6"/>
        <v>205.00000000097884</v>
      </c>
      <c r="G18" s="32">
        <f t="shared" si="7"/>
        <v>-7780.7695333333313</v>
      </c>
      <c r="H18" s="79">
        <f t="shared" si="3"/>
        <v>-4227.8201405180034</v>
      </c>
      <c r="J18" s="126">
        <v>45789.458333333336</v>
      </c>
      <c r="K18" s="54">
        <v>87.284999999999997</v>
      </c>
      <c r="L18" s="126">
        <v>45791.458333333336</v>
      </c>
      <c r="M18" s="54">
        <v>92.483000000000004</v>
      </c>
      <c r="X18" s="126">
        <v>45951.152777777781</v>
      </c>
      <c r="Y18" s="54">
        <v>92.183999999999997</v>
      </c>
      <c r="Z18" s="54">
        <v>98.739803253903304</v>
      </c>
    </row>
    <row r="19" spans="1:26" x14ac:dyDescent="0.3">
      <c r="A19" s="36">
        <v>45958</v>
      </c>
      <c r="B19" s="45">
        <f t="shared" si="0"/>
        <v>92.1</v>
      </c>
      <c r="C19" s="31">
        <f t="shared" si="4"/>
        <v>5849.9999999980901</v>
      </c>
      <c r="D19" s="32">
        <f t="shared" si="5"/>
        <v>-2505.9425416666691</v>
      </c>
      <c r="E19" s="45">
        <f t="shared" si="2"/>
        <v>95.218999999999994</v>
      </c>
      <c r="F19" s="31">
        <f t="shared" si="6"/>
        <v>2254.9999999991142</v>
      </c>
      <c r="G19" s="32">
        <f t="shared" si="7"/>
        <v>-9077.5644555555536</v>
      </c>
      <c r="H19" s="79">
        <f t="shared" si="3"/>
        <v>10674.24983606257</v>
      </c>
      <c r="J19" s="126">
        <v>45790.458333333336</v>
      </c>
      <c r="K19" s="54">
        <v>87.35</v>
      </c>
      <c r="L19" s="126">
        <v>45792.458333333336</v>
      </c>
      <c r="M19" s="54">
        <v>92.754999999999995</v>
      </c>
      <c r="X19" s="126">
        <v>45951.159722222219</v>
      </c>
      <c r="Y19" s="54">
        <v>92.192999999999998</v>
      </c>
      <c r="Z19" s="54">
        <v>98.546486561640336</v>
      </c>
    </row>
    <row r="20" spans="1:26" x14ac:dyDescent="0.3">
      <c r="A20" s="36">
        <v>45959</v>
      </c>
      <c r="B20" s="45">
        <f t="shared" si="0"/>
        <v>92.084999999999994</v>
      </c>
      <c r="C20" s="31">
        <f t="shared" ref="C20" si="8">(B20-$B$14)/100*$B$5</f>
        <v>3599.9999999980046</v>
      </c>
      <c r="D20" s="32">
        <f t="shared" ref="D20" si="9">(A20-$A$14)/360*$B$6*$B$5-(A20-$A$14)/360*$B$7*$B$5*$B$14/100</f>
        <v>-2863.9343333333345</v>
      </c>
      <c r="E20" s="45">
        <f t="shared" si="2"/>
        <v>95.26</v>
      </c>
      <c r="F20" s="31">
        <f t="shared" ref="F20" si="10">(E20-$E$14)/100*$C$5</f>
        <v>10660.000000001375</v>
      </c>
      <c r="G20" s="32">
        <f t="shared" ref="G20" si="11">(A20-$A$14)/360*$C$6*$C$5-(A20-$A$14)/360*$C$7*$C$5*$E$14/100</f>
        <v>-10374.359377777775</v>
      </c>
      <c r="H20" s="79">
        <f t="shared" ref="H20" si="12">(C20+D20)*$B$9-F20-G20</f>
        <v>562.15981264076618</v>
      </c>
      <c r="J20" s="126">
        <v>45791.458333333336</v>
      </c>
      <c r="K20" s="54">
        <v>87.331000000000003</v>
      </c>
      <c r="L20" s="126">
        <v>45793.458333333336</v>
      </c>
      <c r="M20" s="54">
        <v>92.945999999999998</v>
      </c>
      <c r="X20" s="126">
        <v>45951.166666666664</v>
      </c>
      <c r="Y20" s="54">
        <v>92.203999999999994</v>
      </c>
      <c r="Z20" s="54">
        <v>98.310240020643704</v>
      </c>
    </row>
    <row r="21" spans="1:26" x14ac:dyDescent="0.3">
      <c r="A21" s="36">
        <v>45960</v>
      </c>
      <c r="B21" s="45">
        <f t="shared" ref="B21" si="13">VLOOKUP($A21+$F$2,J:K,2)</f>
        <v>91.637</v>
      </c>
      <c r="C21" s="31">
        <f t="shared" ref="C21:C22" si="14">(B21-$B$14)/100*$B$5</f>
        <v>-63600.00000000099</v>
      </c>
      <c r="D21" s="32">
        <f t="shared" ref="D21:D22" si="15">(A21-$A$14)/360*$B$6*$B$5-(A21-$A$14)/360*$B$7*$B$5*$B$14/100</f>
        <v>-3221.9261250000036</v>
      </c>
      <c r="E21" s="45">
        <f t="shared" ref="E21" si="16">VLOOKUP($A21+$F$2,L:M,2)</f>
        <v>95.174999999999997</v>
      </c>
      <c r="F21" s="31">
        <f t="shared" ref="F21:F22" si="17">(E21-$E$14)/100*$C$5</f>
        <v>-6765.0000000002565</v>
      </c>
      <c r="G21" s="32">
        <f t="shared" ref="G21:G22" si="18">(A21-$A$14)/360*$C$6*$C$5-(A21-$A$14)/360*$C$7*$C$5*$E$14/100</f>
        <v>-11671.154299999997</v>
      </c>
      <c r="H21" s="79">
        <f t="shared" ref="H21:H22" si="19">(C21+D21)*$B$9-F21-G21</f>
        <v>-58529.340210775874</v>
      </c>
      <c r="J21" s="126">
        <v>45792.458333333336</v>
      </c>
      <c r="K21" s="54">
        <v>87.567999999999998</v>
      </c>
      <c r="L21" s="126">
        <v>45796.458333333336</v>
      </c>
      <c r="M21" s="54">
        <v>92.942999999999998</v>
      </c>
      <c r="X21" s="126">
        <v>45951.173611111109</v>
      </c>
      <c r="Y21" s="54">
        <v>92.215999999999994</v>
      </c>
      <c r="Z21" s="54">
        <v>98.052553416038137</v>
      </c>
    </row>
    <row r="22" spans="1:26" x14ac:dyDescent="0.3">
      <c r="A22" s="36">
        <v>45961</v>
      </c>
      <c r="B22" s="45">
        <f>$B$10</f>
        <v>91.457999999999998</v>
      </c>
      <c r="C22" s="31">
        <f t="shared" si="14"/>
        <v>-90450.000000001295</v>
      </c>
      <c r="D22" s="32">
        <f t="shared" si="15"/>
        <v>-3579.9179166666654</v>
      </c>
      <c r="E22" s="45">
        <f>$C$10</f>
        <v>95.106999999999999</v>
      </c>
      <c r="F22" s="31">
        <f t="shared" si="17"/>
        <v>-20704.999999999814</v>
      </c>
      <c r="G22" s="32">
        <f t="shared" si="18"/>
        <v>-12967.94922222222</v>
      </c>
      <c r="H22" s="79">
        <f t="shared" si="19"/>
        <v>-74630.710234196129</v>
      </c>
      <c r="J22" s="126">
        <v>45793.458333333336</v>
      </c>
      <c r="K22" s="54">
        <v>87.742000000000004</v>
      </c>
      <c r="L22" s="126">
        <v>45797.458333333336</v>
      </c>
      <c r="M22" s="54">
        <v>92.980999999999995</v>
      </c>
      <c r="X22" s="126">
        <v>45951.180555555555</v>
      </c>
      <c r="Y22" s="54">
        <v>92.209000000000003</v>
      </c>
      <c r="Z22" s="54">
        <v>98.202865923980866</v>
      </c>
    </row>
    <row r="23" spans="1:26" x14ac:dyDescent="0.3">
      <c r="A23" s="36">
        <v>45964</v>
      </c>
      <c r="B23" s="45"/>
      <c r="C23" s="31"/>
      <c r="D23" s="32"/>
      <c r="E23" s="73"/>
      <c r="F23" s="31"/>
      <c r="G23" s="32"/>
      <c r="H23" s="79"/>
      <c r="J23" s="126">
        <v>45796.458333333336</v>
      </c>
      <c r="K23" s="54">
        <v>87.602999999999994</v>
      </c>
      <c r="L23" s="126">
        <v>45798.458333333336</v>
      </c>
      <c r="M23" s="54">
        <v>92.817999999999998</v>
      </c>
      <c r="X23" s="126">
        <v>45951.1875</v>
      </c>
      <c r="Y23" s="54">
        <v>92.195999999999998</v>
      </c>
      <c r="Z23" s="54">
        <v>98.482052478087169</v>
      </c>
    </row>
    <row r="24" spans="1:26" x14ac:dyDescent="0.3">
      <c r="A24" s="36">
        <v>45965</v>
      </c>
      <c r="B24" s="45"/>
      <c r="C24" s="31"/>
      <c r="D24" s="32"/>
      <c r="E24" s="73"/>
      <c r="F24" s="31"/>
      <c r="G24" s="32"/>
      <c r="H24" s="79"/>
      <c r="J24" s="126">
        <v>45797.458333333336</v>
      </c>
      <c r="K24" s="54">
        <v>87.766999999999996</v>
      </c>
      <c r="L24" s="126">
        <v>45799.458333333336</v>
      </c>
      <c r="M24" s="54">
        <v>92.855000000000004</v>
      </c>
      <c r="X24" s="126">
        <v>45951.194444444445</v>
      </c>
      <c r="Y24" s="54">
        <v>92.19</v>
      </c>
      <c r="Z24" s="54">
        <v>98.610923052010463</v>
      </c>
    </row>
    <row r="25" spans="1:26" x14ac:dyDescent="0.3">
      <c r="A25" s="36">
        <v>45966</v>
      </c>
      <c r="B25" s="45"/>
      <c r="C25" s="31"/>
      <c r="D25" s="32"/>
      <c r="E25" s="73"/>
      <c r="F25" s="31"/>
      <c r="G25" s="32"/>
      <c r="H25" s="79"/>
      <c r="J25" s="126">
        <v>45798.458333333336</v>
      </c>
      <c r="K25" s="54">
        <v>87.522999999999996</v>
      </c>
      <c r="L25" s="126">
        <v>45800.458333333336</v>
      </c>
      <c r="M25" s="54">
        <v>92.938999999999993</v>
      </c>
      <c r="X25" s="126">
        <v>45951.201388888891</v>
      </c>
      <c r="Y25" s="54">
        <v>92.186000000000007</v>
      </c>
      <c r="Z25" s="54">
        <v>98.696842116744449</v>
      </c>
    </row>
    <row r="26" spans="1:26" x14ac:dyDescent="0.3">
      <c r="A26" s="36">
        <v>45967</v>
      </c>
      <c r="B26" s="45"/>
      <c r="C26" s="31"/>
      <c r="D26" s="32"/>
      <c r="E26" s="73"/>
      <c r="F26" s="31"/>
      <c r="G26" s="32"/>
      <c r="H26" s="79"/>
      <c r="J26" s="126">
        <v>45799.458333333336</v>
      </c>
      <c r="K26" s="54">
        <v>87.533000000000001</v>
      </c>
      <c r="L26" s="126">
        <v>45803.458333333336</v>
      </c>
      <c r="M26" s="54">
        <v>93.007000000000005</v>
      </c>
      <c r="X26" s="126">
        <v>45951.208333333336</v>
      </c>
      <c r="Y26" s="54">
        <v>92.188999999999993</v>
      </c>
      <c r="Z26" s="54">
        <v>98.632402417012656</v>
      </c>
    </row>
    <row r="27" spans="1:26" x14ac:dyDescent="0.3">
      <c r="A27" s="36">
        <v>45968</v>
      </c>
      <c r="B27" s="45"/>
      <c r="C27" s="31"/>
      <c r="D27" s="32"/>
      <c r="E27" s="73"/>
      <c r="F27" s="31"/>
      <c r="G27" s="32"/>
      <c r="H27" s="79"/>
      <c r="J27" s="126">
        <v>45800.458333333336</v>
      </c>
      <c r="K27" s="54">
        <v>87.733999999999995</v>
      </c>
      <c r="L27" s="126">
        <v>45804.458333333336</v>
      </c>
      <c r="M27" s="54">
        <v>93.134</v>
      </c>
      <c r="X27" s="126">
        <v>45951.215277777781</v>
      </c>
      <c r="Y27" s="54">
        <v>92.183000000000007</v>
      </c>
      <c r="Z27" s="54">
        <v>98.761284223701779</v>
      </c>
    </row>
    <row r="28" spans="1:26" x14ac:dyDescent="0.3">
      <c r="A28" s="36">
        <v>45969</v>
      </c>
      <c r="B28" s="45"/>
      <c r="C28" s="31"/>
      <c r="D28" s="32"/>
      <c r="E28" s="73"/>
      <c r="F28" s="31"/>
      <c r="G28" s="32"/>
      <c r="H28" s="79"/>
      <c r="J28" s="126">
        <v>45804.458333333336</v>
      </c>
      <c r="K28" s="54">
        <v>88.012</v>
      </c>
      <c r="L28" s="126">
        <v>45805.458333333336</v>
      </c>
      <c r="M28" s="54">
        <v>93.113</v>
      </c>
      <c r="X28" s="126">
        <v>45951.222222222219</v>
      </c>
      <c r="Y28" s="54">
        <v>92.183999999999997</v>
      </c>
      <c r="Z28" s="54">
        <v>98.739803253903304</v>
      </c>
    </row>
    <row r="29" spans="1:26" x14ac:dyDescent="0.3">
      <c r="A29" s="36">
        <v>45970</v>
      </c>
      <c r="B29" s="45"/>
      <c r="C29" s="31"/>
      <c r="D29" s="31"/>
      <c r="E29" s="4"/>
      <c r="F29" s="31"/>
      <c r="G29" s="32"/>
      <c r="H29" s="79"/>
      <c r="J29" s="126">
        <v>45805.458333333336</v>
      </c>
      <c r="K29" s="54">
        <v>87.775999999999996</v>
      </c>
      <c r="L29" s="126">
        <v>45806.458333333336</v>
      </c>
      <c r="M29" s="54">
        <v>93.363</v>
      </c>
      <c r="X29" s="126">
        <v>45951.229166666664</v>
      </c>
      <c r="Y29" s="54">
        <v>92.183000000000007</v>
      </c>
      <c r="Z29" s="54">
        <v>98.761284223701779</v>
      </c>
    </row>
    <row r="30" spans="1:26" x14ac:dyDescent="0.3">
      <c r="B30" s="45"/>
      <c r="C30" s="31"/>
      <c r="D30" s="31"/>
      <c r="E30" s="4"/>
      <c r="F30" s="31"/>
      <c r="G30" s="32"/>
      <c r="H30" s="38"/>
      <c r="J30" s="126">
        <v>45806.458333333336</v>
      </c>
      <c r="K30" s="54">
        <v>88.138000000000005</v>
      </c>
      <c r="L30" s="126">
        <v>45807.458333333336</v>
      </c>
      <c r="M30" s="54">
        <v>93.372</v>
      </c>
      <c r="X30" s="126">
        <v>45951.236111111109</v>
      </c>
      <c r="Y30" s="54">
        <v>92.177000000000007</v>
      </c>
      <c r="Z30" s="54">
        <v>98.890175659945839</v>
      </c>
    </row>
    <row r="31" spans="1:26" x14ac:dyDescent="0.3">
      <c r="B31" s="45"/>
      <c r="C31" s="31"/>
      <c r="D31" s="31"/>
      <c r="E31" s="4"/>
      <c r="F31" s="31"/>
      <c r="G31" s="32"/>
      <c r="H31" s="38"/>
      <c r="J31" s="126">
        <v>45807.458333333336</v>
      </c>
      <c r="K31" s="54">
        <v>88.283000000000001</v>
      </c>
      <c r="L31" s="126">
        <v>45810.458333333336</v>
      </c>
      <c r="M31" s="54">
        <v>93.296000000000006</v>
      </c>
      <c r="X31" s="126">
        <v>45951.243055555555</v>
      </c>
      <c r="Y31" s="54">
        <v>92.165999999999997</v>
      </c>
      <c r="Z31" s="54">
        <v>99.126501641041415</v>
      </c>
    </row>
    <row r="32" spans="1:26" x14ac:dyDescent="0.3">
      <c r="B32" s="45"/>
      <c r="C32" s="31"/>
      <c r="D32" s="31"/>
      <c r="E32" s="4"/>
      <c r="F32" s="31"/>
      <c r="G32" s="32"/>
      <c r="H32" s="38"/>
      <c r="J32" s="126">
        <v>45810.458333333336</v>
      </c>
      <c r="K32" s="54">
        <v>88.168000000000006</v>
      </c>
      <c r="L32" s="126">
        <v>45811.458333333336</v>
      </c>
      <c r="M32" s="54">
        <v>93.328000000000003</v>
      </c>
      <c r="X32" s="126">
        <v>45951.25</v>
      </c>
      <c r="Y32" s="54">
        <v>92.161000000000001</v>
      </c>
      <c r="Z32" s="54">
        <v>99.233933244858846</v>
      </c>
    </row>
    <row r="33" spans="1:26" x14ac:dyDescent="0.3">
      <c r="B33" s="45"/>
      <c r="C33" s="31"/>
      <c r="D33" s="31"/>
      <c r="E33" s="4"/>
      <c r="F33" s="31"/>
      <c r="G33" s="32"/>
      <c r="H33" s="38"/>
      <c r="J33" s="126">
        <v>45811.458333333336</v>
      </c>
      <c r="K33" s="54">
        <v>88.138000000000005</v>
      </c>
      <c r="L33" s="126">
        <v>45812.458333333336</v>
      </c>
      <c r="M33" s="54">
        <v>93.358999999999995</v>
      </c>
      <c r="X33" s="126">
        <v>45951.256944444445</v>
      </c>
      <c r="Y33" s="54">
        <v>92.153999999999996</v>
      </c>
      <c r="Z33" s="54">
        <v>99.384348730721101</v>
      </c>
    </row>
    <row r="34" spans="1:26" x14ac:dyDescent="0.3">
      <c r="A34" s="15"/>
      <c r="B34" s="45"/>
      <c r="C34" s="31"/>
      <c r="D34" s="31"/>
      <c r="E34" s="4"/>
      <c r="F34" s="31"/>
      <c r="G34" s="32"/>
      <c r="H34" s="38"/>
      <c r="J34" s="126">
        <v>45812.458333333336</v>
      </c>
      <c r="K34" s="54">
        <v>88.638000000000005</v>
      </c>
      <c r="L34" s="126">
        <v>45813.458333333336</v>
      </c>
      <c r="M34" s="54">
        <v>93.161000000000001</v>
      </c>
      <c r="X34" s="126">
        <v>45951.263888888891</v>
      </c>
      <c r="Y34" s="54">
        <v>92.141999999999996</v>
      </c>
      <c r="Z34" s="54">
        <v>99.642234365123755</v>
      </c>
    </row>
    <row r="35" spans="1:26" x14ac:dyDescent="0.3">
      <c r="A35" s="15"/>
      <c r="B35" s="45"/>
      <c r="C35" s="31"/>
      <c r="D35" s="31"/>
      <c r="E35" s="4"/>
      <c r="F35" s="31"/>
      <c r="G35" s="32"/>
      <c r="H35" s="38"/>
      <c r="J35" s="126">
        <v>45813.458333333336</v>
      </c>
      <c r="K35" s="54">
        <v>88.436000000000007</v>
      </c>
      <c r="L35" s="126">
        <v>45814.458333333336</v>
      </c>
      <c r="M35" s="54">
        <v>93.331000000000003</v>
      </c>
      <c r="X35" s="126">
        <v>45951.270833333336</v>
      </c>
      <c r="Y35" s="54">
        <v>92.125</v>
      </c>
      <c r="Z35" s="54">
        <v>100.00763834965176</v>
      </c>
    </row>
    <row r="36" spans="1:26" x14ac:dyDescent="0.3">
      <c r="A36" s="15"/>
      <c r="B36" s="45"/>
      <c r="C36" s="31"/>
      <c r="D36" s="31"/>
      <c r="E36" s="4"/>
      <c r="F36" s="31"/>
      <c r="G36" s="32"/>
      <c r="H36" s="38"/>
      <c r="J36" s="126">
        <v>45814.458333333336</v>
      </c>
      <c r="K36" s="54">
        <v>87.953999999999994</v>
      </c>
      <c r="L36" s="126">
        <v>45817.458333333336</v>
      </c>
      <c r="M36" s="54">
        <v>93.54</v>
      </c>
      <c r="X36" s="126">
        <v>45951.277777777781</v>
      </c>
      <c r="Y36" s="54">
        <v>92.123000000000005</v>
      </c>
      <c r="Z36" s="54">
        <v>100.05063214236887</v>
      </c>
    </row>
    <row r="37" spans="1:26" x14ac:dyDescent="0.3">
      <c r="A37" s="15"/>
      <c r="B37" s="45"/>
      <c r="C37" s="31"/>
      <c r="D37" s="31"/>
      <c r="E37" s="4"/>
      <c r="F37" s="31"/>
      <c r="G37" s="32"/>
      <c r="H37" s="38"/>
      <c r="J37" s="126">
        <v>45817.458333333336</v>
      </c>
      <c r="K37" s="54">
        <v>88.063000000000002</v>
      </c>
      <c r="L37" s="126">
        <v>45818.458333333336</v>
      </c>
      <c r="M37" s="54">
        <v>93.78</v>
      </c>
      <c r="X37" s="126">
        <v>45951.284722222219</v>
      </c>
      <c r="Y37" s="54">
        <v>92.135000000000005</v>
      </c>
      <c r="Z37" s="54">
        <v>99.79268545638908</v>
      </c>
    </row>
    <row r="38" spans="1:26" x14ac:dyDescent="0.3">
      <c r="A38" s="15"/>
      <c r="B38" s="45"/>
      <c r="C38" s="31"/>
      <c r="D38" s="31"/>
      <c r="E38" s="4"/>
      <c r="F38" s="31"/>
      <c r="G38" s="32"/>
      <c r="H38" s="38"/>
      <c r="J38" s="126">
        <v>45818.458333333336</v>
      </c>
      <c r="K38" s="54">
        <v>88.051000000000002</v>
      </c>
      <c r="L38" s="126">
        <v>45819.458333333336</v>
      </c>
      <c r="M38" s="54">
        <v>93.763000000000005</v>
      </c>
      <c r="X38" s="126">
        <v>45951.291666666664</v>
      </c>
      <c r="Y38" s="54">
        <v>92.144999999999996</v>
      </c>
      <c r="Z38" s="54">
        <v>99.577759342354128</v>
      </c>
    </row>
    <row r="39" spans="1:26" x14ac:dyDescent="0.3">
      <c r="A39" s="15"/>
      <c r="B39" s="45"/>
      <c r="C39" s="31"/>
      <c r="D39" s="31"/>
      <c r="E39" s="4"/>
      <c r="F39" s="31"/>
      <c r="G39" s="32"/>
      <c r="H39" s="38"/>
      <c r="J39" s="126">
        <v>45819.458333333336</v>
      </c>
      <c r="K39" s="54">
        <v>88.361000000000004</v>
      </c>
      <c r="L39" s="126">
        <v>45820.458333333336</v>
      </c>
      <c r="M39" s="54">
        <v>93.879000000000005</v>
      </c>
      <c r="X39" s="126">
        <v>45951.298611111109</v>
      </c>
      <c r="Y39" s="54">
        <v>92.149000000000001</v>
      </c>
      <c r="Z39" s="54">
        <v>99.491796393506021</v>
      </c>
    </row>
    <row r="40" spans="1:26" x14ac:dyDescent="0.3">
      <c r="A40" s="15"/>
      <c r="B40" s="45"/>
      <c r="C40" s="31"/>
      <c r="D40" s="31"/>
      <c r="E40" s="4"/>
      <c r="F40" s="31"/>
      <c r="G40" s="32"/>
      <c r="H40" s="38"/>
      <c r="J40" s="126">
        <v>45820.458333333336</v>
      </c>
      <c r="K40" s="54">
        <v>88.655000000000001</v>
      </c>
      <c r="L40" s="126">
        <v>45821.458333333336</v>
      </c>
      <c r="M40" s="54">
        <v>93.524000000000001</v>
      </c>
      <c r="X40" s="126">
        <v>45951.305555555555</v>
      </c>
      <c r="Y40" s="54">
        <v>92.143000000000001</v>
      </c>
      <c r="Z40" s="54">
        <v>99.620742423128789</v>
      </c>
    </row>
    <row r="41" spans="1:26" ht="15" thickBot="1" x14ac:dyDescent="0.35">
      <c r="A41" s="16"/>
      <c r="B41" s="48"/>
      <c r="C41" s="49"/>
      <c r="D41" s="49"/>
      <c r="E41" s="11"/>
      <c r="F41" s="49"/>
      <c r="G41" s="50"/>
      <c r="H41" s="51"/>
      <c r="J41" s="126">
        <v>45821.458333333336</v>
      </c>
      <c r="K41" s="54">
        <v>88.366</v>
      </c>
      <c r="L41" s="126">
        <v>45824.458333333336</v>
      </c>
      <c r="M41" s="54">
        <v>93.775000000000006</v>
      </c>
      <c r="X41" s="126">
        <v>45951.3125</v>
      </c>
      <c r="Y41" s="54">
        <v>92.153999999999996</v>
      </c>
      <c r="Z41" s="54">
        <v>99.384348730721101</v>
      </c>
    </row>
    <row r="42" spans="1:26" x14ac:dyDescent="0.3">
      <c r="B42" s="56"/>
      <c r="C42" s="56"/>
      <c r="D42" s="56"/>
      <c r="F42" s="55"/>
      <c r="G42" s="55"/>
      <c r="H42" s="55"/>
      <c r="J42" s="126">
        <v>45824.458333333336</v>
      </c>
      <c r="K42" s="54">
        <v>88.424999999999997</v>
      </c>
      <c r="L42" s="126">
        <v>45825.458333333336</v>
      </c>
      <c r="M42" s="54">
        <v>93.706999999999994</v>
      </c>
      <c r="X42" s="126">
        <v>45951.319444444445</v>
      </c>
      <c r="Y42" s="54">
        <v>92.177000000000007</v>
      </c>
      <c r="Z42" s="54">
        <v>98.890175659945839</v>
      </c>
    </row>
    <row r="43" spans="1:26" x14ac:dyDescent="0.3">
      <c r="B43" s="56"/>
      <c r="C43" s="56"/>
      <c r="D43" s="56"/>
      <c r="F43" s="55"/>
      <c r="G43" s="55"/>
      <c r="H43" s="55"/>
      <c r="J43" s="126">
        <v>45825.458333333336</v>
      </c>
      <c r="K43" s="54">
        <v>88.435000000000002</v>
      </c>
      <c r="L43" s="126">
        <v>45826.458333333336</v>
      </c>
      <c r="M43" s="54">
        <v>93.816000000000003</v>
      </c>
      <c r="X43" s="126">
        <v>45951.326388888891</v>
      </c>
      <c r="Y43" s="54">
        <v>92.177000000000007</v>
      </c>
      <c r="Z43" s="54">
        <v>98.890175659945839</v>
      </c>
    </row>
    <row r="44" spans="1:26" x14ac:dyDescent="0.3">
      <c r="B44" s="56"/>
      <c r="C44" s="56"/>
      <c r="D44" s="56"/>
      <c r="F44" s="55"/>
      <c r="G44" s="55"/>
      <c r="H44" s="55"/>
      <c r="J44" s="126">
        <v>45826.458333333336</v>
      </c>
      <c r="K44" s="54">
        <v>88.698999999999998</v>
      </c>
      <c r="L44" s="126">
        <v>45827.458333333336</v>
      </c>
      <c r="M44" s="54">
        <v>93.676000000000002</v>
      </c>
      <c r="X44" s="126">
        <v>45951.333333333336</v>
      </c>
      <c r="Y44" s="54">
        <v>92.18</v>
      </c>
      <c r="Z44" s="54">
        <v>98.82572873804007</v>
      </c>
    </row>
    <row r="45" spans="1:26" x14ac:dyDescent="0.3">
      <c r="B45" s="56"/>
      <c r="C45" s="56"/>
      <c r="D45" s="56"/>
      <c r="F45" s="55"/>
      <c r="G45" s="55"/>
      <c r="H45" s="55"/>
      <c r="J45" s="126">
        <v>45828.458333333336</v>
      </c>
      <c r="K45" s="54">
        <v>88.611000000000004</v>
      </c>
      <c r="L45" s="126">
        <v>45828.458333333336</v>
      </c>
      <c r="M45" s="54">
        <v>93.81</v>
      </c>
      <c r="X45" s="126">
        <v>45951.340277777781</v>
      </c>
      <c r="Y45" s="54">
        <v>92.168999999999997</v>
      </c>
      <c r="Z45" s="54">
        <v>99.062045889949374</v>
      </c>
    </row>
    <row r="46" spans="1:26" x14ac:dyDescent="0.3">
      <c r="B46" s="56"/>
      <c r="C46" s="56"/>
      <c r="D46" s="56"/>
      <c r="J46" s="126">
        <v>45831.458333333336</v>
      </c>
      <c r="K46" s="54">
        <v>89.036000000000001</v>
      </c>
      <c r="L46" s="126">
        <v>45831.458333333336</v>
      </c>
      <c r="M46" s="54">
        <v>93.834999999999994</v>
      </c>
      <c r="X46" s="126">
        <v>45951.347222222219</v>
      </c>
      <c r="Y46" s="54">
        <v>92.195999999999998</v>
      </c>
      <c r="Z46" s="54">
        <v>98.482052478087169</v>
      </c>
    </row>
    <row r="47" spans="1:26" x14ac:dyDescent="0.3">
      <c r="B47" s="56"/>
      <c r="C47" s="56"/>
      <c r="D47" s="56"/>
      <c r="J47" s="126">
        <v>45832.458333333336</v>
      </c>
      <c r="K47" s="54">
        <v>89.284999999999997</v>
      </c>
      <c r="L47" s="126">
        <v>45832.458333333336</v>
      </c>
      <c r="M47" s="54">
        <v>93.935000000000002</v>
      </c>
      <c r="X47" s="126">
        <v>45951.354166666664</v>
      </c>
      <c r="Y47" s="54">
        <v>92.186999999999998</v>
      </c>
      <c r="Z47" s="54">
        <v>98.675361949375201</v>
      </c>
    </row>
    <row r="48" spans="1:26" x14ac:dyDescent="0.3">
      <c r="B48" s="56"/>
      <c r="C48" s="56"/>
      <c r="D48" s="56"/>
      <c r="J48" s="126">
        <v>45833.458333333336</v>
      </c>
      <c r="K48" s="54">
        <v>89.3</v>
      </c>
      <c r="L48" s="126">
        <v>45833.458333333336</v>
      </c>
      <c r="M48" s="54">
        <v>93.873000000000005</v>
      </c>
      <c r="X48" s="126">
        <v>45951.361111111109</v>
      </c>
      <c r="Y48" s="54">
        <v>92.171999999999997</v>
      </c>
      <c r="Z48" s="54">
        <v>98.997592547046537</v>
      </c>
    </row>
    <row r="49" spans="2:26" x14ac:dyDescent="0.3">
      <c r="B49" s="56"/>
      <c r="C49" s="56"/>
      <c r="D49" s="56"/>
      <c r="J49" s="126">
        <v>45834.458333333336</v>
      </c>
      <c r="K49" s="54">
        <v>89.47</v>
      </c>
      <c r="L49" s="126">
        <v>45834.458333333336</v>
      </c>
      <c r="M49" s="54">
        <v>93.894000000000005</v>
      </c>
      <c r="X49" s="126">
        <v>45951.368055555555</v>
      </c>
      <c r="Y49" s="54">
        <v>92.183000000000007</v>
      </c>
      <c r="Z49" s="54">
        <v>98.761284223701779</v>
      </c>
    </row>
    <row r="50" spans="2:26" x14ac:dyDescent="0.3">
      <c r="B50" s="56"/>
      <c r="C50" s="56"/>
      <c r="D50" s="56"/>
      <c r="J50" s="126">
        <v>45835.458333333336</v>
      </c>
      <c r="K50" s="54">
        <v>89.665999999999997</v>
      </c>
      <c r="L50" s="126">
        <v>45835.458333333336</v>
      </c>
      <c r="M50" s="54">
        <v>93.808999999999997</v>
      </c>
      <c r="X50" s="126">
        <v>45951.375</v>
      </c>
      <c r="Y50" s="54">
        <v>92.194000000000003</v>
      </c>
      <c r="Z50" s="54">
        <v>98.525008266369113</v>
      </c>
    </row>
    <row r="51" spans="2:26" x14ac:dyDescent="0.3">
      <c r="B51" s="56"/>
      <c r="C51" s="56"/>
      <c r="D51" s="56"/>
      <c r="J51" s="126">
        <v>45838.458333333336</v>
      </c>
      <c r="K51" s="54">
        <v>89.763999999999996</v>
      </c>
      <c r="L51" s="126">
        <v>45838.458333333336</v>
      </c>
      <c r="M51" s="54">
        <v>93.784000000000006</v>
      </c>
      <c r="X51" s="126">
        <v>45951.381944444445</v>
      </c>
      <c r="Y51" s="54">
        <v>92.21</v>
      </c>
      <c r="Z51" s="54">
        <v>98.181391906643213</v>
      </c>
    </row>
    <row r="52" spans="2:26" x14ac:dyDescent="0.3">
      <c r="B52" s="56"/>
      <c r="C52" s="56"/>
      <c r="D52" s="56"/>
      <c r="J52" s="126">
        <v>45839.458333333336</v>
      </c>
      <c r="K52" s="54">
        <v>89.605999999999995</v>
      </c>
      <c r="L52" s="126">
        <v>45839.458333333336</v>
      </c>
      <c r="M52" s="54">
        <v>93.933000000000007</v>
      </c>
      <c r="X52" s="126">
        <v>45951.388888888891</v>
      </c>
      <c r="Y52" s="54">
        <v>92.218999999999994</v>
      </c>
      <c r="Z52" s="54">
        <v>97.988137779084767</v>
      </c>
    </row>
    <row r="53" spans="2:26" x14ac:dyDescent="0.3">
      <c r="B53" s="56"/>
      <c r="C53" s="56"/>
      <c r="D53" s="56"/>
      <c r="J53" s="126">
        <v>45840.458333333336</v>
      </c>
      <c r="K53" s="54">
        <v>89.700999999999993</v>
      </c>
      <c r="L53" s="126">
        <v>45840.458333333336</v>
      </c>
      <c r="M53" s="54">
        <v>93.94</v>
      </c>
      <c r="X53" s="126">
        <v>45951.395833333336</v>
      </c>
      <c r="Y53" s="54">
        <v>92.227999999999994</v>
      </c>
      <c r="Z53" s="54">
        <v>97.794905299569692</v>
      </c>
    </row>
    <row r="54" spans="2:26" x14ac:dyDescent="0.3">
      <c r="J54" s="126">
        <v>45841.458333333336</v>
      </c>
      <c r="K54" s="54">
        <v>89.703000000000003</v>
      </c>
      <c r="L54" s="126">
        <v>45841.458333333336</v>
      </c>
      <c r="M54" s="54">
        <v>94.162000000000006</v>
      </c>
      <c r="X54" s="126">
        <v>45951.402777777781</v>
      </c>
      <c r="Y54" s="54">
        <v>92.244</v>
      </c>
      <c r="Z54" s="54">
        <v>97.451434329131061</v>
      </c>
    </row>
    <row r="55" spans="2:26" x14ac:dyDescent="0.3">
      <c r="J55" s="126">
        <v>45845.458333333336</v>
      </c>
      <c r="K55" s="54">
        <v>89.608999999999995</v>
      </c>
      <c r="L55" s="126">
        <v>45842.458333333336</v>
      </c>
      <c r="M55" s="54">
        <v>94.206999999999994</v>
      </c>
      <c r="X55" s="126">
        <v>45951.409722222219</v>
      </c>
      <c r="Y55" s="54">
        <v>92.248000000000005</v>
      </c>
      <c r="Z55" s="54">
        <v>97.36557727159645</v>
      </c>
    </row>
    <row r="56" spans="2:26" x14ac:dyDescent="0.3">
      <c r="J56" s="126">
        <v>45846.458333333336</v>
      </c>
      <c r="K56" s="54">
        <v>89.358999999999995</v>
      </c>
      <c r="L56" s="126">
        <v>45845.458333333336</v>
      </c>
      <c r="M56" s="54">
        <v>94.128</v>
      </c>
      <c r="X56" s="126">
        <v>45952.041666666664</v>
      </c>
      <c r="Y56" s="54">
        <v>92.105999999999995</v>
      </c>
      <c r="Z56" s="54">
        <v>100.4161226463729</v>
      </c>
    </row>
    <row r="57" spans="2:26" x14ac:dyDescent="0.3">
      <c r="J57" s="126">
        <v>45847.458333333336</v>
      </c>
      <c r="K57" s="54">
        <v>89.433999999999997</v>
      </c>
      <c r="L57" s="126">
        <v>45846.458333333336</v>
      </c>
      <c r="M57" s="54">
        <v>94.018000000000001</v>
      </c>
      <c r="X57" s="126">
        <v>45952.048611111109</v>
      </c>
      <c r="Y57" s="54">
        <v>92.103999999999999</v>
      </c>
      <c r="Z57" s="54">
        <v>100.45912662015044</v>
      </c>
    </row>
    <row r="58" spans="2:26" x14ac:dyDescent="0.3">
      <c r="J58" s="126">
        <v>45848.458333333336</v>
      </c>
      <c r="K58" s="54">
        <v>89.563000000000002</v>
      </c>
      <c r="L58" s="126">
        <v>45847.458333333336</v>
      </c>
      <c r="M58" s="54">
        <v>94.034000000000006</v>
      </c>
      <c r="X58" s="126">
        <v>45952.055555555555</v>
      </c>
      <c r="Y58" s="54">
        <v>92.093000000000004</v>
      </c>
      <c r="Z58" s="54">
        <v>100.69566763849625</v>
      </c>
    </row>
    <row r="59" spans="2:26" x14ac:dyDescent="0.3">
      <c r="J59" s="126">
        <v>45849.458333333336</v>
      </c>
      <c r="K59" s="54">
        <v>89.448999999999998</v>
      </c>
      <c r="L59" s="126">
        <v>45848.458333333336</v>
      </c>
      <c r="M59" s="54">
        <v>93.950999999999993</v>
      </c>
      <c r="X59" s="126">
        <v>45952.0625</v>
      </c>
      <c r="Y59" s="54">
        <v>92.08</v>
      </c>
      <c r="Z59" s="54">
        <v>100.97525793262618</v>
      </c>
    </row>
    <row r="60" spans="2:26" x14ac:dyDescent="0.3">
      <c r="J60" s="126">
        <v>45852.458333333336</v>
      </c>
      <c r="K60" s="54">
        <v>89.412999999999997</v>
      </c>
      <c r="L60" s="126">
        <v>45849.458333333336</v>
      </c>
      <c r="M60" s="54">
        <v>93.86</v>
      </c>
      <c r="X60" s="126">
        <v>45952.069444444445</v>
      </c>
      <c r="Y60" s="54">
        <v>92.075000000000003</v>
      </c>
      <c r="Z60" s="54">
        <v>101.08280472675868</v>
      </c>
    </row>
    <row r="61" spans="2:26" x14ac:dyDescent="0.3">
      <c r="J61" s="126">
        <v>45853.458333333336</v>
      </c>
      <c r="K61" s="54">
        <v>89.281999999999996</v>
      </c>
      <c r="L61" s="126">
        <v>45852.458333333336</v>
      </c>
      <c r="M61" s="54">
        <v>93.9</v>
      </c>
      <c r="X61" s="126">
        <v>45952.076388888891</v>
      </c>
      <c r="Y61" s="54">
        <v>92.073999999999998</v>
      </c>
      <c r="Z61" s="54">
        <v>101.10431489008032</v>
      </c>
    </row>
    <row r="62" spans="2:26" x14ac:dyDescent="0.3">
      <c r="J62" s="126">
        <v>45854.458333333336</v>
      </c>
      <c r="K62" s="54">
        <v>89.39</v>
      </c>
      <c r="L62" s="126">
        <v>45853.458333333336</v>
      </c>
      <c r="M62" s="54">
        <v>93.951999999999998</v>
      </c>
      <c r="X62" s="126">
        <v>45952.083333333336</v>
      </c>
      <c r="Y62" s="54">
        <v>92.097999999999999</v>
      </c>
      <c r="Z62" s="54">
        <v>100.58814497341805</v>
      </c>
    </row>
    <row r="63" spans="2:26" x14ac:dyDescent="0.3">
      <c r="J63" s="126">
        <v>45855.458333333336</v>
      </c>
      <c r="K63" s="54">
        <v>89.536000000000001</v>
      </c>
      <c r="L63" s="126">
        <v>45854.458333333336</v>
      </c>
      <c r="M63" s="54">
        <v>93.956999999999994</v>
      </c>
      <c r="X63" s="126">
        <v>45952.090277777781</v>
      </c>
      <c r="Y63" s="54">
        <v>92.106999999999999</v>
      </c>
      <c r="Z63" s="54">
        <v>100.39462106145591</v>
      </c>
    </row>
    <row r="64" spans="2:26" x14ac:dyDescent="0.3">
      <c r="J64" s="126">
        <v>45856.458333333336</v>
      </c>
      <c r="K64" s="54">
        <v>89.765000000000001</v>
      </c>
      <c r="L64" s="126">
        <v>45855.458333333336</v>
      </c>
      <c r="M64" s="54">
        <v>93.971999999999994</v>
      </c>
      <c r="X64" s="126">
        <v>45952.097222222219</v>
      </c>
      <c r="Y64" s="54">
        <v>92.114999999999995</v>
      </c>
      <c r="Z64" s="54">
        <v>100.22261802849263</v>
      </c>
    </row>
    <row r="65" spans="10:26" x14ac:dyDescent="0.3">
      <c r="J65" s="126">
        <v>45859.458333333336</v>
      </c>
      <c r="K65" s="54">
        <v>90.034000000000006</v>
      </c>
      <c r="L65" s="126">
        <v>45856.458333333336</v>
      </c>
      <c r="M65" s="54">
        <v>94.034999999999997</v>
      </c>
      <c r="X65" s="126">
        <v>45952.104166666664</v>
      </c>
      <c r="Y65" s="54">
        <v>92.113</v>
      </c>
      <c r="Z65" s="54">
        <v>100.26561717909277</v>
      </c>
    </row>
    <row r="66" spans="10:26" x14ac:dyDescent="0.3">
      <c r="J66" s="126">
        <v>45860.458333333336</v>
      </c>
      <c r="K66" s="54">
        <v>90.06</v>
      </c>
      <c r="L66" s="126">
        <v>45859.458333333336</v>
      </c>
      <c r="M66" s="54">
        <v>94.257999999999996</v>
      </c>
      <c r="X66" s="126">
        <v>45952.111111111109</v>
      </c>
      <c r="Y66" s="54">
        <v>92.138999999999996</v>
      </c>
      <c r="Z66" s="54">
        <v>99.706711797623583</v>
      </c>
    </row>
    <row r="67" spans="10:26" x14ac:dyDescent="0.3">
      <c r="J67" s="126">
        <v>45861.458333333336</v>
      </c>
      <c r="K67" s="54">
        <v>89.918000000000006</v>
      </c>
      <c r="L67" s="126">
        <v>45860.458333333336</v>
      </c>
      <c r="M67" s="54">
        <v>94.302999999999997</v>
      </c>
      <c r="X67" s="126">
        <v>45952.118055555555</v>
      </c>
      <c r="Y67" s="54">
        <v>92.153999999999996</v>
      </c>
      <c r="Z67" s="54">
        <v>99.384348730721101</v>
      </c>
    </row>
    <row r="68" spans="10:26" x14ac:dyDescent="0.3">
      <c r="J68" s="126">
        <v>45862.458333333336</v>
      </c>
      <c r="K68" s="54">
        <v>89.781999999999996</v>
      </c>
      <c r="L68" s="126">
        <v>45861.458333333336</v>
      </c>
      <c r="M68" s="54">
        <v>94.233000000000004</v>
      </c>
      <c r="X68" s="126">
        <v>45952.125</v>
      </c>
      <c r="Y68" s="54">
        <v>92.147999999999996</v>
      </c>
      <c r="Z68" s="54">
        <v>99.51328672915038</v>
      </c>
    </row>
    <row r="69" spans="10:26" x14ac:dyDescent="0.3">
      <c r="J69" s="126">
        <v>45863.458333333336</v>
      </c>
      <c r="K69" s="54">
        <v>89.983000000000004</v>
      </c>
      <c r="L69" s="126">
        <v>45862.458333333336</v>
      </c>
      <c r="M69" s="54">
        <v>94.013999999999996</v>
      </c>
      <c r="X69" s="126">
        <v>45952.131944444445</v>
      </c>
      <c r="Y69" s="54">
        <v>92.126000000000005</v>
      </c>
      <c r="Z69" s="54">
        <v>99.986141855080703</v>
      </c>
    </row>
    <row r="70" spans="10:26" x14ac:dyDescent="0.3">
      <c r="J70" s="126">
        <v>45866.458333333336</v>
      </c>
      <c r="K70" s="54">
        <v>89.838999999999999</v>
      </c>
      <c r="L70" s="126">
        <v>45863.458333333336</v>
      </c>
      <c r="M70" s="54">
        <v>93.938000000000002</v>
      </c>
      <c r="X70" s="126">
        <v>45952.138888888891</v>
      </c>
      <c r="Y70" s="54">
        <v>92.135999999999996</v>
      </c>
      <c r="Z70" s="54">
        <v>99.771191640022352</v>
      </c>
    </row>
    <row r="71" spans="10:26" x14ac:dyDescent="0.3">
      <c r="J71" s="126">
        <v>45867.458333333336</v>
      </c>
      <c r="K71" s="54">
        <v>90.07</v>
      </c>
      <c r="L71" s="126">
        <v>45866.458333333336</v>
      </c>
      <c r="M71" s="54">
        <v>94.12</v>
      </c>
      <c r="X71" s="126">
        <v>45952.145833333336</v>
      </c>
      <c r="Y71" s="54">
        <v>92.141999999999996</v>
      </c>
      <c r="Z71" s="54">
        <v>99.642234365123755</v>
      </c>
    </row>
    <row r="72" spans="10:26" x14ac:dyDescent="0.3">
      <c r="J72" s="126">
        <v>45868.458333333336</v>
      </c>
      <c r="K72" s="54">
        <v>90.061000000000007</v>
      </c>
      <c r="L72" s="126">
        <v>45867.458333333336</v>
      </c>
      <c r="M72" s="54">
        <v>94.058000000000007</v>
      </c>
      <c r="X72" s="126">
        <v>45952.152777777781</v>
      </c>
      <c r="Y72" s="54">
        <v>92.15</v>
      </c>
      <c r="Z72" s="54">
        <v>99.47030632556752</v>
      </c>
    </row>
    <row r="73" spans="10:26" x14ac:dyDescent="0.3">
      <c r="J73" s="126">
        <v>45869.458333333336</v>
      </c>
      <c r="K73" s="54">
        <v>90.152000000000001</v>
      </c>
      <c r="L73" s="126">
        <v>45868.458333333336</v>
      </c>
      <c r="M73" s="54">
        <v>94.082999999999998</v>
      </c>
      <c r="X73" s="126">
        <v>45952.159722222219</v>
      </c>
      <c r="Y73" s="54">
        <v>92.15</v>
      </c>
      <c r="Z73" s="54">
        <v>99.47030632556752</v>
      </c>
    </row>
    <row r="74" spans="10:26" x14ac:dyDescent="0.3">
      <c r="J74" s="126">
        <v>45870.458333333336</v>
      </c>
      <c r="K74" s="54">
        <v>90.561000000000007</v>
      </c>
      <c r="L74" s="126">
        <v>45869.458333333336</v>
      </c>
      <c r="M74" s="54">
        <v>94.119</v>
      </c>
      <c r="X74" s="126">
        <v>45952.166666666664</v>
      </c>
      <c r="Y74" s="54">
        <v>92.149000000000001</v>
      </c>
      <c r="Z74" s="54">
        <v>99.491796393506021</v>
      </c>
    </row>
    <row r="75" spans="10:26" x14ac:dyDescent="0.3">
      <c r="J75" s="126">
        <v>45873.458333333336</v>
      </c>
      <c r="K75" s="54">
        <v>90.811000000000007</v>
      </c>
      <c r="L75" s="126">
        <v>45870.458333333336</v>
      </c>
      <c r="M75" s="54">
        <v>94.025000000000006</v>
      </c>
      <c r="X75" s="126">
        <v>45952.173611111109</v>
      </c>
      <c r="Y75" s="54">
        <v>92.153000000000006</v>
      </c>
      <c r="Z75" s="54">
        <v>99.405837727907226</v>
      </c>
    </row>
    <row r="76" spans="10:26" x14ac:dyDescent="0.3">
      <c r="J76" s="126">
        <v>45874.458333333336</v>
      </c>
      <c r="K76" s="54">
        <v>90.751999999999995</v>
      </c>
      <c r="L76" s="126">
        <v>45873.458333333336</v>
      </c>
      <c r="M76" s="54">
        <v>94.286000000000001</v>
      </c>
      <c r="X76" s="126">
        <v>45952.180555555555</v>
      </c>
      <c r="Y76" s="54">
        <v>92.155000000000001</v>
      </c>
      <c r="Z76" s="54">
        <v>99.362860001200872</v>
      </c>
    </row>
    <row r="77" spans="10:26" x14ac:dyDescent="0.3">
      <c r="J77" s="126">
        <v>45875.458333333336</v>
      </c>
      <c r="K77" s="54">
        <v>90.683999999999997</v>
      </c>
      <c r="L77" s="126">
        <v>45874.458333333336</v>
      </c>
      <c r="M77" s="54">
        <v>94.4</v>
      </c>
      <c r="X77" s="126">
        <v>45952.1875</v>
      </c>
      <c r="Y77" s="54">
        <v>92.155000000000001</v>
      </c>
      <c r="Z77" s="54">
        <v>99.362860001200872</v>
      </c>
    </row>
    <row r="78" spans="10:26" x14ac:dyDescent="0.3">
      <c r="J78" s="126">
        <v>45876.458333333336</v>
      </c>
      <c r="K78" s="54">
        <v>90.816000000000003</v>
      </c>
      <c r="L78" s="126">
        <v>45875.458333333336</v>
      </c>
      <c r="M78" s="54">
        <v>94.322000000000003</v>
      </c>
      <c r="X78" s="126">
        <v>45952.194444444445</v>
      </c>
      <c r="Y78" s="54">
        <v>92.147999999999996</v>
      </c>
      <c r="Z78" s="54">
        <v>99.51328672915038</v>
      </c>
    </row>
    <row r="79" spans="10:26" x14ac:dyDescent="0.3">
      <c r="J79" s="126">
        <v>45877.458333333336</v>
      </c>
      <c r="K79" s="54">
        <v>90.552999999999997</v>
      </c>
      <c r="L79" s="126">
        <v>45876.458333333336</v>
      </c>
      <c r="M79" s="54">
        <v>94.423000000000002</v>
      </c>
      <c r="X79" s="126">
        <v>45952.201388888891</v>
      </c>
      <c r="Y79" s="54">
        <v>92.153000000000006</v>
      </c>
      <c r="Z79" s="54">
        <v>99.405837727907226</v>
      </c>
    </row>
    <row r="80" spans="10:26" x14ac:dyDescent="0.3">
      <c r="J80" s="126">
        <v>45880.458333333336</v>
      </c>
      <c r="K80" s="54">
        <v>90.602999999999994</v>
      </c>
      <c r="L80" s="126">
        <v>45877.458333333336</v>
      </c>
      <c r="M80" s="54">
        <v>94.281999999999996</v>
      </c>
      <c r="X80" s="126">
        <v>45952.208333333336</v>
      </c>
      <c r="Y80" s="54">
        <v>92.132999999999996</v>
      </c>
      <c r="Z80" s="54">
        <v>99.835673892497695</v>
      </c>
    </row>
    <row r="81" spans="10:26" x14ac:dyDescent="0.3">
      <c r="J81" s="126">
        <v>45881.458333333336</v>
      </c>
      <c r="K81" s="54">
        <v>90.701999999999998</v>
      </c>
      <c r="L81" s="126">
        <v>45880.458333333336</v>
      </c>
      <c r="M81" s="54">
        <v>94.316000000000003</v>
      </c>
      <c r="X81" s="126">
        <v>45952.215277777781</v>
      </c>
      <c r="Y81" s="54">
        <v>92.132999999999996</v>
      </c>
      <c r="Z81" s="54">
        <v>99.835673892497695</v>
      </c>
    </row>
    <row r="82" spans="10:26" x14ac:dyDescent="0.3">
      <c r="J82" s="126">
        <v>45882.458333333336</v>
      </c>
      <c r="K82" s="54">
        <v>90.99</v>
      </c>
      <c r="L82" s="126">
        <v>45881.458333333336</v>
      </c>
      <c r="M82" s="54">
        <v>94.262</v>
      </c>
      <c r="X82" s="126">
        <v>45952.222222222219</v>
      </c>
      <c r="Y82" s="54">
        <v>92.135999999999996</v>
      </c>
      <c r="Z82" s="54">
        <v>99.771191640022352</v>
      </c>
    </row>
    <row r="83" spans="10:26" x14ac:dyDescent="0.3">
      <c r="J83" s="126">
        <v>45883.458333333336</v>
      </c>
      <c r="K83" s="54">
        <v>90.77</v>
      </c>
      <c r="L83" s="126">
        <v>45882.458333333336</v>
      </c>
      <c r="M83" s="54">
        <v>94.546000000000006</v>
      </c>
      <c r="X83" s="126">
        <v>45952.229166666664</v>
      </c>
      <c r="Y83" s="54">
        <v>92.113</v>
      </c>
      <c r="Z83" s="54">
        <v>100.26561717909277</v>
      </c>
    </row>
    <row r="84" spans="10:26" x14ac:dyDescent="0.3">
      <c r="J84" s="126">
        <v>45884.458333333336</v>
      </c>
      <c r="K84" s="54">
        <v>90.805999999999997</v>
      </c>
      <c r="L84" s="126">
        <v>45883.458333333336</v>
      </c>
      <c r="M84" s="54">
        <v>94.486999999999995</v>
      </c>
      <c r="X84" s="126">
        <v>45952.236111111109</v>
      </c>
      <c r="Y84" s="54">
        <v>92.111000000000004</v>
      </c>
      <c r="Z84" s="54">
        <v>100.30861740141783</v>
      </c>
    </row>
    <row r="85" spans="10:26" x14ac:dyDescent="0.3">
      <c r="J85" s="126">
        <v>45887.458333333336</v>
      </c>
      <c r="K85" s="54">
        <v>90.697999999999993</v>
      </c>
      <c r="L85" s="126">
        <v>45884.458333333336</v>
      </c>
      <c r="M85" s="54">
        <v>94.337000000000003</v>
      </c>
      <c r="X85" s="126">
        <v>45952.243055555555</v>
      </c>
      <c r="Y85" s="54">
        <v>92.117000000000004</v>
      </c>
      <c r="Z85" s="54">
        <v>100.17961994957747</v>
      </c>
    </row>
    <row r="86" spans="10:26" x14ac:dyDescent="0.3">
      <c r="J86" s="126">
        <v>45888.458333333336</v>
      </c>
      <c r="K86" s="54">
        <v>90.763999999999996</v>
      </c>
      <c r="L86" s="126">
        <v>45887.458333333336</v>
      </c>
      <c r="M86" s="54">
        <v>94.403000000000006</v>
      </c>
      <c r="X86" s="126">
        <v>45952.25</v>
      </c>
      <c r="Y86" s="54">
        <v>92.132999999999996</v>
      </c>
      <c r="Z86" s="54">
        <v>99.835673892497695</v>
      </c>
    </row>
    <row r="87" spans="10:26" x14ac:dyDescent="0.3">
      <c r="J87" s="126">
        <v>45889.458333333336</v>
      </c>
      <c r="K87" s="54">
        <v>90.885000000000005</v>
      </c>
      <c r="L87" s="126">
        <v>45888.458333333336</v>
      </c>
      <c r="M87" s="54">
        <v>94.435000000000002</v>
      </c>
      <c r="X87" s="126">
        <v>45952.256944444445</v>
      </c>
      <c r="Y87" s="54">
        <v>92.132999999999996</v>
      </c>
      <c r="Z87" s="54">
        <v>99.835673892497695</v>
      </c>
    </row>
    <row r="88" spans="10:26" x14ac:dyDescent="0.3">
      <c r="J88" s="126">
        <v>45890.458333333336</v>
      </c>
      <c r="K88" s="54">
        <v>90.597999999999999</v>
      </c>
      <c r="L88" s="126">
        <v>45889.458333333336</v>
      </c>
      <c r="M88" s="54">
        <v>94.450999999999993</v>
      </c>
      <c r="X88" s="126">
        <v>45952.263888888891</v>
      </c>
      <c r="Y88" s="54">
        <v>92.132999999999996</v>
      </c>
      <c r="Z88" s="54">
        <v>99.835673892497695</v>
      </c>
    </row>
    <row r="89" spans="10:26" x14ac:dyDescent="0.3">
      <c r="J89" s="126">
        <v>45891.458333333336</v>
      </c>
      <c r="K89" s="54">
        <v>91.111000000000004</v>
      </c>
      <c r="L89" s="126">
        <v>45890.458333333336</v>
      </c>
      <c r="M89" s="54">
        <v>94.131</v>
      </c>
      <c r="X89" s="126">
        <v>45952.270833333336</v>
      </c>
      <c r="Y89" s="54">
        <v>92.13</v>
      </c>
      <c r="Z89" s="54">
        <v>99.900158555218383</v>
      </c>
    </row>
    <row r="90" spans="10:26" x14ac:dyDescent="0.3">
      <c r="J90" s="126">
        <v>45894.458333333336</v>
      </c>
      <c r="K90" s="54">
        <v>91.042000000000002</v>
      </c>
      <c r="L90" s="126">
        <v>45891.458333333336</v>
      </c>
      <c r="M90" s="54">
        <v>94.298000000000002</v>
      </c>
      <c r="X90" s="126">
        <v>45952.277777777781</v>
      </c>
      <c r="Y90" s="54">
        <v>92.13</v>
      </c>
      <c r="Z90" s="54">
        <v>99.900158555218383</v>
      </c>
    </row>
    <row r="91" spans="10:26" x14ac:dyDescent="0.3">
      <c r="J91" s="126">
        <v>45895.458333333336</v>
      </c>
      <c r="K91" s="54">
        <v>91.114000000000004</v>
      </c>
      <c r="L91" s="126">
        <v>45894.458333333336</v>
      </c>
      <c r="M91" s="54">
        <v>94.162000000000006</v>
      </c>
      <c r="X91" s="126">
        <v>45952.284722222219</v>
      </c>
      <c r="Y91" s="54">
        <v>92.137</v>
      </c>
      <c r="Z91" s="54">
        <v>99.74969809144585</v>
      </c>
    </row>
    <row r="92" spans="10:26" x14ac:dyDescent="0.3">
      <c r="J92" s="126">
        <v>45896.458333333336</v>
      </c>
      <c r="K92" s="54">
        <v>91.132000000000005</v>
      </c>
      <c r="L92" s="126">
        <v>45895.458333333336</v>
      </c>
      <c r="M92" s="54">
        <v>94.253</v>
      </c>
      <c r="X92" s="126">
        <v>45952.291666666664</v>
      </c>
      <c r="Y92" s="54">
        <v>92.144999999999996</v>
      </c>
      <c r="Z92" s="54">
        <v>99.577759342354128</v>
      </c>
    </row>
    <row r="93" spans="10:26" x14ac:dyDescent="0.3">
      <c r="J93" s="126">
        <v>45897.458333333336</v>
      </c>
      <c r="K93" s="54">
        <v>91.364000000000004</v>
      </c>
      <c r="L93" s="126">
        <v>45896.458333333336</v>
      </c>
      <c r="M93" s="54">
        <v>94.299000000000007</v>
      </c>
      <c r="X93" s="126">
        <v>45952.298611111109</v>
      </c>
      <c r="Y93" s="54">
        <v>92.147999999999996</v>
      </c>
      <c r="Z93" s="54">
        <v>99.51328672915038</v>
      </c>
    </row>
    <row r="94" spans="10:26" x14ac:dyDescent="0.3">
      <c r="J94" s="126">
        <v>45898.458333333336</v>
      </c>
      <c r="K94" s="54">
        <v>91.293999999999997</v>
      </c>
      <c r="L94" s="126">
        <v>45897.458333333336</v>
      </c>
      <c r="M94" s="54">
        <v>94.256</v>
      </c>
      <c r="X94" s="126">
        <v>45952.305555555555</v>
      </c>
      <c r="Y94" s="54">
        <v>92.152000000000001</v>
      </c>
      <c r="Z94" s="54">
        <v>99.427326992777012</v>
      </c>
    </row>
    <row r="95" spans="10:26" x14ac:dyDescent="0.3">
      <c r="J95" s="126">
        <v>45902.458333333336</v>
      </c>
      <c r="K95" s="54">
        <v>91.06</v>
      </c>
      <c r="L95" s="126">
        <v>45898.458333333336</v>
      </c>
      <c r="M95" s="54">
        <v>94.138999999999996</v>
      </c>
      <c r="X95" s="126">
        <v>45952.3125</v>
      </c>
      <c r="Y95" s="54">
        <v>92.161000000000001</v>
      </c>
      <c r="Z95" s="54">
        <v>99.233933244858846</v>
      </c>
    </row>
    <row r="96" spans="10:26" x14ac:dyDescent="0.3">
      <c r="J96" s="126">
        <v>45903.458333333336</v>
      </c>
      <c r="K96" s="54">
        <v>91.397999999999996</v>
      </c>
      <c r="L96" s="126">
        <v>45901.458333333336</v>
      </c>
      <c r="M96" s="54">
        <v>94.049000000000007</v>
      </c>
      <c r="X96" s="126">
        <v>45952.319444444445</v>
      </c>
      <c r="Y96" s="54">
        <v>92.182000000000002</v>
      </c>
      <c r="Z96" s="54">
        <v>98.782765460984081</v>
      </c>
    </row>
    <row r="97" spans="10:26" x14ac:dyDescent="0.3">
      <c r="J97" s="126">
        <v>45904.458333333336</v>
      </c>
      <c r="K97" s="54">
        <v>91.593999999999994</v>
      </c>
      <c r="L97" s="126">
        <v>45902.458333333336</v>
      </c>
      <c r="M97" s="54">
        <v>93.847999999999999</v>
      </c>
      <c r="X97" s="126">
        <v>45952.326388888891</v>
      </c>
      <c r="Y97" s="54">
        <v>92.177000000000007</v>
      </c>
      <c r="Z97" s="54">
        <v>98.890175659945839</v>
      </c>
    </row>
    <row r="98" spans="10:26" x14ac:dyDescent="0.3">
      <c r="J98" s="126">
        <v>45905.458333333336</v>
      </c>
      <c r="K98" s="54">
        <v>92.233999999999995</v>
      </c>
      <c r="L98" s="126">
        <v>45903.458333333336</v>
      </c>
      <c r="M98" s="54">
        <v>94.090999999999994</v>
      </c>
      <c r="X98" s="126">
        <v>45952.333333333336</v>
      </c>
      <c r="Y98" s="54">
        <v>92.141999999999996</v>
      </c>
      <c r="Z98" s="54">
        <v>99.642234365123755</v>
      </c>
    </row>
    <row r="99" spans="10:26" x14ac:dyDescent="0.3">
      <c r="J99" s="126">
        <v>45908.458333333336</v>
      </c>
      <c r="K99" s="54">
        <v>92.039000000000001</v>
      </c>
      <c r="L99" s="126">
        <v>45904.458333333336</v>
      </c>
      <c r="M99" s="54">
        <v>94.36</v>
      </c>
      <c r="X99" s="126">
        <v>45952.340277777781</v>
      </c>
      <c r="Y99" s="54">
        <v>92.117999999999995</v>
      </c>
      <c r="Z99" s="54">
        <v>100.15812131197843</v>
      </c>
    </row>
    <row r="100" spans="10:26" x14ac:dyDescent="0.3">
      <c r="J100" s="126">
        <v>45909.458333333336</v>
      </c>
      <c r="K100" s="54">
        <v>91.834999999999994</v>
      </c>
      <c r="L100" s="126">
        <v>45905.458333333336</v>
      </c>
      <c r="M100" s="54">
        <v>94.548000000000002</v>
      </c>
      <c r="X100" s="126">
        <v>45952.347222222219</v>
      </c>
      <c r="Y100" s="54">
        <v>92.111999999999995</v>
      </c>
      <c r="Z100" s="54">
        <v>100.28711715628691</v>
      </c>
    </row>
    <row r="101" spans="10:26" x14ac:dyDescent="0.3">
      <c r="J101" s="126">
        <v>45910.458333333336</v>
      </c>
      <c r="K101" s="54">
        <v>91.953000000000003</v>
      </c>
      <c r="L101" s="126">
        <v>45908.458333333336</v>
      </c>
      <c r="M101" s="54">
        <v>94.65</v>
      </c>
      <c r="X101" s="126">
        <v>45952.354166666664</v>
      </c>
      <c r="Y101" s="54">
        <v>92.102000000000004</v>
      </c>
      <c r="Z101" s="54">
        <v>100.5021316658794</v>
      </c>
    </row>
    <row r="102" spans="10:26" x14ac:dyDescent="0.3">
      <c r="J102" s="126">
        <v>45911.458333333336</v>
      </c>
      <c r="K102" s="54">
        <v>92.016000000000005</v>
      </c>
      <c r="L102" s="126">
        <v>45909.458333333336</v>
      </c>
      <c r="M102" s="54">
        <v>94.677000000000007</v>
      </c>
      <c r="X102" s="126">
        <v>45952.361111111109</v>
      </c>
      <c r="Y102" s="54">
        <v>92.085999999999999</v>
      </c>
      <c r="Z102" s="54">
        <v>100.84621062828147</v>
      </c>
    </row>
    <row r="103" spans="10:26" x14ac:dyDescent="0.3">
      <c r="J103" s="126">
        <v>45912.458333333336</v>
      </c>
      <c r="K103" s="54">
        <v>91.742000000000004</v>
      </c>
      <c r="L103" s="126">
        <v>45910.458333333336</v>
      </c>
      <c r="M103" s="54">
        <v>94.730999999999995</v>
      </c>
      <c r="X103" s="126">
        <v>45952.368055555555</v>
      </c>
      <c r="Y103" s="54">
        <v>92.075000000000003</v>
      </c>
      <c r="Z103" s="54">
        <v>101.08280472675868</v>
      </c>
    </row>
    <row r="104" spans="10:26" x14ac:dyDescent="0.3">
      <c r="J104" s="126">
        <v>45915.458333333336</v>
      </c>
      <c r="K104" s="54">
        <v>91.945999999999998</v>
      </c>
      <c r="L104" s="126">
        <v>45911.458333333336</v>
      </c>
      <c r="M104" s="54">
        <v>94.698999999999998</v>
      </c>
      <c r="X104" s="126">
        <v>45952.375</v>
      </c>
      <c r="Y104" s="54">
        <v>92.045000000000002</v>
      </c>
      <c r="Z104" s="54">
        <v>101.72822631055899</v>
      </c>
    </row>
    <row r="105" spans="10:26" x14ac:dyDescent="0.3">
      <c r="J105" s="126">
        <v>45916.458333333336</v>
      </c>
      <c r="K105" s="54">
        <v>91.974000000000004</v>
      </c>
      <c r="L105" s="126">
        <v>45912.458333333336</v>
      </c>
      <c r="M105" s="54">
        <v>94.622</v>
      </c>
      <c r="X105" s="126">
        <v>45952.381944444445</v>
      </c>
      <c r="Y105" s="54">
        <v>92.043000000000006</v>
      </c>
      <c r="Z105" s="54">
        <v>101.77126300191186</v>
      </c>
    </row>
    <row r="106" spans="10:26" x14ac:dyDescent="0.3">
      <c r="J106" s="126">
        <v>45917.458333333336</v>
      </c>
      <c r="K106" s="54">
        <v>91.858999999999995</v>
      </c>
      <c r="L106" s="126">
        <v>45915.458333333336</v>
      </c>
      <c r="M106" s="54">
        <v>94.772000000000006</v>
      </c>
      <c r="X106" s="126">
        <v>45952.388888888891</v>
      </c>
      <c r="Y106" s="54">
        <v>92.058000000000007</v>
      </c>
      <c r="Z106" s="54">
        <v>101.44851398003473</v>
      </c>
    </row>
    <row r="107" spans="10:26" x14ac:dyDescent="0.3">
      <c r="J107" s="126">
        <v>45918.458333333336</v>
      </c>
      <c r="K107" s="54">
        <v>91.646000000000001</v>
      </c>
      <c r="L107" s="126">
        <v>45916.458333333336</v>
      </c>
      <c r="M107" s="54">
        <v>94.707999999999998</v>
      </c>
      <c r="X107" s="126">
        <v>45952.395833333336</v>
      </c>
      <c r="Y107" s="54">
        <v>92.061000000000007</v>
      </c>
      <c r="Z107" s="54">
        <v>101.38397141996047</v>
      </c>
    </row>
    <row r="108" spans="10:26" x14ac:dyDescent="0.3">
      <c r="J108" s="126">
        <v>45919.458333333336</v>
      </c>
      <c r="K108" s="54">
        <v>91.718000000000004</v>
      </c>
      <c r="L108" s="126">
        <v>45917.458333333336</v>
      </c>
      <c r="M108" s="54">
        <v>94.626000000000005</v>
      </c>
      <c r="X108" s="126">
        <v>45952.402777777781</v>
      </c>
      <c r="Y108" s="54">
        <v>92.052000000000007</v>
      </c>
      <c r="Z108" s="54">
        <v>101.5776063439755</v>
      </c>
    </row>
    <row r="109" spans="10:26" x14ac:dyDescent="0.3">
      <c r="J109" s="126">
        <v>45922.458333333336</v>
      </c>
      <c r="K109" s="54">
        <v>91.683000000000007</v>
      </c>
      <c r="L109" s="126">
        <v>45918.458333333336</v>
      </c>
      <c r="M109" s="54">
        <v>94.683999999999997</v>
      </c>
      <c r="X109" s="126">
        <v>45952.409722222219</v>
      </c>
      <c r="Y109" s="54">
        <v>92.025000000000006</v>
      </c>
      <c r="Z109" s="54">
        <v>102.15864153814258</v>
      </c>
    </row>
    <row r="110" spans="10:26" x14ac:dyDescent="0.3">
      <c r="J110" s="126">
        <v>45923.458333333336</v>
      </c>
      <c r="K110" s="54">
        <v>91.721000000000004</v>
      </c>
      <c r="L110" s="126">
        <v>45919.458333333336</v>
      </c>
      <c r="M110" s="54">
        <v>94.611000000000004</v>
      </c>
      <c r="X110" s="126">
        <v>45953.041666666664</v>
      </c>
      <c r="Y110" s="54">
        <v>92.1</v>
      </c>
    </row>
    <row r="111" spans="10:26" x14ac:dyDescent="0.3">
      <c r="J111" s="126">
        <v>45924.458333333336</v>
      </c>
      <c r="K111" s="54">
        <v>91.531999999999996</v>
      </c>
      <c r="L111" s="126">
        <v>45922.458333333336</v>
      </c>
      <c r="M111" s="54">
        <v>94.646000000000001</v>
      </c>
      <c r="X111" s="126">
        <v>45953.048611111109</v>
      </c>
      <c r="Y111" s="54">
        <v>92.084999999999994</v>
      </c>
    </row>
    <row r="112" spans="10:26" x14ac:dyDescent="0.3">
      <c r="J112" s="126">
        <v>45925.458333333336</v>
      </c>
      <c r="K112" s="54">
        <v>91.213999999999999</v>
      </c>
      <c r="L112" s="126">
        <v>45923.458333333336</v>
      </c>
      <c r="M112" s="54">
        <v>94.626999999999995</v>
      </c>
      <c r="X112" s="126">
        <v>45953.055555555555</v>
      </c>
      <c r="Y112" s="54">
        <v>92.087000000000003</v>
      </c>
    </row>
    <row r="113" spans="10:25" x14ac:dyDescent="0.3">
      <c r="J113" s="126">
        <v>45926.458333333336</v>
      </c>
      <c r="K113" s="54">
        <v>91.198999999999998</v>
      </c>
      <c r="L113" s="126">
        <v>45924.458333333336</v>
      </c>
      <c r="M113" s="54">
        <v>94.573999999999998</v>
      </c>
      <c r="X113" s="126">
        <v>45953.0625</v>
      </c>
      <c r="Y113" s="54">
        <v>92.076999999999998</v>
      </c>
    </row>
    <row r="114" spans="10:25" x14ac:dyDescent="0.3">
      <c r="J114" s="126">
        <v>45929.458333333336</v>
      </c>
      <c r="K114" s="54">
        <v>91.424999999999997</v>
      </c>
      <c r="L114" s="126">
        <v>45925.458333333336</v>
      </c>
      <c r="M114" s="54">
        <v>94.346000000000004</v>
      </c>
      <c r="X114" s="126">
        <v>45953.069444444445</v>
      </c>
      <c r="Y114" s="54">
        <v>92.078000000000003</v>
      </c>
    </row>
    <row r="115" spans="10:25" x14ac:dyDescent="0.3">
      <c r="J115" s="126">
        <v>45930.458333333336</v>
      </c>
      <c r="K115" s="54">
        <v>91.46</v>
      </c>
      <c r="L115" s="126">
        <v>45926.458333333336</v>
      </c>
      <c r="M115" s="54">
        <v>94.411000000000001</v>
      </c>
      <c r="X115" s="126">
        <v>45953.076388888891</v>
      </c>
      <c r="Y115" s="54">
        <v>92.07</v>
      </c>
    </row>
    <row r="116" spans="10:25" x14ac:dyDescent="0.3">
      <c r="J116" s="126">
        <v>45931.458333333336</v>
      </c>
      <c r="K116" s="54">
        <v>91.588999999999999</v>
      </c>
      <c r="L116" s="126">
        <v>45929.458333333336</v>
      </c>
      <c r="M116" s="54">
        <v>94.515000000000001</v>
      </c>
      <c r="X116" s="126">
        <v>45953.083333333336</v>
      </c>
      <c r="Y116" s="54">
        <v>92.061999999999998</v>
      </c>
    </row>
    <row r="117" spans="10:25" x14ac:dyDescent="0.3">
      <c r="J117" s="126">
        <v>45932.458333333336</v>
      </c>
      <c r="K117" s="54">
        <v>91.685000000000002</v>
      </c>
      <c r="L117" s="126">
        <v>45930.458333333336</v>
      </c>
      <c r="M117" s="54">
        <v>94.572000000000003</v>
      </c>
      <c r="X117" s="126">
        <v>45953.090277777781</v>
      </c>
      <c r="Y117" s="54">
        <v>92.040999999999997</v>
      </c>
    </row>
    <row r="118" spans="10:25" x14ac:dyDescent="0.3">
      <c r="J118" s="126">
        <v>45933.458333333336</v>
      </c>
      <c r="K118" s="54">
        <v>91.712999999999994</v>
      </c>
      <c r="L118" s="126">
        <v>45931.458333333336</v>
      </c>
      <c r="M118" s="54">
        <v>94.616</v>
      </c>
      <c r="X118" s="126">
        <v>45953.097222222219</v>
      </c>
      <c r="Y118" s="54">
        <v>92.031000000000006</v>
      </c>
    </row>
    <row r="119" spans="10:25" x14ac:dyDescent="0.3">
      <c r="J119" s="126">
        <v>45936.458333333336</v>
      </c>
      <c r="K119" s="54">
        <v>91.561999999999998</v>
      </c>
      <c r="L119" s="126">
        <v>45932.458333333336</v>
      </c>
      <c r="M119" s="54">
        <v>94.808000000000007</v>
      </c>
      <c r="X119" s="126">
        <v>45953.104166666664</v>
      </c>
      <c r="Y119" s="54">
        <v>92.031999999999996</v>
      </c>
    </row>
    <row r="120" spans="10:25" x14ac:dyDescent="0.3">
      <c r="J120" s="126">
        <v>45937.458333333336</v>
      </c>
      <c r="K120" s="54">
        <v>91.661000000000001</v>
      </c>
      <c r="L120" s="126">
        <v>45933.458333333336</v>
      </c>
      <c r="M120" s="54">
        <v>94.863</v>
      </c>
      <c r="X120" s="126">
        <v>45953.111111111109</v>
      </c>
      <c r="Y120" s="54">
        <v>92.037999999999997</v>
      </c>
    </row>
    <row r="121" spans="10:25" x14ac:dyDescent="0.3">
      <c r="J121" s="126">
        <v>45938.458333333336</v>
      </c>
      <c r="K121" s="54">
        <v>91.662000000000006</v>
      </c>
      <c r="L121" s="126">
        <v>45936.458333333336</v>
      </c>
      <c r="M121" s="54">
        <v>94.84</v>
      </c>
      <c r="X121" s="126">
        <v>45953.118055555555</v>
      </c>
      <c r="Y121" s="54">
        <v>92.036000000000001</v>
      </c>
    </row>
    <row r="122" spans="10:25" x14ac:dyDescent="0.3">
      <c r="J122" s="126">
        <v>45939.458333333336</v>
      </c>
      <c r="K122" s="54">
        <v>91.433000000000007</v>
      </c>
      <c r="L122" s="126">
        <v>45937.458333333336</v>
      </c>
      <c r="M122" s="54">
        <v>94.864000000000004</v>
      </c>
      <c r="X122" s="126">
        <v>45953.125</v>
      </c>
      <c r="Y122" s="54">
        <v>92.033000000000001</v>
      </c>
    </row>
    <row r="123" spans="10:25" x14ac:dyDescent="0.3">
      <c r="J123" s="126">
        <v>45940.458333333336</v>
      </c>
      <c r="K123" s="54">
        <v>91.671000000000006</v>
      </c>
      <c r="L123" s="126">
        <v>45938.458333333336</v>
      </c>
      <c r="M123" s="54">
        <v>94.975999999999999</v>
      </c>
      <c r="X123" s="126">
        <v>45953.131944444445</v>
      </c>
      <c r="Y123" s="54">
        <v>92.031000000000006</v>
      </c>
    </row>
    <row r="124" spans="10:25" x14ac:dyDescent="0.3">
      <c r="J124" s="126">
        <v>45944.458333333336</v>
      </c>
      <c r="K124" s="54">
        <v>91.816000000000003</v>
      </c>
      <c r="L124" s="126">
        <v>45939.458333333336</v>
      </c>
      <c r="M124" s="54">
        <v>94.927000000000007</v>
      </c>
      <c r="X124" s="126">
        <v>45953.138888888891</v>
      </c>
      <c r="Y124" s="54">
        <v>92.022000000000006</v>
      </c>
    </row>
    <row r="125" spans="10:25" x14ac:dyDescent="0.3">
      <c r="J125" s="126">
        <v>45945.458333333336</v>
      </c>
      <c r="K125" s="54">
        <v>91.998000000000005</v>
      </c>
      <c r="L125" s="126">
        <v>45940.458333333336</v>
      </c>
      <c r="M125" s="54">
        <v>94.903000000000006</v>
      </c>
      <c r="X125" s="126">
        <v>45953.145833333336</v>
      </c>
      <c r="Y125" s="54">
        <v>92.01</v>
      </c>
    </row>
    <row r="126" spans="10:25" x14ac:dyDescent="0.3">
      <c r="J126" s="126">
        <v>45946.458333333336</v>
      </c>
      <c r="K126" s="54">
        <v>92.006</v>
      </c>
      <c r="L126" s="126">
        <v>45943.458333333336</v>
      </c>
      <c r="M126" s="54">
        <v>94.94</v>
      </c>
      <c r="X126" s="126">
        <v>45953.152777777781</v>
      </c>
      <c r="Y126" s="54">
        <v>91.998000000000005</v>
      </c>
    </row>
    <row r="127" spans="10:25" x14ac:dyDescent="0.3">
      <c r="J127" s="126">
        <v>45947.458333333336</v>
      </c>
      <c r="K127" s="54">
        <v>91.992000000000004</v>
      </c>
      <c r="L127" s="126">
        <v>45944.458333333336</v>
      </c>
      <c r="M127" s="54">
        <v>94.991</v>
      </c>
      <c r="X127" s="126">
        <v>45953.159722222219</v>
      </c>
      <c r="Y127" s="54">
        <v>91.992000000000004</v>
      </c>
    </row>
    <row r="128" spans="10:25" x14ac:dyDescent="0.3">
      <c r="J128" s="126">
        <v>45950.458333333336</v>
      </c>
      <c r="K128" s="54">
        <v>92.061000000000007</v>
      </c>
      <c r="L128" s="126">
        <v>45945.458333333336</v>
      </c>
      <c r="M128" s="54">
        <v>95.3</v>
      </c>
      <c r="X128" s="126">
        <v>45953.166666666664</v>
      </c>
      <c r="Y128" s="54">
        <v>91.98</v>
      </c>
    </row>
    <row r="129" spans="10:25" x14ac:dyDescent="0.3">
      <c r="J129" s="126">
        <v>45951.458333333336</v>
      </c>
      <c r="K129" s="54">
        <v>92.207999999999998</v>
      </c>
      <c r="L129" s="126">
        <v>45946.458333333336</v>
      </c>
      <c r="M129" s="54">
        <v>95.335999999999999</v>
      </c>
      <c r="X129" s="126">
        <v>45953.173611111109</v>
      </c>
      <c r="Y129" s="54">
        <v>91.98</v>
      </c>
    </row>
    <row r="130" spans="10:25" x14ac:dyDescent="0.3">
      <c r="J130" s="126">
        <v>45952.458333333336</v>
      </c>
      <c r="K130" s="54">
        <v>92.034999999999997</v>
      </c>
      <c r="L130" s="126">
        <v>45947.458333333336</v>
      </c>
      <c r="M130" s="54">
        <v>95.17</v>
      </c>
      <c r="X130" s="126">
        <v>45953.180555555555</v>
      </c>
      <c r="Y130" s="54">
        <v>91.988</v>
      </c>
    </row>
    <row r="131" spans="10:25" x14ac:dyDescent="0.3">
      <c r="J131" s="126">
        <v>45953.458333333336</v>
      </c>
      <c r="K131" s="54">
        <v>92.001000000000005</v>
      </c>
      <c r="L131" s="126">
        <v>45950.458333333336</v>
      </c>
      <c r="M131" s="54">
        <v>95.207999999999998</v>
      </c>
      <c r="X131" s="126">
        <v>45953.1875</v>
      </c>
      <c r="Y131" s="54">
        <v>91.995000000000005</v>
      </c>
    </row>
    <row r="132" spans="10:25" x14ac:dyDescent="0.3">
      <c r="J132" s="126">
        <v>45954.458333333336</v>
      </c>
      <c r="K132" s="54">
        <v>92.037999999999997</v>
      </c>
      <c r="L132" s="126">
        <v>45951.458333333336</v>
      </c>
      <c r="M132" s="54">
        <v>95.301000000000002</v>
      </c>
      <c r="X132" s="126">
        <v>45953.194444444445</v>
      </c>
      <c r="Y132" s="54">
        <v>91.989000000000004</v>
      </c>
    </row>
    <row r="133" spans="10:25" x14ac:dyDescent="0.3">
      <c r="J133" s="126">
        <v>45957.458333333336</v>
      </c>
      <c r="K133" s="54">
        <v>92.007000000000005</v>
      </c>
      <c r="L133" s="126">
        <v>45952.458333333336</v>
      </c>
      <c r="M133" s="54">
        <v>95.277000000000001</v>
      </c>
      <c r="X133" s="126">
        <v>45953.201388888891</v>
      </c>
      <c r="Y133" s="54">
        <v>91.980999999999995</v>
      </c>
    </row>
    <row r="134" spans="10:25" x14ac:dyDescent="0.3">
      <c r="J134" s="126">
        <v>45958.458333333336</v>
      </c>
      <c r="K134" s="54">
        <v>92.1</v>
      </c>
      <c r="L134" s="126">
        <v>45953.458333333336</v>
      </c>
      <c r="M134" s="54">
        <v>95.203999999999994</v>
      </c>
      <c r="X134" s="126">
        <v>45953.208333333336</v>
      </c>
      <c r="Y134" s="54">
        <v>91.974999999999994</v>
      </c>
    </row>
    <row r="135" spans="10:25" x14ac:dyDescent="0.3">
      <c r="J135" s="126">
        <v>45959.458333333336</v>
      </c>
      <c r="K135" s="54">
        <v>92.084999999999994</v>
      </c>
      <c r="L135" s="126">
        <v>45954.458333333336</v>
      </c>
      <c r="M135" s="54">
        <v>95.120999999999995</v>
      </c>
      <c r="X135" s="126">
        <v>45953.215277777781</v>
      </c>
      <c r="Y135" s="54">
        <v>91.974999999999994</v>
      </c>
    </row>
    <row r="136" spans="10:25" x14ac:dyDescent="0.3">
      <c r="J136" s="126">
        <v>45960.458333333336</v>
      </c>
      <c r="K136" s="54">
        <v>91.637</v>
      </c>
      <c r="L136" s="126">
        <v>45957.458333333336</v>
      </c>
      <c r="M136" s="54">
        <v>95.209000000000003</v>
      </c>
      <c r="X136" s="126">
        <v>45953.222222222219</v>
      </c>
      <c r="Y136" s="54">
        <v>91.968999999999994</v>
      </c>
    </row>
    <row r="137" spans="10:25" x14ac:dyDescent="0.3">
      <c r="J137" s="126">
        <v>45961.458333333336</v>
      </c>
      <c r="K137" s="54">
        <v>91.578000000000003</v>
      </c>
      <c r="L137" s="126">
        <v>45958.458333333336</v>
      </c>
      <c r="M137" s="54">
        <v>95.218999999999994</v>
      </c>
      <c r="X137" s="126">
        <v>45953.229166666664</v>
      </c>
      <c r="Y137" s="54">
        <v>91.968000000000004</v>
      </c>
    </row>
    <row r="138" spans="10:25" x14ac:dyDescent="0.3">
      <c r="J138" s="126"/>
      <c r="L138" s="126">
        <v>45959.458333333336</v>
      </c>
      <c r="M138" s="54">
        <v>95.26</v>
      </c>
      <c r="X138" s="126">
        <v>45953.236111111109</v>
      </c>
      <c r="Y138" s="54">
        <v>91.968000000000004</v>
      </c>
    </row>
    <row r="139" spans="10:25" x14ac:dyDescent="0.3">
      <c r="J139" s="126"/>
      <c r="L139" s="126">
        <v>45960.458333333336</v>
      </c>
      <c r="M139" s="54">
        <v>95.174999999999997</v>
      </c>
      <c r="X139" s="126">
        <v>45953.243055555555</v>
      </c>
      <c r="Y139" s="54">
        <v>91.971000000000004</v>
      </c>
    </row>
    <row r="140" spans="10:25" x14ac:dyDescent="0.3">
      <c r="J140" s="126"/>
      <c r="L140" s="126">
        <v>45961.458333333336</v>
      </c>
      <c r="M140" s="54">
        <v>95.206000000000003</v>
      </c>
      <c r="X140" s="126">
        <v>45953.25</v>
      </c>
      <c r="Y140" s="54">
        <v>91.966999999999999</v>
      </c>
    </row>
    <row r="141" spans="10:25" x14ac:dyDescent="0.3">
      <c r="X141" s="126">
        <v>45953.256944444445</v>
      </c>
      <c r="Y141" s="54">
        <v>91.97</v>
      </c>
    </row>
    <row r="142" spans="10:25" x14ac:dyDescent="0.3">
      <c r="X142" s="126">
        <v>45953.263888888891</v>
      </c>
      <c r="Y142" s="54">
        <v>91.97</v>
      </c>
    </row>
    <row r="143" spans="10:25" x14ac:dyDescent="0.3">
      <c r="X143" s="126">
        <v>45953.270833333336</v>
      </c>
      <c r="Y143" s="54">
        <v>91.972999999999999</v>
      </c>
    </row>
    <row r="144" spans="10:25" x14ac:dyDescent="0.3">
      <c r="X144" s="126">
        <v>45953.277777777781</v>
      </c>
      <c r="Y144" s="54">
        <v>91.971000000000004</v>
      </c>
    </row>
    <row r="145" spans="24:25" x14ac:dyDescent="0.3">
      <c r="X145" s="126">
        <v>45953.284722222219</v>
      </c>
      <c r="Y145" s="54">
        <v>91.962999999999994</v>
      </c>
    </row>
    <row r="146" spans="24:25" x14ac:dyDescent="0.3">
      <c r="X146" s="126">
        <v>45953.291666666664</v>
      </c>
      <c r="Y146" s="54">
        <v>91.97</v>
      </c>
    </row>
    <row r="147" spans="24:25" x14ac:dyDescent="0.3">
      <c r="X147" s="126">
        <v>45953.298611111109</v>
      </c>
      <c r="Y147" s="54">
        <v>91.96</v>
      </c>
    </row>
    <row r="148" spans="24:25" x14ac:dyDescent="0.3">
      <c r="X148" s="126">
        <v>45953.305555555555</v>
      </c>
      <c r="Y148" s="54">
        <v>91.956999999999994</v>
      </c>
    </row>
    <row r="149" spans="24:25" x14ac:dyDescent="0.3">
      <c r="X149" s="126">
        <v>45953.3125</v>
      </c>
      <c r="Y149" s="54">
        <v>91.965000000000003</v>
      </c>
    </row>
    <row r="150" spans="24:25" x14ac:dyDescent="0.3">
      <c r="X150" s="126">
        <v>45953.319444444445</v>
      </c>
      <c r="Y150" s="54">
        <v>91.957999999999998</v>
      </c>
    </row>
    <row r="151" spans="24:25" x14ac:dyDescent="0.3">
      <c r="X151" s="126">
        <v>45953.326388888891</v>
      </c>
      <c r="Y151" s="54">
        <v>91.948999999999998</v>
      </c>
    </row>
  </sheetData>
  <mergeCells count="3">
    <mergeCell ref="B12:D12"/>
    <mergeCell ref="E12:G12"/>
    <mergeCell ref="D7:G10"/>
  </mergeCells>
  <conditionalFormatting sqref="M1:M7 H8:H1048576">
    <cfRule type="cellIs" dxfId="1" priority="1" operator="lessThan">
      <formula>0</formula>
    </cfRule>
  </conditionalFormatting>
  <hyperlinks>
    <hyperlink ref="B4" r:id="rId1" xr:uid="{D1F942C6-B063-4A7F-B1F7-9FC72E7F89EC}"/>
  </hyperlink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59C3-920E-4D91-B575-9203BEFF702A}">
  <dimension ref="A1:N146"/>
  <sheetViews>
    <sheetView tabSelected="1" zoomScale="80" zoomScaleNormal="80" workbookViewId="0">
      <selection activeCell="H15" sqref="H15:H18"/>
    </sheetView>
  </sheetViews>
  <sheetFormatPr defaultColWidth="9.109375" defaultRowHeight="14.4" x14ac:dyDescent="0.3"/>
  <cols>
    <col min="1" max="1" width="15.44140625" style="3" bestFit="1" customWidth="1"/>
    <col min="2" max="2" width="21.33203125" style="3" bestFit="1" customWidth="1"/>
    <col min="3" max="3" width="19.109375" style="58" bestFit="1" customWidth="1"/>
    <col min="4" max="4" width="11.33203125" style="3" bestFit="1" customWidth="1"/>
    <col min="5" max="5" width="9.21875" style="3" customWidth="1"/>
    <col min="6" max="6" width="11" style="3" customWidth="1"/>
    <col min="7" max="7" width="9.21875" style="3" customWidth="1"/>
    <col min="8" max="8" width="9.21875" style="82" customWidth="1"/>
    <col min="9" max="9" width="12" style="82" bestFit="1" customWidth="1"/>
    <col min="10" max="10" width="10.6640625" style="3" bestFit="1" customWidth="1"/>
    <col min="11" max="11" width="15.6640625" style="3" hidden="1" customWidth="1"/>
    <col min="12" max="12" width="8" style="3" hidden="1" customWidth="1"/>
    <col min="13" max="13" width="15.6640625" style="3" hidden="1" customWidth="1"/>
    <col min="14" max="14" width="9.109375" style="3" hidden="1" customWidth="1"/>
    <col min="15" max="16384" width="9.109375" style="3"/>
  </cols>
  <sheetData>
    <row r="1" spans="1:14" ht="15" thickBot="1" x14ac:dyDescent="0.35">
      <c r="A1" s="1"/>
      <c r="B1" s="1"/>
      <c r="C1" s="1"/>
      <c r="D1" s="31"/>
      <c r="E1" s="1"/>
      <c r="F1" s="1"/>
      <c r="G1" s="1"/>
      <c r="H1" s="1"/>
      <c r="I1" s="1"/>
      <c r="J1" s="1"/>
      <c r="K1" s="52"/>
    </row>
    <row r="2" spans="1:14" ht="15" thickBot="1" x14ac:dyDescent="0.35">
      <c r="A2" s="14"/>
      <c r="B2" s="27" t="s">
        <v>0</v>
      </c>
      <c r="C2" s="28" t="s">
        <v>1</v>
      </c>
      <c r="D2" s="31"/>
      <c r="E2" s="124" t="s">
        <v>101</v>
      </c>
      <c r="F2" s="125">
        <v>0.625</v>
      </c>
      <c r="H2" s="3"/>
      <c r="K2" s="27" t="s">
        <v>0</v>
      </c>
      <c r="M2" s="28" t="s">
        <v>1</v>
      </c>
    </row>
    <row r="3" spans="1:14" x14ac:dyDescent="0.3">
      <c r="A3" s="14" t="s">
        <v>32</v>
      </c>
      <c r="B3" s="15" t="s">
        <v>5</v>
      </c>
      <c r="C3" s="5" t="s">
        <v>185</v>
      </c>
      <c r="H3" s="3"/>
      <c r="I3" s="3"/>
      <c r="K3" s="123" cm="1">
        <f t="array" ref="K3:L143">_xll.BDH(B4, "LAST_PRICE", "01/01/2025 15:00:00", "01/01/2035 16:00:00", "BarSize=60", "BarType=T", "RecurDaily=True", "TZ=London")</f>
        <v>45768.625</v>
      </c>
      <c r="L3" s="3">
        <v>127.057</v>
      </c>
      <c r="M3" s="123" cm="1">
        <f t="array" ref="M3:N137">_xll.BDH(C4, "LAST_PRICE", "01/01/2025 15:00:00", "01/01/2035 16:00:00", "BarSize=60", "BarType=T", "RecurDaily=True", "TZ=London")</f>
        <v>45768.625</v>
      </c>
      <c r="N3" s="3">
        <v>99.257999999999996</v>
      </c>
    </row>
    <row r="4" spans="1:14" ht="30" customHeight="1" x14ac:dyDescent="0.3">
      <c r="A4" s="15" t="s">
        <v>33</v>
      </c>
      <c r="B4" s="17" t="s">
        <v>34</v>
      </c>
      <c r="C4" s="6" t="s">
        <v>186</v>
      </c>
      <c r="H4" s="3"/>
      <c r="I4" s="3"/>
      <c r="K4" s="123">
        <v>45769.625</v>
      </c>
      <c r="L4" s="3">
        <v>128.417</v>
      </c>
      <c r="M4" s="123">
        <v>45769.625</v>
      </c>
      <c r="N4" s="3">
        <v>99.474999999999994</v>
      </c>
    </row>
    <row r="5" spans="1:14" x14ac:dyDescent="0.3">
      <c r="A5" s="15" t="s">
        <v>8</v>
      </c>
      <c r="B5" s="18">
        <v>30000000</v>
      </c>
      <c r="C5" s="8">
        <v>8000000</v>
      </c>
      <c r="H5" s="3"/>
      <c r="I5" s="3"/>
      <c r="K5" s="123">
        <v>45770.625</v>
      </c>
      <c r="L5" s="3">
        <v>120.089</v>
      </c>
      <c r="M5" s="123">
        <v>45770.625</v>
      </c>
      <c r="N5" s="3">
        <v>100.80500000000001</v>
      </c>
    </row>
    <row r="6" spans="1:14" x14ac:dyDescent="0.3">
      <c r="A6" s="15" t="s">
        <v>10</v>
      </c>
      <c r="B6" s="19">
        <v>0.01</v>
      </c>
      <c r="C6" s="10">
        <v>8.5000000000000006E-2</v>
      </c>
      <c r="H6" s="3"/>
      <c r="I6" s="3"/>
      <c r="K6" s="123">
        <v>45771.625</v>
      </c>
      <c r="L6" s="3">
        <v>119.34</v>
      </c>
      <c r="M6" s="123">
        <v>45771.625</v>
      </c>
      <c r="N6" s="3">
        <v>101.032</v>
      </c>
    </row>
    <row r="7" spans="1:14" x14ac:dyDescent="0.3">
      <c r="A7" s="15" t="s">
        <v>12</v>
      </c>
      <c r="B7" s="19">
        <v>0</v>
      </c>
      <c r="C7" s="10">
        <v>4.1000000000000002E-2</v>
      </c>
      <c r="H7" s="3"/>
      <c r="I7" s="3"/>
      <c r="K7" s="123">
        <v>45772.625</v>
      </c>
      <c r="L7" s="3">
        <v>117.146</v>
      </c>
      <c r="M7" s="123">
        <v>45772.625</v>
      </c>
      <c r="N7" s="3">
        <v>101.726</v>
      </c>
    </row>
    <row r="8" spans="1:14" x14ac:dyDescent="0.3">
      <c r="A8" s="15" t="s">
        <v>14</v>
      </c>
      <c r="B8" s="15">
        <v>4.78</v>
      </c>
      <c r="C8" s="5"/>
      <c r="H8" s="3"/>
      <c r="I8" s="3"/>
      <c r="K8" s="123">
        <v>45775.625</v>
      </c>
      <c r="L8" s="3">
        <v>115.843</v>
      </c>
      <c r="M8" s="123">
        <v>45775.625</v>
      </c>
      <c r="N8" s="3">
        <v>101.839</v>
      </c>
    </row>
    <row r="9" spans="1:14" x14ac:dyDescent="0.3">
      <c r="A9" s="15" t="s">
        <v>15</v>
      </c>
      <c r="B9" s="15">
        <v>1.17</v>
      </c>
      <c r="C9" s="5"/>
      <c r="D9" s="31"/>
      <c r="E9" s="1"/>
      <c r="F9" s="1"/>
      <c r="G9" s="1"/>
      <c r="H9" s="1"/>
      <c r="I9" s="1"/>
      <c r="J9" s="1"/>
      <c r="K9" s="123">
        <v>45776.625</v>
      </c>
      <c r="L9" s="3">
        <v>114.739</v>
      </c>
      <c r="M9" s="123">
        <v>45776.625</v>
      </c>
      <c r="N9" s="3">
        <v>101.389</v>
      </c>
    </row>
    <row r="10" spans="1:14" ht="15" thickBot="1" x14ac:dyDescent="0.35">
      <c r="A10" s="16" t="s">
        <v>28</v>
      </c>
      <c r="B10" s="20" cm="1">
        <f t="array" ref="B10">_xll.BDP(B4,"PX_LAST")</f>
        <v>101.0136</v>
      </c>
      <c r="C10" s="13" cm="1">
        <f t="array" ref="C10">_xll.BDP(C4,"PX_LAST")</f>
        <v>108.738</v>
      </c>
      <c r="D10" s="31"/>
      <c r="E10" s="1"/>
      <c r="F10" s="1"/>
      <c r="G10" s="1"/>
      <c r="H10" s="1"/>
      <c r="I10" s="1"/>
      <c r="J10" s="1"/>
      <c r="K10" s="123">
        <v>45777.625</v>
      </c>
      <c r="L10" s="3">
        <v>118.17</v>
      </c>
      <c r="M10" s="123">
        <v>45777.625</v>
      </c>
      <c r="N10" s="3">
        <v>101.25700000000001</v>
      </c>
    </row>
    <row r="11" spans="1:14" ht="15" thickBot="1" x14ac:dyDescent="0.35">
      <c r="A11" s="1"/>
      <c r="B11" s="1"/>
      <c r="C11" s="1"/>
      <c r="D11" s="31"/>
      <c r="E11" s="1"/>
      <c r="F11" s="1"/>
      <c r="G11" s="1"/>
      <c r="H11" s="1"/>
      <c r="I11" s="1"/>
      <c r="J11" s="1"/>
      <c r="K11" s="123">
        <v>45778.625</v>
      </c>
      <c r="L11" s="3">
        <v>116.595</v>
      </c>
      <c r="M11" s="123">
        <v>45778.625</v>
      </c>
      <c r="N11" s="3">
        <v>101.696</v>
      </c>
    </row>
    <row r="12" spans="1:14" ht="15" thickBot="1" x14ac:dyDescent="0.35">
      <c r="A12" s="39" t="s">
        <v>22</v>
      </c>
      <c r="B12" s="166" t="s">
        <v>0</v>
      </c>
      <c r="C12" s="167"/>
      <c r="D12" s="168"/>
      <c r="E12" s="163" t="s">
        <v>1</v>
      </c>
      <c r="F12" s="164"/>
      <c r="G12" s="165"/>
      <c r="H12" s="39" t="s">
        <v>16</v>
      </c>
      <c r="J12" s="1"/>
      <c r="K12" s="123">
        <v>45779.625</v>
      </c>
      <c r="L12" s="3">
        <v>114.43300000000001</v>
      </c>
      <c r="M12" s="123">
        <v>45779.625</v>
      </c>
      <c r="N12" s="3">
        <v>101.60599999999999</v>
      </c>
    </row>
    <row r="13" spans="1:14" ht="15" thickBot="1" x14ac:dyDescent="0.35">
      <c r="A13" s="16"/>
      <c r="B13" s="11" t="s">
        <v>24</v>
      </c>
      <c r="C13" s="49" t="s">
        <v>19</v>
      </c>
      <c r="D13" s="22" t="s">
        <v>20</v>
      </c>
      <c r="E13" s="11" t="s">
        <v>17</v>
      </c>
      <c r="F13" s="21" t="s">
        <v>21</v>
      </c>
      <c r="G13" s="22" t="s">
        <v>20</v>
      </c>
      <c r="H13" s="16"/>
      <c r="J13" s="1"/>
      <c r="K13" s="123">
        <v>45782.625</v>
      </c>
      <c r="L13" s="3">
        <v>114.46</v>
      </c>
      <c r="M13" s="123">
        <v>45782.625</v>
      </c>
      <c r="N13" s="3">
        <v>101.73</v>
      </c>
    </row>
    <row r="14" spans="1:14" x14ac:dyDescent="0.3">
      <c r="A14" s="36">
        <v>45957</v>
      </c>
      <c r="B14" s="4">
        <v>99.5</v>
      </c>
      <c r="C14" s="31"/>
      <c r="D14" s="5"/>
      <c r="E14" s="4">
        <v>108.5</v>
      </c>
      <c r="F14" s="1"/>
      <c r="G14" s="5"/>
      <c r="H14" s="78">
        <v>0</v>
      </c>
      <c r="J14" s="1"/>
      <c r="K14" s="123">
        <v>45783.625</v>
      </c>
      <c r="L14" s="3">
        <v>114.01900000000001</v>
      </c>
      <c r="M14" s="123">
        <v>45783.625</v>
      </c>
      <c r="N14" s="3">
        <v>101.38200000000001</v>
      </c>
    </row>
    <row r="15" spans="1:14" x14ac:dyDescent="0.3">
      <c r="A15" s="36">
        <v>45958</v>
      </c>
      <c r="B15" s="3">
        <f>VLOOKUP(A15+$F$2,K:L,2)</f>
        <v>101.04600000000001</v>
      </c>
      <c r="C15" s="31">
        <f>-1*(A15-$A$14)*10^-4*$B$8*$B$5</f>
        <v>-14340.000000000002</v>
      </c>
      <c r="D15" s="32">
        <f>$B$6*(A15-$A$14)/360*$B$5</f>
        <v>833.33333333333337</v>
      </c>
      <c r="E15" s="3">
        <f>VLOOKUP(A15+$F$2,M:N,2)</f>
        <v>108.831</v>
      </c>
      <c r="F15" s="31">
        <f>(E15-$E$14)/100*$C$5</f>
        <v>26480.000000000247</v>
      </c>
      <c r="G15" s="32">
        <f>$C$6*(A15-$A$14)/360*$C$5-$C$7*(A15-$A$14)/360*$C$5*$E$14/100</f>
        <v>900.33333333333348</v>
      </c>
      <c r="H15" s="79">
        <f>(C15+D15)*$B$9-F15-G15</f>
        <v>-43183.133333333586</v>
      </c>
      <c r="J15" s="1"/>
      <c r="K15" s="123">
        <v>45784.625</v>
      </c>
      <c r="L15" s="3">
        <v>113.444</v>
      </c>
      <c r="M15" s="123">
        <v>45784.625</v>
      </c>
      <c r="N15" s="3">
        <v>101.587</v>
      </c>
    </row>
    <row r="16" spans="1:14" x14ac:dyDescent="0.3">
      <c r="A16" s="36">
        <v>45959</v>
      </c>
      <c r="B16" s="3">
        <f t="shared" ref="B16:B18" si="0">VLOOKUP(A16+$F$2,K:L,2)</f>
        <v>99.816999999999993</v>
      </c>
      <c r="C16" s="31">
        <f>-1*(A16-$A$14)*10^-4*$B$8*$B$5</f>
        <v>-28680.000000000004</v>
      </c>
      <c r="D16" s="32">
        <f>$B$6*(A16-$A$14)/360*$B$5</f>
        <v>1666.6666666666667</v>
      </c>
      <c r="E16" s="3">
        <f t="shared" ref="E16:E18" si="1">VLOOKUP(A16+$F$2,M:N,2)</f>
        <v>109.209</v>
      </c>
      <c r="F16" s="31">
        <f>(E16-$E$14)/100*$C$5</f>
        <v>56720.000000000255</v>
      </c>
      <c r="G16" s="32">
        <f>$C$6*(A16-$A$14)/360*$C$5-$C$7*(A16-$A$14)/360*$C$5*$E$14/100</f>
        <v>1800.666666666667</v>
      </c>
      <c r="H16" s="79">
        <f t="shared" ref="H16:H18" si="2">(C16+D16)*$B$9-F16-G16</f>
        <v>-90126.266666666925</v>
      </c>
      <c r="J16" s="1"/>
      <c r="K16" s="123">
        <v>45785.625</v>
      </c>
      <c r="L16" s="3">
        <v>111.55800000000001</v>
      </c>
      <c r="M16" s="123">
        <v>45785.625</v>
      </c>
      <c r="N16" s="3">
        <v>101.84699999999999</v>
      </c>
    </row>
    <row r="17" spans="1:14" x14ac:dyDescent="0.3">
      <c r="A17" s="36">
        <v>45960</v>
      </c>
      <c r="B17" s="3">
        <f t="shared" si="0"/>
        <v>100.447</v>
      </c>
      <c r="C17" s="31">
        <f t="shared" ref="C17:C18" si="3">-1*(A17-$A$14)*10^-4*$B$8*$B$5</f>
        <v>-43020.000000000007</v>
      </c>
      <c r="D17" s="32">
        <f t="shared" ref="D17:D18" si="4">$B$6*(A17-$A$14)/360*$B$5</f>
        <v>2500</v>
      </c>
      <c r="E17" s="3">
        <f t="shared" si="1"/>
        <v>108.801</v>
      </c>
      <c r="F17" s="31">
        <f t="shared" ref="F17:F18" si="5">(E17-$E$14)/100*$C$5</f>
        <v>24080.000000000153</v>
      </c>
      <c r="G17" s="32">
        <f t="shared" ref="G17:G18" si="6">$C$6*(A17-$A$14)/360*$C$5-$C$7*(A17-$A$14)/360*$C$5*$E$14/100</f>
        <v>2701</v>
      </c>
      <c r="H17" s="79">
        <f t="shared" si="2"/>
        <v>-74189.400000000169</v>
      </c>
      <c r="J17" s="1"/>
      <c r="K17" s="123">
        <v>45786.625</v>
      </c>
      <c r="L17" s="3">
        <v>109.861</v>
      </c>
      <c r="M17" s="123">
        <v>45786.625</v>
      </c>
      <c r="N17" s="3">
        <v>101.751</v>
      </c>
    </row>
    <row r="18" spans="1:14" x14ac:dyDescent="0.3">
      <c r="A18" s="36">
        <v>45961</v>
      </c>
      <c r="B18" s="3">
        <f t="shared" si="0"/>
        <v>100.294</v>
      </c>
      <c r="C18" s="31">
        <f t="shared" si="3"/>
        <v>-57360.000000000007</v>
      </c>
      <c r="D18" s="32">
        <f t="shared" si="4"/>
        <v>3333.3333333333335</v>
      </c>
      <c r="E18" s="3">
        <f t="shared" si="1"/>
        <v>108.926</v>
      </c>
      <c r="F18" s="31">
        <f t="shared" si="5"/>
        <v>34080.000000000153</v>
      </c>
      <c r="G18" s="32">
        <f t="shared" si="6"/>
        <v>3601.3333333333339</v>
      </c>
      <c r="H18" s="79">
        <f t="shared" si="2"/>
        <v>-100892.53333333349</v>
      </c>
      <c r="J18" s="1"/>
      <c r="K18" s="123">
        <v>45789.625</v>
      </c>
      <c r="L18" s="3">
        <v>105.154</v>
      </c>
      <c r="M18" s="123">
        <v>45789.625</v>
      </c>
      <c r="N18" s="3">
        <v>102.693</v>
      </c>
    </row>
    <row r="19" spans="1:14" x14ac:dyDescent="0.3">
      <c r="A19" s="36">
        <v>45964</v>
      </c>
      <c r="B19" s="4"/>
      <c r="C19" s="31"/>
      <c r="D19" s="32"/>
      <c r="E19" s="4"/>
      <c r="F19" s="31"/>
      <c r="G19" s="32"/>
      <c r="H19" s="79"/>
      <c r="J19" s="1"/>
      <c r="K19" s="123">
        <v>45790.625</v>
      </c>
      <c r="L19" s="3">
        <v>99.885999999999996</v>
      </c>
      <c r="M19" s="123">
        <v>45790.625</v>
      </c>
      <c r="N19" s="3">
        <v>102.886</v>
      </c>
    </row>
    <row r="20" spans="1:14" x14ac:dyDescent="0.3">
      <c r="A20" s="36">
        <v>45965</v>
      </c>
      <c r="B20" s="4"/>
      <c r="C20" s="31"/>
      <c r="D20" s="32"/>
      <c r="E20" s="4"/>
      <c r="F20" s="31"/>
      <c r="G20" s="32"/>
      <c r="H20" s="79"/>
      <c r="J20" s="1"/>
      <c r="K20" s="123">
        <v>45791.625</v>
      </c>
      <c r="L20" s="3">
        <v>99.960999999999999</v>
      </c>
      <c r="M20" s="123">
        <v>45791.625</v>
      </c>
      <c r="N20" s="3">
        <v>102.705</v>
      </c>
    </row>
    <row r="21" spans="1:14" x14ac:dyDescent="0.3">
      <c r="A21" s="36">
        <v>45966</v>
      </c>
      <c r="B21" s="4"/>
      <c r="C21" s="31"/>
      <c r="D21" s="32"/>
      <c r="E21" s="4"/>
      <c r="F21" s="31"/>
      <c r="G21" s="32"/>
      <c r="H21" s="79"/>
      <c r="J21" s="1"/>
      <c r="K21" s="123">
        <v>45792.625</v>
      </c>
      <c r="L21" s="3">
        <v>102.67700000000001</v>
      </c>
      <c r="M21" s="123">
        <v>45792.625</v>
      </c>
      <c r="N21" s="3">
        <v>102.666</v>
      </c>
    </row>
    <row r="22" spans="1:14" x14ac:dyDescent="0.3">
      <c r="A22" s="36">
        <v>45967</v>
      </c>
      <c r="B22" s="4"/>
      <c r="C22" s="31"/>
      <c r="D22" s="32"/>
      <c r="E22" s="4"/>
      <c r="F22" s="31"/>
      <c r="G22" s="32"/>
      <c r="H22" s="79"/>
      <c r="J22" s="1"/>
      <c r="K22" s="123">
        <v>45793.625</v>
      </c>
      <c r="L22" s="3">
        <v>101.176</v>
      </c>
      <c r="M22" s="123">
        <v>45793.625</v>
      </c>
      <c r="N22" s="3">
        <v>102.962</v>
      </c>
    </row>
    <row r="23" spans="1:14" ht="14.4" hidden="1" customHeight="1" x14ac:dyDescent="0.3">
      <c r="A23" s="36">
        <v>45968</v>
      </c>
      <c r="B23" s="4"/>
      <c r="C23" s="31"/>
      <c r="D23" s="32"/>
      <c r="E23" s="4"/>
      <c r="F23" s="31"/>
      <c r="G23" s="32"/>
      <c r="H23" s="79"/>
      <c r="J23" s="1"/>
      <c r="K23" s="123">
        <v>45796.625</v>
      </c>
      <c r="L23" s="3">
        <v>101.77</v>
      </c>
      <c r="M23" s="123">
        <v>45796.625</v>
      </c>
      <c r="N23" s="3">
        <v>102.47499999999999</v>
      </c>
    </row>
    <row r="24" spans="1:14" ht="14.4" hidden="1" customHeight="1" x14ac:dyDescent="0.3">
      <c r="A24" s="36">
        <v>45969</v>
      </c>
      <c r="B24" s="4"/>
      <c r="C24" s="31"/>
      <c r="D24" s="32"/>
      <c r="E24" s="4"/>
      <c r="F24" s="31"/>
      <c r="G24" s="32"/>
      <c r="H24" s="79"/>
      <c r="J24" s="1"/>
      <c r="K24" s="123">
        <v>45797.625</v>
      </c>
      <c r="L24" s="3">
        <v>100.45099999999999</v>
      </c>
      <c r="M24" s="123">
        <v>45797.625</v>
      </c>
      <c r="N24" s="3">
        <v>102.61499999999999</v>
      </c>
    </row>
    <row r="25" spans="1:14" ht="14.4" hidden="1" customHeight="1" x14ac:dyDescent="0.3">
      <c r="A25" s="36">
        <v>45970</v>
      </c>
      <c r="B25" s="4"/>
      <c r="C25" s="31"/>
      <c r="D25" s="32"/>
      <c r="E25" s="4"/>
      <c r="F25" s="31"/>
      <c r="G25" s="32"/>
      <c r="H25" s="79"/>
      <c r="J25" s="1"/>
      <c r="K25" s="123">
        <v>45798.625</v>
      </c>
      <c r="L25" s="3">
        <v>101.446</v>
      </c>
      <c r="M25" s="123">
        <v>45798.625</v>
      </c>
      <c r="N25" s="3">
        <v>102.56100000000001</v>
      </c>
    </row>
    <row r="26" spans="1:14" ht="14.4" hidden="1" customHeight="1" x14ac:dyDescent="0.3">
      <c r="A26" s="36"/>
      <c r="B26" s="4"/>
      <c r="C26" s="31"/>
      <c r="D26" s="32"/>
      <c r="E26" s="4"/>
      <c r="F26" s="31"/>
      <c r="G26" s="32"/>
      <c r="H26" s="79"/>
      <c r="J26" s="1"/>
      <c r="K26" s="123">
        <v>45799.625</v>
      </c>
      <c r="L26" s="3">
        <v>104.67400000000001</v>
      </c>
      <c r="M26" s="123">
        <v>45799.625</v>
      </c>
      <c r="N26" s="3">
        <v>102.354</v>
      </c>
    </row>
    <row r="27" spans="1:14" ht="14.4" hidden="1" customHeight="1" x14ac:dyDescent="0.3">
      <c r="A27" s="37"/>
      <c r="B27" s="4"/>
      <c r="C27" s="31"/>
      <c r="D27" s="32"/>
      <c r="E27" s="4"/>
      <c r="F27" s="31"/>
      <c r="G27" s="32"/>
      <c r="H27" s="79"/>
      <c r="J27" s="1"/>
      <c r="K27" s="123">
        <v>45800.625</v>
      </c>
      <c r="L27" s="3">
        <v>104.48</v>
      </c>
      <c r="M27" s="123">
        <v>45800.625</v>
      </c>
      <c r="N27" s="3">
        <v>102.21599999999999</v>
      </c>
    </row>
    <row r="28" spans="1:14" ht="14.4" hidden="1" customHeight="1" x14ac:dyDescent="0.3">
      <c r="A28" s="36"/>
      <c r="B28" s="4"/>
      <c r="C28" s="31"/>
      <c r="D28" s="32"/>
      <c r="E28" s="4"/>
      <c r="F28" s="31"/>
      <c r="G28" s="32"/>
      <c r="H28" s="79"/>
      <c r="J28" s="1"/>
      <c r="K28" s="123">
        <v>45803.625</v>
      </c>
      <c r="L28" s="3">
        <v>104.973</v>
      </c>
      <c r="M28" s="123">
        <v>45804.625</v>
      </c>
      <c r="N28" s="3">
        <v>102.709</v>
      </c>
    </row>
    <row r="29" spans="1:14" ht="14.4" hidden="1" customHeight="1" x14ac:dyDescent="0.3">
      <c r="A29" s="36"/>
      <c r="B29" s="4"/>
      <c r="C29" s="31"/>
      <c r="D29" s="32"/>
      <c r="E29" s="4"/>
      <c r="F29" s="31"/>
      <c r="G29" s="32"/>
      <c r="H29" s="79"/>
      <c r="J29" s="1"/>
      <c r="K29" s="123">
        <v>45804.625</v>
      </c>
      <c r="L29" s="3">
        <v>100.896</v>
      </c>
      <c r="M29" s="123">
        <v>45805.625</v>
      </c>
      <c r="N29" s="3">
        <v>102.91</v>
      </c>
    </row>
    <row r="30" spans="1:14" ht="14.4" hidden="1" customHeight="1" x14ac:dyDescent="0.3">
      <c r="A30" s="36"/>
      <c r="B30" s="4"/>
      <c r="C30" s="31"/>
      <c r="D30" s="32"/>
      <c r="E30" s="4"/>
      <c r="F30" s="31"/>
      <c r="G30" s="32"/>
      <c r="H30" s="79"/>
      <c r="J30" s="1"/>
      <c r="K30" s="123">
        <v>45805.625</v>
      </c>
      <c r="L30" s="3">
        <v>101.648</v>
      </c>
      <c r="M30" s="123">
        <v>45806.625</v>
      </c>
      <c r="N30" s="3">
        <v>103.173</v>
      </c>
    </row>
    <row r="31" spans="1:14" ht="14.4" hidden="1" customHeight="1" x14ac:dyDescent="0.3">
      <c r="A31" s="36"/>
      <c r="B31" s="4"/>
      <c r="C31" s="31"/>
      <c r="D31" s="32"/>
      <c r="E31" s="4"/>
      <c r="F31" s="31"/>
      <c r="G31" s="32"/>
      <c r="H31" s="79"/>
      <c r="J31" s="1"/>
      <c r="K31" s="123">
        <v>45806.625</v>
      </c>
      <c r="L31" s="3">
        <v>99.975999999999999</v>
      </c>
      <c r="M31" s="123">
        <v>45807.625</v>
      </c>
      <c r="N31" s="3">
        <v>103.304</v>
      </c>
    </row>
    <row r="32" spans="1:14" ht="14.4" hidden="1" customHeight="1" x14ac:dyDescent="0.3">
      <c r="A32" s="36"/>
      <c r="B32" s="4"/>
      <c r="C32" s="31"/>
      <c r="D32" s="32"/>
      <c r="E32" s="4"/>
      <c r="F32" s="1"/>
      <c r="G32" s="32"/>
      <c r="H32" s="79"/>
      <c r="J32" s="1"/>
      <c r="K32" s="123">
        <v>45807.625</v>
      </c>
      <c r="L32" s="3">
        <v>100.161</v>
      </c>
      <c r="M32" s="123">
        <v>45810.625</v>
      </c>
      <c r="N32" s="3">
        <v>103.253</v>
      </c>
    </row>
    <row r="33" spans="1:14" ht="14.4" hidden="1" customHeight="1" x14ac:dyDescent="0.3">
      <c r="A33" s="36"/>
      <c r="B33" s="4"/>
      <c r="C33" s="31"/>
      <c r="D33" s="32"/>
      <c r="E33" s="4"/>
      <c r="F33" s="1"/>
      <c r="G33" s="32"/>
      <c r="H33" s="79"/>
      <c r="J33" s="1"/>
      <c r="K33" s="123">
        <v>45810.625</v>
      </c>
      <c r="L33" s="3">
        <v>100.687</v>
      </c>
      <c r="M33" s="123">
        <v>45811.625</v>
      </c>
      <c r="N33" s="3">
        <v>103.304</v>
      </c>
    </row>
    <row r="34" spans="1:14" ht="14.4" hidden="1" customHeight="1" x14ac:dyDescent="0.3">
      <c r="A34" s="36"/>
      <c r="B34" s="4"/>
      <c r="C34" s="31"/>
      <c r="D34" s="32"/>
      <c r="E34" s="4"/>
      <c r="F34" s="1"/>
      <c r="G34" s="32"/>
      <c r="H34" s="79"/>
      <c r="J34" s="1"/>
      <c r="K34" s="123">
        <v>45811.625</v>
      </c>
      <c r="L34" s="3">
        <v>100.36</v>
      </c>
      <c r="M34" s="123">
        <v>45812.625</v>
      </c>
      <c r="N34" s="3">
        <v>103.824</v>
      </c>
    </row>
    <row r="35" spans="1:14" ht="14.4" hidden="1" customHeight="1" x14ac:dyDescent="0.3">
      <c r="A35" s="36"/>
      <c r="B35" s="4"/>
      <c r="C35" s="31"/>
      <c r="D35" s="32"/>
      <c r="E35" s="4"/>
      <c r="F35" s="1"/>
      <c r="G35" s="32"/>
      <c r="H35" s="79"/>
      <c r="J35" s="1"/>
      <c r="K35" s="123">
        <v>45812.625</v>
      </c>
      <c r="L35" s="3">
        <v>99.268000000000001</v>
      </c>
      <c r="M35" s="123">
        <v>45813.625</v>
      </c>
      <c r="N35" s="3">
        <v>103.94499999999999</v>
      </c>
    </row>
    <row r="36" spans="1:14" ht="14.4" hidden="1" customHeight="1" x14ac:dyDescent="0.3">
      <c r="A36" s="36"/>
      <c r="B36" s="4"/>
      <c r="C36" s="31"/>
      <c r="D36" s="32"/>
      <c r="E36" s="4"/>
      <c r="F36" s="1"/>
      <c r="G36" s="32"/>
      <c r="H36" s="79"/>
      <c r="J36" s="1"/>
      <c r="K36" s="123">
        <v>45813.625</v>
      </c>
      <c r="L36" s="3">
        <v>99.311999999999998</v>
      </c>
      <c r="M36" s="123">
        <v>45814.625</v>
      </c>
      <c r="N36" s="3">
        <v>104.229</v>
      </c>
    </row>
    <row r="37" spans="1:14" x14ac:dyDescent="0.3">
      <c r="A37" s="36"/>
      <c r="B37" s="4"/>
      <c r="C37" s="31"/>
      <c r="D37" s="32"/>
      <c r="E37" s="4"/>
      <c r="F37" s="1"/>
      <c r="G37" s="32"/>
      <c r="H37" s="79"/>
      <c r="J37" s="1"/>
      <c r="K37" s="123">
        <v>45814.625</v>
      </c>
      <c r="L37" s="3">
        <v>99.111999999999995</v>
      </c>
      <c r="M37" s="123">
        <v>45817.625</v>
      </c>
      <c r="N37" s="3">
        <v>104.57899999999999</v>
      </c>
    </row>
    <row r="38" spans="1:14" x14ac:dyDescent="0.3">
      <c r="A38" s="36"/>
      <c r="B38" s="4"/>
      <c r="C38" s="31"/>
      <c r="D38" s="32"/>
      <c r="E38" s="4"/>
      <c r="F38" s="1"/>
      <c r="G38" s="32"/>
      <c r="H38" s="79"/>
      <c r="J38" s="1"/>
      <c r="K38" s="123">
        <v>45817.625</v>
      </c>
      <c r="L38" s="3">
        <v>97.832999999999998</v>
      </c>
      <c r="M38" s="123">
        <v>45818.625</v>
      </c>
      <c r="N38" s="3">
        <v>104.577</v>
      </c>
    </row>
    <row r="39" spans="1:14" x14ac:dyDescent="0.3">
      <c r="A39" s="36"/>
      <c r="B39" s="4"/>
      <c r="C39" s="31"/>
      <c r="D39" s="32"/>
      <c r="E39" s="4"/>
      <c r="F39" s="1"/>
      <c r="G39" s="32"/>
      <c r="H39" s="79"/>
      <c r="J39" s="1"/>
      <c r="K39" s="123">
        <v>45818.625</v>
      </c>
      <c r="L39" s="3">
        <v>97.355999999999995</v>
      </c>
      <c r="M39" s="123">
        <v>45819.625</v>
      </c>
      <c r="N39" s="3">
        <v>104.82599999999999</v>
      </c>
    </row>
    <row r="40" spans="1:14" x14ac:dyDescent="0.3">
      <c r="A40" s="36"/>
      <c r="B40" s="4"/>
      <c r="C40" s="31"/>
      <c r="D40" s="32"/>
      <c r="E40" s="4"/>
      <c r="F40" s="1"/>
      <c r="G40" s="32"/>
      <c r="H40" s="79"/>
      <c r="J40" s="1"/>
      <c r="K40" s="123">
        <v>45819.625</v>
      </c>
      <c r="L40" s="3">
        <v>96.275000000000006</v>
      </c>
      <c r="M40" s="123">
        <v>45820.625</v>
      </c>
      <c r="N40" s="3">
        <v>104.813</v>
      </c>
    </row>
    <row r="41" spans="1:14" x14ac:dyDescent="0.3">
      <c r="A41" s="36"/>
      <c r="B41" s="4"/>
      <c r="C41" s="31"/>
      <c r="D41" s="32"/>
      <c r="E41" s="4"/>
      <c r="F41" s="1"/>
      <c r="G41" s="32"/>
      <c r="H41" s="79"/>
      <c r="J41" s="1"/>
      <c r="K41" s="123">
        <v>45820.625</v>
      </c>
      <c r="L41" s="3">
        <v>97.052999999999997</v>
      </c>
      <c r="M41" s="123">
        <v>45821.625</v>
      </c>
      <c r="N41" s="3">
        <v>104.47199999999999</v>
      </c>
    </row>
    <row r="42" spans="1:14" x14ac:dyDescent="0.3">
      <c r="A42" s="36"/>
      <c r="B42" s="4"/>
      <c r="C42" s="31"/>
      <c r="D42" s="32"/>
      <c r="E42" s="4"/>
      <c r="F42" s="1"/>
      <c r="G42" s="32"/>
      <c r="H42" s="79"/>
      <c r="J42" s="1"/>
      <c r="K42" s="123">
        <v>45821.625</v>
      </c>
      <c r="L42" s="3">
        <v>100.646</v>
      </c>
      <c r="M42" s="123">
        <v>45824.625</v>
      </c>
      <c r="N42" s="3">
        <v>104.629</v>
      </c>
    </row>
    <row r="43" spans="1:14" x14ac:dyDescent="0.3">
      <c r="A43" s="36"/>
      <c r="B43" s="4"/>
      <c r="C43" s="31"/>
      <c r="D43" s="32"/>
      <c r="E43" s="4"/>
      <c r="F43" s="1"/>
      <c r="G43" s="32"/>
      <c r="H43" s="79"/>
      <c r="J43" s="1"/>
      <c r="K43" s="123">
        <v>45824.625</v>
      </c>
      <c r="L43" s="3">
        <v>98.992000000000004</v>
      </c>
      <c r="M43" s="123">
        <v>45825.625</v>
      </c>
      <c r="N43" s="3">
        <v>104.45399999999999</v>
      </c>
    </row>
    <row r="44" spans="1:14" x14ac:dyDescent="0.3">
      <c r="A44" s="36"/>
      <c r="B44" s="4"/>
      <c r="C44" s="31"/>
      <c r="D44" s="32"/>
      <c r="E44" s="4"/>
      <c r="F44" s="1"/>
      <c r="G44" s="32"/>
      <c r="H44" s="79"/>
      <c r="J44" s="1"/>
      <c r="K44" s="123">
        <v>45825.625</v>
      </c>
      <c r="L44" s="3">
        <v>99.960999999999999</v>
      </c>
      <c r="M44" s="123">
        <v>45826.625</v>
      </c>
      <c r="N44" s="3">
        <v>104.577</v>
      </c>
    </row>
    <row r="45" spans="1:14" x14ac:dyDescent="0.3">
      <c r="A45" s="36"/>
      <c r="B45" s="4"/>
      <c r="C45" s="31"/>
      <c r="D45" s="32"/>
      <c r="E45" s="4"/>
      <c r="F45" s="1"/>
      <c r="G45" s="32"/>
      <c r="H45" s="79"/>
      <c r="J45" s="1"/>
      <c r="K45" s="123">
        <v>45826.625</v>
      </c>
      <c r="L45" s="3">
        <v>101.992</v>
      </c>
      <c r="M45" s="123">
        <v>45828.625</v>
      </c>
      <c r="N45" s="3">
        <v>104.30800000000001</v>
      </c>
    </row>
    <row r="46" spans="1:14" x14ac:dyDescent="0.3">
      <c r="A46" s="36"/>
      <c r="B46" s="4"/>
      <c r="C46" s="31"/>
      <c r="D46" s="32"/>
      <c r="E46" s="4"/>
      <c r="F46" s="1"/>
      <c r="G46" s="32"/>
      <c r="H46" s="79"/>
      <c r="J46" s="1"/>
      <c r="K46" s="123">
        <v>45827.625</v>
      </c>
      <c r="L46" s="3">
        <v>105.15300000000001</v>
      </c>
      <c r="M46" s="123">
        <v>45831.625</v>
      </c>
      <c r="N46" s="3">
        <v>104.133</v>
      </c>
    </row>
    <row r="47" spans="1:14" x14ac:dyDescent="0.3">
      <c r="A47" s="36"/>
      <c r="B47" s="4"/>
      <c r="C47" s="31"/>
      <c r="D47" s="32"/>
      <c r="E47" s="4"/>
      <c r="F47" s="1"/>
      <c r="G47" s="32"/>
      <c r="H47" s="79"/>
      <c r="J47" s="1"/>
      <c r="K47" s="123">
        <v>45828.625</v>
      </c>
      <c r="L47" s="3">
        <v>104.91800000000001</v>
      </c>
      <c r="M47" s="123">
        <v>45832.625</v>
      </c>
      <c r="N47" s="3">
        <v>104.483</v>
      </c>
    </row>
    <row r="48" spans="1:14" x14ac:dyDescent="0.3">
      <c r="A48" s="36"/>
      <c r="B48" s="4"/>
      <c r="C48" s="31"/>
      <c r="D48" s="32"/>
      <c r="E48" s="4"/>
      <c r="F48" s="1"/>
      <c r="G48" s="32"/>
      <c r="H48" s="79"/>
      <c r="J48" s="1"/>
      <c r="K48" s="123">
        <v>45831.625</v>
      </c>
      <c r="L48" s="3">
        <v>105.04900000000001</v>
      </c>
      <c r="M48" s="123">
        <v>45833.625</v>
      </c>
      <c r="N48" s="3">
        <v>104.355</v>
      </c>
    </row>
    <row r="49" spans="1:14" x14ac:dyDescent="0.3">
      <c r="A49" s="36"/>
      <c r="B49" s="4"/>
      <c r="C49" s="31"/>
      <c r="D49" s="32"/>
      <c r="E49" s="4"/>
      <c r="F49" s="1"/>
      <c r="G49" s="32"/>
      <c r="H49" s="79"/>
      <c r="J49" s="1"/>
      <c r="K49" s="123">
        <v>45832.625</v>
      </c>
      <c r="L49" s="3">
        <v>98.676000000000002</v>
      </c>
      <c r="M49" s="123">
        <v>45834.625</v>
      </c>
      <c r="N49" s="3">
        <v>104.348</v>
      </c>
    </row>
    <row r="50" spans="1:14" x14ac:dyDescent="0.3">
      <c r="A50" s="36"/>
      <c r="B50" s="4"/>
      <c r="C50" s="31"/>
      <c r="D50" s="32"/>
      <c r="E50" s="4"/>
      <c r="F50" s="1"/>
      <c r="G50" s="32"/>
      <c r="H50" s="79"/>
      <c r="J50" s="1"/>
      <c r="K50" s="123">
        <v>45833.625</v>
      </c>
      <c r="L50" s="3">
        <v>99.372</v>
      </c>
      <c r="M50" s="123">
        <v>45835.625</v>
      </c>
      <c r="N50" s="3">
        <v>104.60299999999999</v>
      </c>
    </row>
    <row r="51" spans="1:14" x14ac:dyDescent="0.3">
      <c r="A51" s="36"/>
      <c r="B51" s="4"/>
      <c r="C51" s="31"/>
      <c r="D51" s="32"/>
      <c r="E51" s="4"/>
      <c r="F51" s="1"/>
      <c r="G51" s="32"/>
      <c r="H51" s="79"/>
      <c r="J51" s="1"/>
      <c r="K51" s="123">
        <v>45834.625</v>
      </c>
      <c r="L51" s="3">
        <v>99.778000000000006</v>
      </c>
      <c r="M51" s="123">
        <v>45838.625</v>
      </c>
      <c r="N51" s="3">
        <v>104.544</v>
      </c>
    </row>
    <row r="52" spans="1:14" x14ac:dyDescent="0.3">
      <c r="A52" s="36"/>
      <c r="B52" s="4"/>
      <c r="C52" s="31"/>
      <c r="D52" s="32"/>
      <c r="E52" s="4"/>
      <c r="F52" s="1"/>
      <c r="G52" s="32"/>
      <c r="H52" s="79"/>
      <c r="J52" s="1"/>
      <c r="K52" s="123">
        <v>45835.625</v>
      </c>
      <c r="L52" s="3">
        <v>98.491</v>
      </c>
      <c r="M52" s="123">
        <v>45839.625</v>
      </c>
      <c r="N52" s="3">
        <v>105.163</v>
      </c>
    </row>
    <row r="53" spans="1:14" x14ac:dyDescent="0.3">
      <c r="A53" s="36"/>
      <c r="B53" s="4"/>
      <c r="C53" s="31"/>
      <c r="D53" s="32"/>
      <c r="E53" s="4"/>
      <c r="F53" s="1"/>
      <c r="G53" s="32"/>
      <c r="H53" s="79"/>
      <c r="J53" s="1"/>
      <c r="K53" s="123">
        <v>45838.625</v>
      </c>
      <c r="L53" s="3">
        <v>97.775999999999996</v>
      </c>
      <c r="M53" s="123">
        <v>45840.625</v>
      </c>
      <c r="N53" s="3">
        <v>105.188</v>
      </c>
    </row>
    <row r="54" spans="1:14" x14ac:dyDescent="0.3">
      <c r="A54" s="36"/>
      <c r="B54" s="4"/>
      <c r="C54" s="31"/>
      <c r="D54" s="32"/>
      <c r="E54" s="4"/>
      <c r="F54" s="1"/>
      <c r="G54" s="32"/>
      <c r="H54" s="79"/>
      <c r="J54" s="1"/>
      <c r="K54" s="123">
        <v>45839.625</v>
      </c>
      <c r="L54" s="3">
        <v>97.828000000000003</v>
      </c>
      <c r="M54" s="123">
        <v>45841.625</v>
      </c>
      <c r="N54" s="3">
        <v>105.215</v>
      </c>
    </row>
    <row r="55" spans="1:14" x14ac:dyDescent="0.3">
      <c r="A55" s="36"/>
      <c r="B55" s="4"/>
      <c r="C55" s="31"/>
      <c r="D55" s="5"/>
      <c r="E55" s="4"/>
      <c r="F55" s="1"/>
      <c r="G55" s="5"/>
      <c r="H55" s="78"/>
      <c r="J55" s="1"/>
      <c r="K55" s="123">
        <v>45840.625</v>
      </c>
      <c r="L55" s="3">
        <v>96.846999999999994</v>
      </c>
      <c r="M55" s="123">
        <v>45845.625</v>
      </c>
      <c r="N55" s="3">
        <v>105.322</v>
      </c>
    </row>
    <row r="56" spans="1:14" x14ac:dyDescent="0.3">
      <c r="A56" s="36"/>
      <c r="B56" s="4"/>
      <c r="C56" s="31"/>
      <c r="D56" s="5"/>
      <c r="E56" s="4"/>
      <c r="F56" s="1"/>
      <c r="G56" s="5"/>
      <c r="H56" s="78"/>
      <c r="J56" s="1"/>
      <c r="K56" s="123">
        <v>45841.625</v>
      </c>
      <c r="L56" s="3">
        <v>96.338999999999999</v>
      </c>
      <c r="M56" s="123">
        <v>45846.625</v>
      </c>
      <c r="N56" s="3">
        <v>105.304</v>
      </c>
    </row>
    <row r="57" spans="1:14" x14ac:dyDescent="0.3">
      <c r="A57" s="36"/>
      <c r="B57" s="4"/>
      <c r="C57" s="31"/>
      <c r="D57" s="5"/>
      <c r="E57" s="4"/>
      <c r="F57" s="1"/>
      <c r="G57" s="5"/>
      <c r="H57" s="78"/>
      <c r="J57" s="1"/>
      <c r="K57" s="123">
        <v>45842.625</v>
      </c>
      <c r="L57" s="3">
        <v>97.531999999999996</v>
      </c>
      <c r="M57" s="123">
        <v>45847.625</v>
      </c>
      <c r="N57" s="3">
        <v>105.428</v>
      </c>
    </row>
    <row r="58" spans="1:14" x14ac:dyDescent="0.3">
      <c r="B58" s="33"/>
      <c r="D58" s="34"/>
      <c r="E58" s="33"/>
      <c r="G58" s="34"/>
      <c r="H58" s="80"/>
      <c r="K58" s="123">
        <v>45845.625</v>
      </c>
      <c r="L58" s="3">
        <v>97.003</v>
      </c>
      <c r="M58" s="123">
        <v>45848.625</v>
      </c>
      <c r="N58" s="3">
        <v>105.545</v>
      </c>
    </row>
    <row r="59" spans="1:14" ht="15" thickBot="1" x14ac:dyDescent="0.35">
      <c r="B59" s="35"/>
      <c r="C59" s="67"/>
      <c r="D59" s="13"/>
      <c r="E59" s="35"/>
      <c r="F59" s="12"/>
      <c r="G59" s="13"/>
      <c r="H59" s="81"/>
      <c r="K59" s="123">
        <v>45846.625</v>
      </c>
      <c r="L59" s="3">
        <v>96.25</v>
      </c>
      <c r="M59" s="123">
        <v>45849.625</v>
      </c>
      <c r="N59" s="3">
        <v>105.447</v>
      </c>
    </row>
    <row r="60" spans="1:14" x14ac:dyDescent="0.3">
      <c r="K60" s="123">
        <v>45847.625</v>
      </c>
      <c r="L60" s="3">
        <v>96.17</v>
      </c>
      <c r="M60" s="123">
        <v>45852.625</v>
      </c>
      <c r="N60" s="3">
        <v>105.313</v>
      </c>
    </row>
    <row r="61" spans="1:14" x14ac:dyDescent="0.3">
      <c r="K61" s="123">
        <v>45848.625</v>
      </c>
      <c r="L61" s="3">
        <v>94.885999999999996</v>
      </c>
      <c r="M61" s="123">
        <v>45853.625</v>
      </c>
      <c r="N61" s="3">
        <v>105.245</v>
      </c>
    </row>
    <row r="62" spans="1:14" x14ac:dyDescent="0.3">
      <c r="K62" s="123">
        <v>45849.625</v>
      </c>
      <c r="L62" s="3">
        <v>96.510999999999996</v>
      </c>
      <c r="M62" s="123">
        <v>45854.625</v>
      </c>
      <c r="N62" s="3">
        <v>105.136</v>
      </c>
    </row>
    <row r="63" spans="1:14" x14ac:dyDescent="0.3">
      <c r="K63" s="123">
        <v>45852.625</v>
      </c>
      <c r="L63" s="3">
        <v>97.629000000000005</v>
      </c>
      <c r="M63" s="123">
        <v>45855.625</v>
      </c>
      <c r="N63" s="3">
        <v>105.104</v>
      </c>
    </row>
    <row r="64" spans="1:14" x14ac:dyDescent="0.3">
      <c r="K64" s="123">
        <v>45853.625</v>
      </c>
      <c r="L64" s="3">
        <v>97.247</v>
      </c>
      <c r="M64" s="123">
        <v>45856.625</v>
      </c>
      <c r="N64" s="3">
        <v>105.011</v>
      </c>
    </row>
    <row r="65" spans="11:14" x14ac:dyDescent="0.3">
      <c r="K65" s="123">
        <v>45854.625</v>
      </c>
      <c r="L65" s="3">
        <v>98.581000000000003</v>
      </c>
      <c r="M65" s="123">
        <v>45859.625</v>
      </c>
      <c r="N65" s="3">
        <v>105.11499999999999</v>
      </c>
    </row>
    <row r="66" spans="11:14" x14ac:dyDescent="0.3">
      <c r="K66" s="123">
        <v>45855.625</v>
      </c>
      <c r="L66" s="3">
        <v>97.709000000000003</v>
      </c>
      <c r="M66" s="123">
        <v>45860.625</v>
      </c>
      <c r="N66" s="3">
        <v>105.175</v>
      </c>
    </row>
    <row r="67" spans="11:14" x14ac:dyDescent="0.3">
      <c r="K67" s="123">
        <v>45856.625</v>
      </c>
      <c r="L67" s="3">
        <v>97.168999999999997</v>
      </c>
      <c r="M67" s="123">
        <v>45861.625</v>
      </c>
      <c r="N67" s="3">
        <v>105.383</v>
      </c>
    </row>
    <row r="68" spans="11:14" x14ac:dyDescent="0.3">
      <c r="K68" s="123">
        <v>45859.625</v>
      </c>
      <c r="L68" s="3">
        <v>97.474000000000004</v>
      </c>
      <c r="M68" s="123">
        <v>45862.625</v>
      </c>
      <c r="N68" s="3">
        <v>105.568</v>
      </c>
    </row>
    <row r="69" spans="11:14" x14ac:dyDescent="0.3">
      <c r="K69" s="123">
        <v>45860.625</v>
      </c>
      <c r="L69" s="3">
        <v>98.94</v>
      </c>
      <c r="M69" s="123">
        <v>45863.625</v>
      </c>
      <c r="N69" s="3">
        <v>105.569</v>
      </c>
    </row>
    <row r="70" spans="11:14" x14ac:dyDescent="0.3">
      <c r="K70" s="123">
        <v>45861.625</v>
      </c>
      <c r="L70" s="3">
        <v>97.263999999999996</v>
      </c>
      <c r="M70" s="123">
        <v>45866.625</v>
      </c>
      <c r="N70" s="3">
        <v>105.9</v>
      </c>
    </row>
    <row r="71" spans="11:14" x14ac:dyDescent="0.3">
      <c r="K71" s="123">
        <v>45862.625</v>
      </c>
      <c r="L71" s="3">
        <v>96.298000000000002</v>
      </c>
      <c r="M71" s="123">
        <v>45867.625</v>
      </c>
      <c r="N71" s="3">
        <v>106.20099999999999</v>
      </c>
    </row>
    <row r="72" spans="11:14" x14ac:dyDescent="0.3">
      <c r="K72" s="123">
        <v>45863.625</v>
      </c>
      <c r="L72" s="3">
        <v>96.741</v>
      </c>
      <c r="M72" s="123">
        <v>45868.625</v>
      </c>
      <c r="N72" s="3">
        <v>106.04300000000001</v>
      </c>
    </row>
    <row r="73" spans="11:14" x14ac:dyDescent="0.3">
      <c r="K73" s="123">
        <v>45866.625</v>
      </c>
      <c r="L73" s="3">
        <v>94.462000000000003</v>
      </c>
      <c r="M73" s="123">
        <v>45869.625</v>
      </c>
      <c r="N73" s="3">
        <v>106.126</v>
      </c>
    </row>
    <row r="74" spans="11:14" x14ac:dyDescent="0.3">
      <c r="K74" s="123">
        <v>45867.625</v>
      </c>
      <c r="L74" s="3">
        <v>94.534000000000006</v>
      </c>
      <c r="M74" s="123">
        <v>45870.625</v>
      </c>
      <c r="N74" s="3">
        <v>105.777</v>
      </c>
    </row>
    <row r="75" spans="11:14" x14ac:dyDescent="0.3">
      <c r="K75" s="123">
        <v>45868.625</v>
      </c>
      <c r="L75" s="3">
        <v>94.784000000000006</v>
      </c>
      <c r="M75" s="123">
        <v>45873.625</v>
      </c>
      <c r="N75" s="3">
        <v>105.955</v>
      </c>
    </row>
    <row r="76" spans="11:14" x14ac:dyDescent="0.3">
      <c r="K76" s="123">
        <v>45869.625</v>
      </c>
      <c r="L76" s="3">
        <v>94.63</v>
      </c>
      <c r="M76" s="123">
        <v>45874.625</v>
      </c>
      <c r="N76" s="3">
        <v>105.886</v>
      </c>
    </row>
    <row r="77" spans="11:14" x14ac:dyDescent="0.3">
      <c r="K77" s="123">
        <v>45870.625</v>
      </c>
      <c r="L77" s="3">
        <v>98.915000000000006</v>
      </c>
      <c r="M77" s="123">
        <v>45875.625</v>
      </c>
      <c r="N77" s="3">
        <v>105.95399999999999</v>
      </c>
    </row>
    <row r="78" spans="11:14" x14ac:dyDescent="0.3">
      <c r="K78" s="123">
        <v>45873.625</v>
      </c>
      <c r="L78" s="3">
        <v>98.665000000000006</v>
      </c>
      <c r="M78" s="123">
        <v>45876.625</v>
      </c>
      <c r="N78" s="3">
        <v>106.23699999999999</v>
      </c>
    </row>
    <row r="79" spans="11:14" x14ac:dyDescent="0.3">
      <c r="K79" s="123">
        <v>45874.625</v>
      </c>
      <c r="L79" s="3">
        <v>97.302999999999997</v>
      </c>
      <c r="M79" s="123">
        <v>45877.625</v>
      </c>
      <c r="N79" s="3">
        <v>106.59699999999999</v>
      </c>
    </row>
    <row r="80" spans="11:14" x14ac:dyDescent="0.3">
      <c r="K80" s="123">
        <v>45875.625</v>
      </c>
      <c r="L80" s="3">
        <v>97.346999999999994</v>
      </c>
      <c r="M80" s="123">
        <v>45880.625</v>
      </c>
      <c r="N80" s="3">
        <v>106.497</v>
      </c>
    </row>
    <row r="81" spans="11:14" x14ac:dyDescent="0.3">
      <c r="K81" s="123">
        <v>45876.625</v>
      </c>
      <c r="L81" s="3">
        <v>95.873999999999995</v>
      </c>
      <c r="M81" s="123">
        <v>45881.625</v>
      </c>
      <c r="N81" s="3">
        <v>106.649</v>
      </c>
    </row>
    <row r="82" spans="11:14" x14ac:dyDescent="0.3">
      <c r="K82" s="123">
        <v>45877.625</v>
      </c>
      <c r="L82" s="3">
        <v>95.239000000000004</v>
      </c>
      <c r="M82" s="123">
        <v>45882.625</v>
      </c>
      <c r="N82" s="3">
        <v>106.746</v>
      </c>
    </row>
    <row r="83" spans="11:14" x14ac:dyDescent="0.3">
      <c r="K83" s="123">
        <v>45880.625</v>
      </c>
      <c r="L83" s="3">
        <v>94.683000000000007</v>
      </c>
      <c r="M83" s="123">
        <v>45883.625</v>
      </c>
      <c r="N83" s="3">
        <v>106.82</v>
      </c>
    </row>
    <row r="84" spans="11:14" x14ac:dyDescent="0.3">
      <c r="K84" s="123">
        <v>45881.625</v>
      </c>
      <c r="L84" s="3">
        <v>94.650999999999996</v>
      </c>
      <c r="M84" s="123">
        <v>45884.625</v>
      </c>
      <c r="N84" s="3">
        <v>106.887</v>
      </c>
    </row>
    <row r="85" spans="11:14" x14ac:dyDescent="0.3">
      <c r="K85" s="123">
        <v>45882.625</v>
      </c>
      <c r="L85" s="3">
        <v>92.992999999999995</v>
      </c>
      <c r="M85" s="123">
        <v>45887.625</v>
      </c>
      <c r="N85" s="3">
        <v>106.79600000000001</v>
      </c>
    </row>
    <row r="86" spans="11:14" x14ac:dyDescent="0.3">
      <c r="K86" s="123">
        <v>45883.625</v>
      </c>
      <c r="L86" s="3">
        <v>92.293999999999997</v>
      </c>
      <c r="M86" s="123">
        <v>45888.625</v>
      </c>
      <c r="N86" s="3">
        <v>106.773</v>
      </c>
    </row>
    <row r="87" spans="11:14" x14ac:dyDescent="0.3">
      <c r="K87" s="123">
        <v>45884.625</v>
      </c>
      <c r="L87" s="3">
        <v>91.725999999999999</v>
      </c>
      <c r="M87" s="123">
        <v>45889.625</v>
      </c>
      <c r="N87" s="3">
        <v>106.64700000000001</v>
      </c>
    </row>
    <row r="88" spans="11:14" x14ac:dyDescent="0.3">
      <c r="K88" s="123">
        <v>45887.625</v>
      </c>
      <c r="L88" s="3">
        <v>92.222999999999999</v>
      </c>
      <c r="M88" s="123">
        <v>45890.625</v>
      </c>
      <c r="N88" s="3">
        <v>106.384</v>
      </c>
    </row>
    <row r="89" spans="11:14" x14ac:dyDescent="0.3">
      <c r="K89" s="123">
        <v>45888.625</v>
      </c>
      <c r="L89" s="3">
        <v>92.4</v>
      </c>
      <c r="M89" s="123">
        <v>45891.625</v>
      </c>
      <c r="N89" s="3">
        <v>106.414</v>
      </c>
    </row>
    <row r="90" spans="11:14" x14ac:dyDescent="0.3">
      <c r="K90" s="123">
        <v>45889.625</v>
      </c>
      <c r="L90" s="3">
        <v>93.158000000000001</v>
      </c>
      <c r="M90" s="123">
        <v>45894.625</v>
      </c>
      <c r="N90" s="3">
        <v>106.17100000000001</v>
      </c>
    </row>
    <row r="91" spans="11:14" x14ac:dyDescent="0.3">
      <c r="K91" s="123">
        <v>45890.625</v>
      </c>
      <c r="L91" s="3">
        <v>94.564999999999998</v>
      </c>
      <c r="M91" s="123">
        <v>45895.625</v>
      </c>
      <c r="N91" s="3">
        <v>105.696</v>
      </c>
    </row>
    <row r="92" spans="11:14" x14ac:dyDescent="0.3">
      <c r="K92" s="123">
        <v>45891.625</v>
      </c>
      <c r="L92" s="3">
        <v>95.510999999999996</v>
      </c>
      <c r="M92" s="123">
        <v>45896.625</v>
      </c>
      <c r="N92" s="3">
        <v>105.68600000000001</v>
      </c>
    </row>
    <row r="93" spans="11:14" x14ac:dyDescent="0.3">
      <c r="K93" s="123">
        <v>45894.625</v>
      </c>
      <c r="L93" s="3">
        <v>94.742999999999995</v>
      </c>
      <c r="M93" s="123">
        <v>45897.625</v>
      </c>
      <c r="N93" s="3">
        <v>105.746</v>
      </c>
    </row>
    <row r="94" spans="11:14" x14ac:dyDescent="0.3">
      <c r="K94" s="123">
        <v>45895.625</v>
      </c>
      <c r="L94" s="3">
        <v>100.36199999999999</v>
      </c>
      <c r="M94" s="123">
        <v>45898.625</v>
      </c>
      <c r="N94" s="3">
        <v>105.66200000000001</v>
      </c>
    </row>
    <row r="95" spans="11:14" x14ac:dyDescent="0.3">
      <c r="K95" s="123">
        <v>45896.625</v>
      </c>
      <c r="L95" s="3">
        <v>100.863</v>
      </c>
      <c r="M95" s="123">
        <v>45902.625</v>
      </c>
      <c r="N95" s="3">
        <v>104.745</v>
      </c>
    </row>
    <row r="96" spans="11:14" x14ac:dyDescent="0.3">
      <c r="K96" s="123">
        <v>45897.625</v>
      </c>
      <c r="L96" s="3">
        <v>104.051</v>
      </c>
      <c r="M96" s="123">
        <v>45903.625</v>
      </c>
      <c r="N96" s="3">
        <v>104.748</v>
      </c>
    </row>
    <row r="97" spans="11:14" x14ac:dyDescent="0.3">
      <c r="K97" s="123">
        <v>45898.625</v>
      </c>
      <c r="L97" s="3">
        <v>105.312</v>
      </c>
      <c r="M97" s="123">
        <v>45904.625</v>
      </c>
      <c r="N97" s="3">
        <v>104.95099999999999</v>
      </c>
    </row>
    <row r="98" spans="11:14" x14ac:dyDescent="0.3">
      <c r="K98" s="123">
        <v>45901.625</v>
      </c>
      <c r="L98" s="3">
        <v>105.065</v>
      </c>
      <c r="M98" s="123">
        <v>45905.625</v>
      </c>
      <c r="N98" s="3">
        <v>105.523</v>
      </c>
    </row>
    <row r="99" spans="11:14" x14ac:dyDescent="0.3">
      <c r="K99" s="123">
        <v>45902.625</v>
      </c>
      <c r="L99" s="3">
        <v>107.70399999999999</v>
      </c>
      <c r="M99" s="123">
        <v>45908.625</v>
      </c>
      <c r="N99" s="3">
        <v>105.827</v>
      </c>
    </row>
    <row r="100" spans="11:14" x14ac:dyDescent="0.3">
      <c r="K100" s="123">
        <v>45903.625</v>
      </c>
      <c r="L100" s="3">
        <v>106.65900000000001</v>
      </c>
      <c r="M100" s="123">
        <v>45909.625</v>
      </c>
      <c r="N100" s="3">
        <v>105.923</v>
      </c>
    </row>
    <row r="101" spans="11:14" x14ac:dyDescent="0.3">
      <c r="K101" s="123">
        <v>45904.625</v>
      </c>
      <c r="L101" s="3">
        <v>102.55200000000001</v>
      </c>
      <c r="M101" s="123">
        <v>45910.625</v>
      </c>
      <c r="N101" s="3">
        <v>106.626</v>
      </c>
    </row>
    <row r="102" spans="11:14" x14ac:dyDescent="0.3">
      <c r="K102" s="123">
        <v>45905.625</v>
      </c>
      <c r="L102" s="3">
        <v>97.619</v>
      </c>
      <c r="M102" s="123">
        <v>45911.625</v>
      </c>
      <c r="N102" s="3">
        <v>107.098</v>
      </c>
    </row>
    <row r="103" spans="11:14" x14ac:dyDescent="0.3">
      <c r="K103" s="123">
        <v>45908.625</v>
      </c>
      <c r="L103" s="3">
        <v>97.876000000000005</v>
      </c>
      <c r="M103" s="123">
        <v>45912.625</v>
      </c>
      <c r="N103" s="3">
        <v>107.358</v>
      </c>
    </row>
    <row r="104" spans="11:14" x14ac:dyDescent="0.3">
      <c r="K104" s="123">
        <v>45909.625</v>
      </c>
      <c r="L104" s="3">
        <v>96.716999999999999</v>
      </c>
      <c r="M104" s="123">
        <v>45915.625</v>
      </c>
      <c r="N104" s="3">
        <v>107.813</v>
      </c>
    </row>
    <row r="105" spans="11:14" x14ac:dyDescent="0.3">
      <c r="K105" s="123">
        <v>45910.625</v>
      </c>
      <c r="L105" s="3">
        <v>95.831999999999994</v>
      </c>
      <c r="M105" s="123">
        <v>45916.625</v>
      </c>
      <c r="N105" s="3">
        <v>107.863</v>
      </c>
    </row>
    <row r="106" spans="11:14" x14ac:dyDescent="0.3">
      <c r="K106" s="123">
        <v>45911.625</v>
      </c>
      <c r="L106" s="3">
        <v>93.906000000000006</v>
      </c>
      <c r="M106" s="123">
        <v>45917.625</v>
      </c>
      <c r="N106" s="3">
        <v>107.792</v>
      </c>
    </row>
    <row r="107" spans="11:14" x14ac:dyDescent="0.3">
      <c r="K107" s="123">
        <v>45912.625</v>
      </c>
      <c r="L107" s="3">
        <v>92.352999999999994</v>
      </c>
      <c r="M107" s="123">
        <v>45918.625</v>
      </c>
      <c r="N107" s="3">
        <v>108.128</v>
      </c>
    </row>
    <row r="108" spans="11:14" x14ac:dyDescent="0.3">
      <c r="K108" s="123">
        <v>45915.625</v>
      </c>
      <c r="L108" s="3">
        <v>91.721999999999994</v>
      </c>
      <c r="M108" s="123">
        <v>45919.625</v>
      </c>
      <c r="N108" s="3">
        <v>108.43899999999999</v>
      </c>
    </row>
    <row r="109" spans="11:14" x14ac:dyDescent="0.3">
      <c r="K109" s="123">
        <v>45916.625</v>
      </c>
      <c r="L109" s="3">
        <v>92.043000000000006</v>
      </c>
      <c r="M109" s="123">
        <v>45922.625</v>
      </c>
      <c r="N109" s="3">
        <v>108.26600000000001</v>
      </c>
    </row>
    <row r="110" spans="11:14" x14ac:dyDescent="0.3">
      <c r="K110" s="123">
        <v>45917.625</v>
      </c>
      <c r="L110" s="3">
        <v>92.41</v>
      </c>
      <c r="M110" s="123">
        <v>45923.625</v>
      </c>
      <c r="N110" s="3">
        <v>108.142</v>
      </c>
    </row>
    <row r="111" spans="11:14" x14ac:dyDescent="0.3">
      <c r="K111" s="123">
        <v>45918.625</v>
      </c>
      <c r="L111" s="3">
        <v>91.355999999999995</v>
      </c>
      <c r="M111" s="123">
        <v>45924.625</v>
      </c>
      <c r="N111" s="3">
        <v>108.372</v>
      </c>
    </row>
    <row r="112" spans="11:14" x14ac:dyDescent="0.3">
      <c r="K112" s="123">
        <v>45919.625</v>
      </c>
      <c r="L112" s="3">
        <v>91.385999999999996</v>
      </c>
      <c r="M112" s="123">
        <v>45925.625</v>
      </c>
      <c r="N112" s="3">
        <v>108.009</v>
      </c>
    </row>
    <row r="113" spans="11:14" x14ac:dyDescent="0.3">
      <c r="K113" s="123">
        <v>45922.625</v>
      </c>
      <c r="L113" s="3">
        <v>103.479</v>
      </c>
      <c r="M113" s="123">
        <v>45926.625</v>
      </c>
      <c r="N113" s="3">
        <v>108.004</v>
      </c>
    </row>
    <row r="114" spans="11:14" x14ac:dyDescent="0.3">
      <c r="K114" s="123">
        <v>45923.625</v>
      </c>
      <c r="L114" s="3">
        <v>103.004</v>
      </c>
      <c r="M114" s="123">
        <v>45929.625</v>
      </c>
      <c r="N114" s="3">
        <v>108.148</v>
      </c>
    </row>
    <row r="115" spans="11:14" x14ac:dyDescent="0.3">
      <c r="K115" s="123">
        <v>45924.625</v>
      </c>
      <c r="L115" s="3">
        <v>102.914</v>
      </c>
      <c r="M115" s="123">
        <v>45930.625</v>
      </c>
      <c r="N115" s="3">
        <v>108.07299999999999</v>
      </c>
    </row>
    <row r="116" spans="11:14" x14ac:dyDescent="0.3">
      <c r="K116" s="123">
        <v>45925.625</v>
      </c>
      <c r="L116" s="3">
        <v>105.236</v>
      </c>
      <c r="M116" s="123">
        <v>45931.625</v>
      </c>
      <c r="N116" s="3">
        <v>108.108</v>
      </c>
    </row>
    <row r="117" spans="11:14" x14ac:dyDescent="0.3">
      <c r="K117" s="123">
        <v>45926.625</v>
      </c>
      <c r="L117" s="3">
        <v>105.75</v>
      </c>
      <c r="M117" s="123">
        <v>45932.625</v>
      </c>
      <c r="N117" s="3">
        <v>108.386</v>
      </c>
    </row>
    <row r="118" spans="11:14" x14ac:dyDescent="0.3">
      <c r="K118" s="123">
        <v>45929.625</v>
      </c>
      <c r="L118" s="3">
        <v>105.6</v>
      </c>
      <c r="M118" s="123">
        <v>45933.625</v>
      </c>
      <c r="N118" s="3">
        <v>108.364</v>
      </c>
    </row>
    <row r="119" spans="11:14" x14ac:dyDescent="0.3">
      <c r="K119" s="123">
        <v>45930.625</v>
      </c>
      <c r="L119" s="3">
        <v>105.544</v>
      </c>
      <c r="M119" s="123">
        <v>45936.625</v>
      </c>
      <c r="N119" s="3">
        <v>107.94199999999999</v>
      </c>
    </row>
    <row r="120" spans="11:14" x14ac:dyDescent="0.3">
      <c r="K120" s="123">
        <v>45931.625</v>
      </c>
      <c r="L120" s="3">
        <v>104.553</v>
      </c>
      <c r="M120" s="123">
        <v>45937.625</v>
      </c>
      <c r="N120" s="3">
        <v>107.89</v>
      </c>
    </row>
    <row r="121" spans="11:14" x14ac:dyDescent="0.3">
      <c r="K121" s="123">
        <v>45932.625</v>
      </c>
      <c r="L121" s="3">
        <v>102.07</v>
      </c>
      <c r="M121" s="123">
        <v>45938.625</v>
      </c>
      <c r="N121" s="3">
        <v>107.919</v>
      </c>
    </row>
    <row r="122" spans="11:14" x14ac:dyDescent="0.3">
      <c r="K122" s="123">
        <v>45933.625</v>
      </c>
      <c r="L122" s="3">
        <v>101.73699999999999</v>
      </c>
      <c r="M122" s="123">
        <v>45939.625</v>
      </c>
      <c r="N122" s="3">
        <v>107.768</v>
      </c>
    </row>
    <row r="123" spans="11:14" x14ac:dyDescent="0.3">
      <c r="K123" s="123">
        <v>45936.625</v>
      </c>
      <c r="L123" s="3">
        <v>106.923</v>
      </c>
      <c r="M123" s="123">
        <v>45944.625</v>
      </c>
      <c r="N123" s="3">
        <v>107.125</v>
      </c>
    </row>
    <row r="124" spans="11:14" x14ac:dyDescent="0.3">
      <c r="K124" s="123">
        <v>45937.625</v>
      </c>
      <c r="L124" s="3">
        <v>106.367</v>
      </c>
      <c r="M124" s="123">
        <v>45945.625</v>
      </c>
      <c r="N124" s="3">
        <v>108.501</v>
      </c>
    </row>
    <row r="125" spans="11:14" x14ac:dyDescent="0.3">
      <c r="K125" s="123">
        <v>45938.625</v>
      </c>
      <c r="L125" s="3">
        <v>104.837</v>
      </c>
      <c r="M125" s="123">
        <v>45946.625</v>
      </c>
      <c r="N125" s="3">
        <v>108.402</v>
      </c>
    </row>
    <row r="126" spans="11:14" x14ac:dyDescent="0.3">
      <c r="K126" s="123">
        <v>45939.625</v>
      </c>
      <c r="L126" s="3">
        <v>104.482</v>
      </c>
      <c r="M126" s="123">
        <v>45947.625</v>
      </c>
      <c r="N126" s="3">
        <v>108.167</v>
      </c>
    </row>
    <row r="127" spans="11:14" x14ac:dyDescent="0.3">
      <c r="K127" s="123">
        <v>45940.625</v>
      </c>
      <c r="L127" s="3">
        <v>104.67</v>
      </c>
      <c r="M127" s="123">
        <v>45950.625</v>
      </c>
      <c r="N127" s="3">
        <v>108.33199999999999</v>
      </c>
    </row>
    <row r="128" spans="11:14" x14ac:dyDescent="0.3">
      <c r="K128" s="123">
        <v>45943.625</v>
      </c>
      <c r="L128" s="3">
        <v>108.026</v>
      </c>
      <c r="M128" s="123">
        <v>45951.625</v>
      </c>
      <c r="N128" s="3">
        <v>108.423</v>
      </c>
    </row>
    <row r="129" spans="11:14" x14ac:dyDescent="0.3">
      <c r="K129" s="123">
        <v>45944.625</v>
      </c>
      <c r="L129" s="3">
        <v>108.004</v>
      </c>
      <c r="M129" s="123">
        <v>45952.625</v>
      </c>
      <c r="N129" s="3">
        <v>108.277</v>
      </c>
    </row>
    <row r="130" spans="11:14" x14ac:dyDescent="0.3">
      <c r="K130" s="123">
        <v>45945.625</v>
      </c>
      <c r="L130" s="3">
        <v>101.48</v>
      </c>
      <c r="M130" s="123">
        <v>45953.625</v>
      </c>
      <c r="N130" s="3">
        <v>108.339</v>
      </c>
    </row>
    <row r="131" spans="11:14" x14ac:dyDescent="0.3">
      <c r="K131" s="123">
        <v>45946.625</v>
      </c>
      <c r="L131" s="3">
        <v>100.968</v>
      </c>
      <c r="M131" s="123">
        <v>45954.625</v>
      </c>
      <c r="N131" s="3">
        <v>108.539</v>
      </c>
    </row>
    <row r="132" spans="11:14" x14ac:dyDescent="0.3">
      <c r="K132" s="123">
        <v>45947.625</v>
      </c>
      <c r="L132" s="3">
        <v>105.54600000000001</v>
      </c>
      <c r="M132" s="123">
        <v>45957.625</v>
      </c>
      <c r="N132" s="3">
        <v>108.807</v>
      </c>
    </row>
    <row r="133" spans="11:14" x14ac:dyDescent="0.3">
      <c r="K133" s="123">
        <v>45950.625</v>
      </c>
      <c r="L133" s="3">
        <v>106.801</v>
      </c>
      <c r="M133" s="123">
        <v>45958.625</v>
      </c>
      <c r="N133" s="3">
        <v>108.831</v>
      </c>
    </row>
    <row r="134" spans="11:14" x14ac:dyDescent="0.3">
      <c r="K134" s="123">
        <v>45951.625</v>
      </c>
      <c r="L134" s="3">
        <v>104.645</v>
      </c>
      <c r="M134" s="123">
        <v>45959.625</v>
      </c>
      <c r="N134" s="3">
        <v>109.209</v>
      </c>
    </row>
    <row r="135" spans="11:14" x14ac:dyDescent="0.3">
      <c r="K135" s="123">
        <v>45952.625</v>
      </c>
      <c r="L135" s="3">
        <v>105.12</v>
      </c>
      <c r="M135" s="123">
        <v>45960.625</v>
      </c>
      <c r="N135" s="3">
        <v>108.801</v>
      </c>
    </row>
    <row r="136" spans="11:14" x14ac:dyDescent="0.3">
      <c r="K136" s="123">
        <v>45953.625</v>
      </c>
      <c r="L136" s="3">
        <v>105.02200000000001</v>
      </c>
      <c r="M136" s="123">
        <v>45961.625</v>
      </c>
      <c r="N136" s="3">
        <v>108.926</v>
      </c>
    </row>
    <row r="137" spans="11:14" x14ac:dyDescent="0.3">
      <c r="K137" s="123">
        <v>45954.625</v>
      </c>
      <c r="L137" s="3">
        <v>104.67</v>
      </c>
      <c r="M137" s="123">
        <v>45964.625</v>
      </c>
      <c r="N137" s="3">
        <v>108.738</v>
      </c>
    </row>
    <row r="138" spans="11:14" x14ac:dyDescent="0.3">
      <c r="K138" s="123">
        <v>45957.625</v>
      </c>
      <c r="L138" s="3">
        <v>102.34399999999999</v>
      </c>
      <c r="M138" s="123"/>
    </row>
    <row r="139" spans="11:14" x14ac:dyDescent="0.3">
      <c r="K139" s="123">
        <v>45958.625</v>
      </c>
      <c r="L139" s="3">
        <v>101.04600000000001</v>
      </c>
      <c r="M139" s="123"/>
    </row>
    <row r="140" spans="11:14" x14ac:dyDescent="0.3">
      <c r="K140" s="123">
        <v>45959.625</v>
      </c>
      <c r="L140" s="3">
        <v>99.816999999999993</v>
      </c>
    </row>
    <row r="141" spans="11:14" x14ac:dyDescent="0.3">
      <c r="K141" s="123">
        <v>45960.625</v>
      </c>
      <c r="L141" s="3">
        <v>100.447</v>
      </c>
    </row>
    <row r="142" spans="11:14" x14ac:dyDescent="0.3">
      <c r="K142" s="123">
        <v>45961.625</v>
      </c>
      <c r="L142" s="3">
        <v>100.294</v>
      </c>
    </row>
    <row r="143" spans="11:14" x14ac:dyDescent="0.3">
      <c r="K143" s="123">
        <v>45964.625</v>
      </c>
      <c r="L143" s="3">
        <v>101.014</v>
      </c>
    </row>
    <row r="144" spans="11:14" x14ac:dyDescent="0.3">
      <c r="K144" s="123"/>
    </row>
    <row r="145" spans="11:11" x14ac:dyDescent="0.3">
      <c r="K145" s="123"/>
    </row>
    <row r="146" spans="11:11" x14ac:dyDescent="0.3">
      <c r="K146" s="123"/>
    </row>
  </sheetData>
  <conditionalFormatting sqref="I1 I9:I11 H12:H104857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ACAFP Basis</vt:lpstr>
      <vt:lpstr>EU Defence vs Oil</vt:lpstr>
      <vt:lpstr>EU Insurance CDS RV</vt:lpstr>
      <vt:lpstr>Barclays</vt:lpstr>
      <vt:lpstr>KSA RV</vt:lpstr>
      <vt:lpstr>EU Banks CDS RV</vt:lpstr>
      <vt:lpstr>EU ETF Compression</vt:lpstr>
      <vt:lpstr>US ETF Compression</vt:lpstr>
      <vt:lpstr>US IG Cash Curve</vt:lpstr>
      <vt:lpstr>Not_Live_BOFA Basis</vt:lpstr>
      <vt:lpstr>CDX IG vs SPX Puts</vt:lpstr>
      <vt:lpstr>New_CDX IG vs SPX Puts</vt:lpstr>
      <vt:lpstr>ETF Compression</vt:lpstr>
      <vt:lpstr>IHYG vs Xover</vt:lpstr>
      <vt:lpstr>XCCY AT1 HSBC</vt:lpstr>
      <vt:lpstr>XCCY NPS DB</vt:lpstr>
      <vt:lpstr>ACAFP vs SOCGEN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2025-11-03T18:14:10Z</dcterms:modified>
</cp:coreProperties>
</file>