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J:\All Data\57. BNP Trades Tracker\"/>
    </mc:Choice>
  </mc:AlternateContent>
  <xr:revisionPtr revIDLastSave="0" documentId="13_ncr:1_{C744CC75-74E9-498B-B481-420001B1E086}" xr6:coauthVersionLast="47" xr6:coauthVersionMax="47" xr10:uidLastSave="{00000000-0000-0000-0000-000000000000}"/>
  <bookViews>
    <workbookView xWindow="-120" yWindow="-120" windowWidth="19440" windowHeight="11520" tabRatio="861" activeTab="3" xr2:uid="{00000000-000D-0000-FFFF-FFFF00000000}"/>
  </bookViews>
  <sheets>
    <sheet name="VCIT Basis" sheetId="2" r:id="rId1"/>
    <sheet name="VCIT Basis (2)" sheetId="3" r:id="rId2"/>
    <sheet name="Sheet4" sheetId="4" r:id="rId3"/>
    <sheet name="Final" sheetId="5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5" l="1"/>
  <c r="D5" i="5"/>
  <c r="C5" i="5"/>
  <c r="G7" i="5" s="1"/>
  <c r="K34" i="5" s="1"/>
  <c r="B5" i="5"/>
  <c r="T1" i="5"/>
  <c r="K34" i="3"/>
  <c r="G16" i="4"/>
  <c r="D6" i="3"/>
  <c r="D5" i="3"/>
  <c r="C5" i="3"/>
  <c r="B5" i="3"/>
  <c r="T1" i="3"/>
  <c r="D5" i="2"/>
  <c r="C5" i="2"/>
  <c r="B5" i="2"/>
  <c r="D6" i="2"/>
  <c r="T1" i="2"/>
  <c r="P3" i="5" a="1"/>
  <c r="N3" i="5" a="1"/>
  <c r="C9" i="5" a="1"/>
  <c r="B9" i="5" a="1"/>
  <c r="R3" i="5" a="1"/>
  <c r="D9" i="5" a="1"/>
  <c r="R3" i="3" a="1"/>
  <c r="N3" i="3" a="1"/>
  <c r="P3" i="3" a="1"/>
  <c r="D9" i="4" a="1"/>
  <c r="B5" i="4"/>
  <c r="C9" i="3" a="1"/>
  <c r="B9" i="3" a="1"/>
  <c r="D9" i="3" a="1"/>
  <c r="C9" i="2" a="1"/>
  <c r="R3" i="2" a="1"/>
  <c r="P3" i="2" a="1"/>
  <c r="N3" i="2" a="1"/>
  <c r="B9" i="2" a="1"/>
  <c r="D9" i="2" a="1"/>
  <c r="D9" i="5" l="1"/>
  <c r="R3" i="5"/>
  <c r="B9" i="5"/>
  <c r="C9" i="5"/>
  <c r="N3" i="5"/>
  <c r="T3" i="5" s="1"/>
  <c r="U3" i="5" s="1"/>
  <c r="T89" i="5"/>
  <c r="U89" i="5" s="1"/>
  <c r="T52" i="5"/>
  <c r="U52" i="5" s="1"/>
  <c r="T93" i="5"/>
  <c r="U93" i="5" s="1"/>
  <c r="T7" i="5"/>
  <c r="U7" i="5" s="1"/>
  <c r="T73" i="5"/>
  <c r="U73" i="5" s="1"/>
  <c r="T51" i="5"/>
  <c r="U51" i="5" s="1"/>
  <c r="T35" i="5"/>
  <c r="U35" i="5" s="1"/>
  <c r="T95" i="5"/>
  <c r="U95" i="5" s="1"/>
  <c r="T63" i="5"/>
  <c r="U63" i="5" s="1"/>
  <c r="T44" i="5"/>
  <c r="U44" i="5" s="1"/>
  <c r="T64" i="5"/>
  <c r="U64" i="5" s="1"/>
  <c r="T55" i="5"/>
  <c r="U55" i="5" s="1"/>
  <c r="T24" i="5"/>
  <c r="U24" i="5" s="1"/>
  <c r="T46" i="5"/>
  <c r="U46" i="5" s="1"/>
  <c r="T18" i="5"/>
  <c r="U18" i="5" s="1"/>
  <c r="T87" i="5"/>
  <c r="U87" i="5" s="1"/>
  <c r="T102" i="5"/>
  <c r="U102" i="5" s="1"/>
  <c r="T45" i="5"/>
  <c r="U45" i="5" s="1"/>
  <c r="T13" i="5"/>
  <c r="U13" i="5" s="1"/>
  <c r="T25" i="5"/>
  <c r="U25" i="5" s="1"/>
  <c r="T59" i="5"/>
  <c r="U59" i="5" s="1"/>
  <c r="T56" i="5"/>
  <c r="U56" i="5" s="1"/>
  <c r="T40" i="5"/>
  <c r="U40" i="5" s="1"/>
  <c r="T23" i="5"/>
  <c r="U23" i="5" s="1"/>
  <c r="T74" i="5"/>
  <c r="U74" i="5" s="1"/>
  <c r="T47" i="5"/>
  <c r="U47" i="5" s="1"/>
  <c r="T30" i="5"/>
  <c r="U30" i="5" s="1"/>
  <c r="T92" i="5"/>
  <c r="U92" i="5" s="1"/>
  <c r="T69" i="5"/>
  <c r="U69" i="5" s="1"/>
  <c r="T38" i="5"/>
  <c r="U38" i="5" s="1"/>
  <c r="T68" i="5"/>
  <c r="U68" i="5" s="1"/>
  <c r="T101" i="5"/>
  <c r="U101" i="5" s="1"/>
  <c r="T16" i="5"/>
  <c r="U16" i="5" s="1"/>
  <c r="T65" i="5"/>
  <c r="U65" i="5" s="1"/>
  <c r="T71" i="5"/>
  <c r="U71" i="5" s="1"/>
  <c r="T81" i="5"/>
  <c r="U81" i="5" s="1"/>
  <c r="T32" i="5"/>
  <c r="U32" i="5" s="1"/>
  <c r="T72" i="5"/>
  <c r="U72" i="5" s="1"/>
  <c r="T62" i="5"/>
  <c r="U62" i="5" s="1"/>
  <c r="T15" i="5"/>
  <c r="U15" i="5" s="1"/>
  <c r="T84" i="5"/>
  <c r="U84" i="5" s="1"/>
  <c r="T86" i="5"/>
  <c r="U86" i="5" s="1"/>
  <c r="T104" i="5"/>
  <c r="U104" i="5" s="1"/>
  <c r="T19" i="5"/>
  <c r="U19" i="5" s="1"/>
  <c r="T41" i="5"/>
  <c r="U41" i="5" s="1"/>
  <c r="T58" i="5"/>
  <c r="U58" i="5" s="1"/>
  <c r="P3" i="5"/>
  <c r="T79" i="5" s="1"/>
  <c r="U79" i="5" s="1"/>
  <c r="R3" i="3"/>
  <c r="N3" i="3"/>
  <c r="P3" i="3"/>
  <c r="T72" i="3"/>
  <c r="U72" i="3" s="1"/>
  <c r="T85" i="3"/>
  <c r="U85" i="3" s="1"/>
  <c r="D9" i="4"/>
  <c r="D11" i="4"/>
  <c r="E9" i="4"/>
  <c r="E11" i="4"/>
  <c r="D10" i="4"/>
  <c r="E10" i="4"/>
  <c r="D9" i="3"/>
  <c r="B9" i="3"/>
  <c r="C9" i="3"/>
  <c r="T94" i="3"/>
  <c r="U94" i="3" s="1"/>
  <c r="D9" i="2"/>
  <c r="B9" i="2"/>
  <c r="T71" i="2"/>
  <c r="U71" i="2" s="1"/>
  <c r="T24" i="2"/>
  <c r="U24" i="2" s="1"/>
  <c r="T96" i="2"/>
  <c r="U96" i="2" s="1"/>
  <c r="T89" i="2"/>
  <c r="U89" i="2" s="1"/>
  <c r="T65" i="2"/>
  <c r="U65" i="2" s="1"/>
  <c r="T51" i="2"/>
  <c r="U51" i="2" s="1"/>
  <c r="T34" i="2"/>
  <c r="U34" i="2" s="1"/>
  <c r="T27" i="2"/>
  <c r="U27" i="2" s="1"/>
  <c r="T85" i="2"/>
  <c r="U85" i="2" s="1"/>
  <c r="T9" i="2"/>
  <c r="U9" i="2" s="1"/>
  <c r="T88" i="2"/>
  <c r="U88" i="2" s="1"/>
  <c r="T32" i="2"/>
  <c r="U32" i="2" s="1"/>
  <c r="T18" i="2"/>
  <c r="U18" i="2" s="1"/>
  <c r="T17" i="2"/>
  <c r="U17" i="2" s="1"/>
  <c r="N3" i="2"/>
  <c r="T100" i="2"/>
  <c r="U100" i="2" s="1"/>
  <c r="T23" i="2"/>
  <c r="U23" i="2" s="1"/>
  <c r="P3" i="2"/>
  <c r="T35" i="2" s="1"/>
  <c r="U35" i="2" s="1"/>
  <c r="R3" i="2"/>
  <c r="T58" i="2" s="1"/>
  <c r="U58" i="2" s="1"/>
  <c r="C9" i="2"/>
  <c r="T98" i="5" l="1"/>
  <c r="U98" i="5" s="1"/>
  <c r="T105" i="5"/>
  <c r="U105" i="5" s="1"/>
  <c r="T53" i="5"/>
  <c r="U53" i="5" s="1"/>
  <c r="T80" i="5"/>
  <c r="U80" i="5" s="1"/>
  <c r="T42" i="5"/>
  <c r="U42" i="5" s="1"/>
  <c r="T49" i="5"/>
  <c r="U49" i="5" s="1"/>
  <c r="T39" i="5"/>
  <c r="U39" i="5" s="1"/>
  <c r="T54" i="5"/>
  <c r="U54" i="5" s="1"/>
  <c r="T26" i="5"/>
  <c r="U26" i="5" s="1"/>
  <c r="T17" i="5"/>
  <c r="U17" i="5" s="1"/>
  <c r="T61" i="5"/>
  <c r="U61" i="5" s="1"/>
  <c r="T9" i="5"/>
  <c r="U9" i="5" s="1"/>
  <c r="T33" i="5"/>
  <c r="U33" i="5" s="1"/>
  <c r="T48" i="5"/>
  <c r="U48" i="5" s="1"/>
  <c r="T36" i="5"/>
  <c r="U36" i="5" s="1"/>
  <c r="T96" i="5"/>
  <c r="U96" i="5" s="1"/>
  <c r="T553" i="5"/>
  <c r="U553" i="5" s="1"/>
  <c r="T441" i="5"/>
  <c r="U441" i="5" s="1"/>
  <c r="T393" i="5"/>
  <c r="U393" i="5" s="1"/>
  <c r="T345" i="5"/>
  <c r="U345" i="5" s="1"/>
  <c r="T313" i="5"/>
  <c r="U313" i="5" s="1"/>
  <c r="T281" i="5"/>
  <c r="U281" i="5" s="1"/>
  <c r="T249" i="5"/>
  <c r="U249" i="5" s="1"/>
  <c r="T217" i="5"/>
  <c r="U217" i="5" s="1"/>
  <c r="T169" i="5"/>
  <c r="U169" i="5" s="1"/>
  <c r="T569" i="5"/>
  <c r="U569" i="5" s="1"/>
  <c r="T537" i="5"/>
  <c r="U537" i="5" s="1"/>
  <c r="T521" i="5"/>
  <c r="U521" i="5" s="1"/>
  <c r="T505" i="5"/>
  <c r="U505" i="5" s="1"/>
  <c r="T489" i="5"/>
  <c r="U489" i="5" s="1"/>
  <c r="T473" i="5"/>
  <c r="U473" i="5" s="1"/>
  <c r="T457" i="5"/>
  <c r="U457" i="5" s="1"/>
  <c r="T425" i="5"/>
  <c r="U425" i="5" s="1"/>
  <c r="T409" i="5"/>
  <c r="U409" i="5" s="1"/>
  <c r="T377" i="5"/>
  <c r="U377" i="5" s="1"/>
  <c r="T361" i="5"/>
  <c r="U361" i="5" s="1"/>
  <c r="T329" i="5"/>
  <c r="U329" i="5" s="1"/>
  <c r="T297" i="5"/>
  <c r="U297" i="5" s="1"/>
  <c r="T265" i="5"/>
  <c r="U265" i="5" s="1"/>
  <c r="T233" i="5"/>
  <c r="U233" i="5" s="1"/>
  <c r="T201" i="5"/>
  <c r="U201" i="5" s="1"/>
  <c r="T185" i="5"/>
  <c r="U185" i="5" s="1"/>
  <c r="T153" i="5"/>
  <c r="U153" i="5" s="1"/>
  <c r="T121" i="5"/>
  <c r="U121" i="5" s="1"/>
  <c r="T568" i="5"/>
  <c r="U568" i="5" s="1"/>
  <c r="T552" i="5"/>
  <c r="U552" i="5" s="1"/>
  <c r="T536" i="5"/>
  <c r="U536" i="5" s="1"/>
  <c r="T520" i="5"/>
  <c r="U520" i="5" s="1"/>
  <c r="T504" i="5"/>
  <c r="U504" i="5" s="1"/>
  <c r="T488" i="5"/>
  <c r="U488" i="5" s="1"/>
  <c r="T456" i="5"/>
  <c r="U456" i="5" s="1"/>
  <c r="T111" i="5"/>
  <c r="U111" i="5" s="1"/>
  <c r="T562" i="5"/>
  <c r="U562" i="5" s="1"/>
  <c r="T546" i="5"/>
  <c r="U546" i="5" s="1"/>
  <c r="T530" i="5"/>
  <c r="U530" i="5" s="1"/>
  <c r="T514" i="5"/>
  <c r="U514" i="5" s="1"/>
  <c r="T498" i="5"/>
  <c r="U498" i="5" s="1"/>
  <c r="T482" i="5"/>
  <c r="U482" i="5" s="1"/>
  <c r="T450" i="5"/>
  <c r="U450" i="5" s="1"/>
  <c r="T434" i="5"/>
  <c r="U434" i="5" s="1"/>
  <c r="T560" i="5"/>
  <c r="U560" i="5" s="1"/>
  <c r="T559" i="5"/>
  <c r="U559" i="5" s="1"/>
  <c r="T567" i="5"/>
  <c r="U567" i="5" s="1"/>
  <c r="T544" i="5"/>
  <c r="U544" i="5" s="1"/>
  <c r="T523" i="5"/>
  <c r="U523" i="5" s="1"/>
  <c r="T500" i="5"/>
  <c r="U500" i="5" s="1"/>
  <c r="T458" i="5"/>
  <c r="U458" i="5" s="1"/>
  <c r="T414" i="5"/>
  <c r="U414" i="5" s="1"/>
  <c r="T373" i="5"/>
  <c r="U373" i="5" s="1"/>
  <c r="T353" i="5"/>
  <c r="U353" i="5" s="1"/>
  <c r="T311" i="5"/>
  <c r="U311" i="5" s="1"/>
  <c r="T251" i="5"/>
  <c r="U251" i="5" s="1"/>
  <c r="T189" i="5"/>
  <c r="U189" i="5" s="1"/>
  <c r="T168" i="5"/>
  <c r="U168" i="5" s="1"/>
  <c r="T148" i="5"/>
  <c r="U148" i="5" s="1"/>
  <c r="T128" i="5"/>
  <c r="U128" i="5" s="1"/>
  <c r="T351" i="5"/>
  <c r="U351" i="5" s="1"/>
  <c r="T290" i="5"/>
  <c r="U290" i="5" s="1"/>
  <c r="T208" i="5"/>
  <c r="U208" i="5" s="1"/>
  <c r="T228" i="5"/>
  <c r="U228" i="5" s="1"/>
  <c r="T166" i="5"/>
  <c r="U166" i="5" s="1"/>
  <c r="T126" i="5"/>
  <c r="U126" i="5" s="1"/>
  <c r="T453" i="5"/>
  <c r="U453" i="5" s="1"/>
  <c r="T431" i="5"/>
  <c r="U431" i="5" s="1"/>
  <c r="T543" i="5"/>
  <c r="U543" i="5" s="1"/>
  <c r="T477" i="5"/>
  <c r="U477" i="5" s="1"/>
  <c r="T455" i="5"/>
  <c r="U455" i="5" s="1"/>
  <c r="T435" i="5"/>
  <c r="U435" i="5" s="1"/>
  <c r="T394" i="5"/>
  <c r="U394" i="5" s="1"/>
  <c r="T352" i="5"/>
  <c r="U352" i="5" s="1"/>
  <c r="T332" i="5"/>
  <c r="U332" i="5" s="1"/>
  <c r="T291" i="5"/>
  <c r="U291" i="5" s="1"/>
  <c r="T270" i="5"/>
  <c r="U270" i="5" s="1"/>
  <c r="T229" i="5"/>
  <c r="U229" i="5" s="1"/>
  <c r="T209" i="5"/>
  <c r="U209" i="5" s="1"/>
  <c r="T167" i="5"/>
  <c r="U167" i="5" s="1"/>
  <c r="T127" i="5"/>
  <c r="U127" i="5" s="1"/>
  <c r="T188" i="5"/>
  <c r="U188" i="5" s="1"/>
  <c r="T147" i="5"/>
  <c r="U147" i="5" s="1"/>
  <c r="T566" i="5"/>
  <c r="U566" i="5" s="1"/>
  <c r="T522" i="5"/>
  <c r="U522" i="5" s="1"/>
  <c r="T499" i="5"/>
  <c r="U499" i="5" s="1"/>
  <c r="T413" i="5"/>
  <c r="U413" i="5" s="1"/>
  <c r="T392" i="5"/>
  <c r="U392" i="5" s="1"/>
  <c r="T372" i="5"/>
  <c r="U372" i="5" s="1"/>
  <c r="T310" i="5"/>
  <c r="U310" i="5" s="1"/>
  <c r="T250" i="5"/>
  <c r="U250" i="5" s="1"/>
  <c r="T542" i="5"/>
  <c r="U542" i="5" s="1"/>
  <c r="T519" i="5"/>
  <c r="U519" i="5" s="1"/>
  <c r="T476" i="5"/>
  <c r="U476" i="5" s="1"/>
  <c r="T454" i="5"/>
  <c r="U454" i="5" s="1"/>
  <c r="T433" i="5"/>
  <c r="U433" i="5" s="1"/>
  <c r="T391" i="5"/>
  <c r="U391" i="5" s="1"/>
  <c r="T331" i="5"/>
  <c r="U331" i="5" s="1"/>
  <c r="T269" i="5"/>
  <c r="U269" i="5" s="1"/>
  <c r="T248" i="5"/>
  <c r="U248" i="5" s="1"/>
  <c r="T207" i="5"/>
  <c r="U207" i="5" s="1"/>
  <c r="T146" i="5"/>
  <c r="U146" i="5" s="1"/>
  <c r="T565" i="5"/>
  <c r="U565" i="5" s="1"/>
  <c r="T497" i="5"/>
  <c r="U497" i="5" s="1"/>
  <c r="T432" i="5"/>
  <c r="U432" i="5" s="1"/>
  <c r="T412" i="5"/>
  <c r="U412" i="5" s="1"/>
  <c r="T371" i="5"/>
  <c r="U371" i="5" s="1"/>
  <c r="T350" i="5"/>
  <c r="U350" i="5" s="1"/>
  <c r="T309" i="5"/>
  <c r="U309" i="5" s="1"/>
  <c r="T289" i="5"/>
  <c r="U289" i="5" s="1"/>
  <c r="T247" i="5"/>
  <c r="U247" i="5" s="1"/>
  <c r="T187" i="5"/>
  <c r="U187" i="5" s="1"/>
  <c r="T557" i="5"/>
  <c r="U557" i="5" s="1"/>
  <c r="T534" i="5"/>
  <c r="U534" i="5" s="1"/>
  <c r="T512" i="5"/>
  <c r="U512" i="5" s="1"/>
  <c r="T491" i="5"/>
  <c r="U491" i="5" s="1"/>
  <c r="T405" i="5"/>
  <c r="U405" i="5" s="1"/>
  <c r="T385" i="5"/>
  <c r="U385" i="5" s="1"/>
  <c r="T343" i="5"/>
  <c r="U343" i="5" s="1"/>
  <c r="T283" i="5"/>
  <c r="U283" i="5" s="1"/>
  <c r="T221" i="5"/>
  <c r="U221" i="5" s="1"/>
  <c r="T200" i="5"/>
  <c r="U200" i="5" s="1"/>
  <c r="T180" i="5"/>
  <c r="U180" i="5" s="1"/>
  <c r="T159" i="5"/>
  <c r="U159" i="5" s="1"/>
  <c r="T556" i="5"/>
  <c r="U556" i="5" s="1"/>
  <c r="T490" i="5"/>
  <c r="U490" i="5" s="1"/>
  <c r="T424" i="5"/>
  <c r="U424" i="5" s="1"/>
  <c r="T404" i="5"/>
  <c r="U404" i="5" s="1"/>
  <c r="T383" i="5"/>
  <c r="U383" i="5" s="1"/>
  <c r="T342" i="5"/>
  <c r="U342" i="5" s="1"/>
  <c r="T282" i="5"/>
  <c r="U282" i="5" s="1"/>
  <c r="T240" i="5"/>
  <c r="U240" i="5" s="1"/>
  <c r="T179" i="5"/>
  <c r="U179" i="5" s="1"/>
  <c r="T117" i="5"/>
  <c r="U117" i="5" s="1"/>
  <c r="T108" i="5"/>
  <c r="U108" i="5" s="1"/>
  <c r="T511" i="5"/>
  <c r="U511" i="5" s="1"/>
  <c r="T468" i="5"/>
  <c r="U468" i="5" s="1"/>
  <c r="T446" i="5"/>
  <c r="U446" i="5" s="1"/>
  <c r="T426" i="5"/>
  <c r="U426" i="5" s="1"/>
  <c r="T384" i="5"/>
  <c r="U384" i="5" s="1"/>
  <c r="T364" i="5"/>
  <c r="U364" i="5" s="1"/>
  <c r="T323" i="5"/>
  <c r="U323" i="5" s="1"/>
  <c r="T302" i="5"/>
  <c r="U302" i="5" s="1"/>
  <c r="T261" i="5"/>
  <c r="U261" i="5" s="1"/>
  <c r="T241" i="5"/>
  <c r="U241" i="5" s="1"/>
  <c r="T199" i="5"/>
  <c r="U199" i="5" s="1"/>
  <c r="T139" i="5"/>
  <c r="U139" i="5" s="1"/>
  <c r="T533" i="5"/>
  <c r="U533" i="5" s="1"/>
  <c r="T322" i="5"/>
  <c r="U322" i="5" s="1"/>
  <c r="T220" i="5"/>
  <c r="U220" i="5" s="1"/>
  <c r="T158" i="5"/>
  <c r="U158" i="5" s="1"/>
  <c r="T555" i="5"/>
  <c r="U555" i="5" s="1"/>
  <c r="T532" i="5"/>
  <c r="U532" i="5" s="1"/>
  <c r="T466" i="5"/>
  <c r="U466" i="5" s="1"/>
  <c r="T403" i="5"/>
  <c r="U403" i="5" s="1"/>
  <c r="T382" i="5"/>
  <c r="U382" i="5" s="1"/>
  <c r="T341" i="5"/>
  <c r="U341" i="5" s="1"/>
  <c r="T321" i="5"/>
  <c r="U321" i="5" s="1"/>
  <c r="T279" i="5"/>
  <c r="U279" i="5" s="1"/>
  <c r="T219" i="5"/>
  <c r="U219" i="5" s="1"/>
  <c r="T157" i="5"/>
  <c r="U157" i="5" s="1"/>
  <c r="T137" i="5"/>
  <c r="U137" i="5" s="1"/>
  <c r="T509" i="5"/>
  <c r="U509" i="5" s="1"/>
  <c r="T486" i="5"/>
  <c r="U486" i="5" s="1"/>
  <c r="T444" i="5"/>
  <c r="U444" i="5" s="1"/>
  <c r="T422" i="5"/>
  <c r="U422" i="5" s="1"/>
  <c r="T402" i="5"/>
  <c r="U402" i="5" s="1"/>
  <c r="T362" i="5"/>
  <c r="U362" i="5" s="1"/>
  <c r="T320" i="5"/>
  <c r="U320" i="5" s="1"/>
  <c r="T300" i="5"/>
  <c r="U300" i="5" s="1"/>
  <c r="T259" i="5"/>
  <c r="U259" i="5" s="1"/>
  <c r="T238" i="5"/>
  <c r="U238" i="5" s="1"/>
  <c r="T197" i="5"/>
  <c r="U197" i="5" s="1"/>
  <c r="T177" i="5"/>
  <c r="U177" i="5" s="1"/>
  <c r="T136" i="5"/>
  <c r="U136" i="5" s="1"/>
  <c r="T554" i="5"/>
  <c r="U554" i="5" s="1"/>
  <c r="T531" i="5"/>
  <c r="U531" i="5" s="1"/>
  <c r="T465" i="5"/>
  <c r="U465" i="5" s="1"/>
  <c r="T381" i="5"/>
  <c r="U381" i="5" s="1"/>
  <c r="T360" i="5"/>
  <c r="U360" i="5" s="1"/>
  <c r="T340" i="5"/>
  <c r="U340" i="5" s="1"/>
  <c r="T319" i="5"/>
  <c r="U319" i="5" s="1"/>
  <c r="T278" i="5"/>
  <c r="U278" i="5" s="1"/>
  <c r="T258" i="5"/>
  <c r="U258" i="5" s="1"/>
  <c r="T218" i="5"/>
  <c r="U218" i="5" s="1"/>
  <c r="T176" i="5"/>
  <c r="U176" i="5" s="1"/>
  <c r="T156" i="5"/>
  <c r="U156" i="5" s="1"/>
  <c r="T135" i="5"/>
  <c r="U135" i="5" s="1"/>
  <c r="T551" i="5"/>
  <c r="U551" i="5" s="1"/>
  <c r="T508" i="5"/>
  <c r="U508" i="5" s="1"/>
  <c r="T485" i="5"/>
  <c r="U485" i="5" s="1"/>
  <c r="T464" i="5"/>
  <c r="U464" i="5" s="1"/>
  <c r="T443" i="5"/>
  <c r="U443" i="5" s="1"/>
  <c r="T421" i="5"/>
  <c r="U421" i="5" s="1"/>
  <c r="T401" i="5"/>
  <c r="U401" i="5" s="1"/>
  <c r="T359" i="5"/>
  <c r="U359" i="5" s="1"/>
  <c r="T299" i="5"/>
  <c r="U299" i="5" s="1"/>
  <c r="T237" i="5"/>
  <c r="U237" i="5" s="1"/>
  <c r="T216" i="5"/>
  <c r="U216" i="5" s="1"/>
  <c r="T196" i="5"/>
  <c r="U196" i="5" s="1"/>
  <c r="T175" i="5"/>
  <c r="U175" i="5" s="1"/>
  <c r="T529" i="5"/>
  <c r="U529" i="5" s="1"/>
  <c r="T463" i="5"/>
  <c r="U463" i="5" s="1"/>
  <c r="T400" i="5"/>
  <c r="U400" i="5" s="1"/>
  <c r="T564" i="5"/>
  <c r="U564" i="5" s="1"/>
  <c r="T417" i="5"/>
  <c r="U417" i="5" s="1"/>
  <c r="T349" i="5"/>
  <c r="U349" i="5" s="1"/>
  <c r="T285" i="5"/>
  <c r="U285" i="5" s="1"/>
  <c r="T186" i="5"/>
  <c r="U186" i="5" s="1"/>
  <c r="T152" i="5"/>
  <c r="U152" i="5" s="1"/>
  <c r="T114" i="5"/>
  <c r="U114" i="5" s="1"/>
  <c r="T109" i="5"/>
  <c r="U109" i="5" s="1"/>
  <c r="T525" i="5"/>
  <c r="U525" i="5" s="1"/>
  <c r="T487" i="5"/>
  <c r="U487" i="5" s="1"/>
  <c r="T451" i="5"/>
  <c r="U451" i="5" s="1"/>
  <c r="T416" i="5"/>
  <c r="U416" i="5" s="1"/>
  <c r="T380" i="5"/>
  <c r="U380" i="5" s="1"/>
  <c r="T316" i="5"/>
  <c r="U316" i="5" s="1"/>
  <c r="T252" i="5"/>
  <c r="U252" i="5" s="1"/>
  <c r="T215" i="5"/>
  <c r="U215" i="5" s="1"/>
  <c r="T184" i="5"/>
  <c r="U184" i="5" s="1"/>
  <c r="T524" i="5"/>
  <c r="U524" i="5" s="1"/>
  <c r="T449" i="5"/>
  <c r="U449" i="5" s="1"/>
  <c r="T549" i="5"/>
  <c r="U549" i="5" s="1"/>
  <c r="T515" i="5"/>
  <c r="U515" i="5" s="1"/>
  <c r="T475" i="5"/>
  <c r="U475" i="5" s="1"/>
  <c r="T406" i="5"/>
  <c r="U406" i="5" s="1"/>
  <c r="T370" i="5"/>
  <c r="U370" i="5" s="1"/>
  <c r="T306" i="5"/>
  <c r="U306" i="5" s="1"/>
  <c r="T242" i="5"/>
  <c r="U242" i="5" s="1"/>
  <c r="T206" i="5"/>
  <c r="U206" i="5" s="1"/>
  <c r="T142" i="5"/>
  <c r="U142" i="5" s="1"/>
  <c r="T112" i="5"/>
  <c r="U112" i="5" s="1"/>
  <c r="T438" i="5"/>
  <c r="U438" i="5" s="1"/>
  <c r="T337" i="5"/>
  <c r="U337" i="5" s="1"/>
  <c r="T273" i="5"/>
  <c r="U273" i="5" s="1"/>
  <c r="T239" i="5"/>
  <c r="U239" i="5" s="1"/>
  <c r="T173" i="5"/>
  <c r="U173" i="5" s="1"/>
  <c r="T305" i="5"/>
  <c r="U305" i="5" s="1"/>
  <c r="T205" i="5"/>
  <c r="U205" i="5" s="1"/>
  <c r="T203" i="5"/>
  <c r="U203" i="5" s="1"/>
  <c r="T294" i="5"/>
  <c r="U294" i="5" s="1"/>
  <c r="T262" i="5"/>
  <c r="U262" i="5" s="1"/>
  <c r="T260" i="5"/>
  <c r="U260" i="5" s="1"/>
  <c r="T548" i="5"/>
  <c r="U548" i="5" s="1"/>
  <c r="T513" i="5"/>
  <c r="U513" i="5" s="1"/>
  <c r="T474" i="5"/>
  <c r="U474" i="5" s="1"/>
  <c r="T369" i="5"/>
  <c r="U369" i="5" s="1"/>
  <c r="T336" i="5"/>
  <c r="U336" i="5" s="1"/>
  <c r="T272" i="5"/>
  <c r="U272" i="5" s="1"/>
  <c r="T141" i="5"/>
  <c r="U141" i="5" s="1"/>
  <c r="T470" i="5"/>
  <c r="U470" i="5" s="1"/>
  <c r="T366" i="5"/>
  <c r="U366" i="5" s="1"/>
  <c r="T267" i="5"/>
  <c r="U267" i="5" s="1"/>
  <c r="T358" i="5"/>
  <c r="U358" i="5" s="1"/>
  <c r="T131" i="5"/>
  <c r="U131" i="5" s="1"/>
  <c r="T226" i="5"/>
  <c r="U226" i="5" s="1"/>
  <c r="T510" i="5"/>
  <c r="U510" i="5" s="1"/>
  <c r="T472" i="5"/>
  <c r="U472" i="5" s="1"/>
  <c r="T437" i="5"/>
  <c r="U437" i="5" s="1"/>
  <c r="T399" i="5"/>
  <c r="U399" i="5" s="1"/>
  <c r="T368" i="5"/>
  <c r="U368" i="5" s="1"/>
  <c r="T335" i="5"/>
  <c r="U335" i="5" s="1"/>
  <c r="T304" i="5"/>
  <c r="U304" i="5" s="1"/>
  <c r="T271" i="5"/>
  <c r="U271" i="5" s="1"/>
  <c r="T236" i="5"/>
  <c r="U236" i="5" s="1"/>
  <c r="T172" i="5"/>
  <c r="U172" i="5" s="1"/>
  <c r="T398" i="5"/>
  <c r="U398" i="5" s="1"/>
  <c r="T334" i="5"/>
  <c r="U334" i="5" s="1"/>
  <c r="T235" i="5"/>
  <c r="U235" i="5" s="1"/>
  <c r="T138" i="5"/>
  <c r="U138" i="5" s="1"/>
  <c r="T545" i="5"/>
  <c r="U545" i="5" s="1"/>
  <c r="T428" i="5"/>
  <c r="U428" i="5" s="1"/>
  <c r="T227" i="5"/>
  <c r="U227" i="5" s="1"/>
  <c r="T496" i="5"/>
  <c r="U496" i="5" s="1"/>
  <c r="T115" i="5"/>
  <c r="U115" i="5" s="1"/>
  <c r="T547" i="5"/>
  <c r="U547" i="5" s="1"/>
  <c r="T507" i="5"/>
  <c r="U507" i="5" s="1"/>
  <c r="T471" i="5"/>
  <c r="U471" i="5" s="1"/>
  <c r="T367" i="5"/>
  <c r="U367" i="5" s="1"/>
  <c r="T303" i="5"/>
  <c r="U303" i="5" s="1"/>
  <c r="T268" i="5"/>
  <c r="U268" i="5" s="1"/>
  <c r="T204" i="5"/>
  <c r="U204" i="5" s="1"/>
  <c r="T140" i="5"/>
  <c r="U140" i="5" s="1"/>
  <c r="T436" i="5"/>
  <c r="U436" i="5" s="1"/>
  <c r="T301" i="5"/>
  <c r="U301" i="5" s="1"/>
  <c r="T171" i="5"/>
  <c r="U171" i="5" s="1"/>
  <c r="T506" i="5"/>
  <c r="U506" i="5" s="1"/>
  <c r="T134" i="5"/>
  <c r="U134" i="5" s="1"/>
  <c r="T395" i="5"/>
  <c r="U395" i="5" s="1"/>
  <c r="T390" i="5"/>
  <c r="U390" i="5" s="1"/>
  <c r="T427" i="5"/>
  <c r="U427" i="5" s="1"/>
  <c r="T120" i="5"/>
  <c r="U120" i="5" s="1"/>
  <c r="T541" i="5"/>
  <c r="U541" i="5" s="1"/>
  <c r="T503" i="5"/>
  <c r="U503" i="5" s="1"/>
  <c r="T430" i="5"/>
  <c r="U430" i="5" s="1"/>
  <c r="T397" i="5"/>
  <c r="U397" i="5" s="1"/>
  <c r="T333" i="5"/>
  <c r="U333" i="5" s="1"/>
  <c r="T298" i="5"/>
  <c r="U298" i="5" s="1"/>
  <c r="T234" i="5"/>
  <c r="U234" i="5" s="1"/>
  <c r="T170" i="5"/>
  <c r="U170" i="5" s="1"/>
  <c r="T116" i="5"/>
  <c r="U116" i="5" s="1"/>
  <c r="T232" i="5"/>
  <c r="U232" i="5" s="1"/>
  <c r="T327" i="5"/>
  <c r="U327" i="5" s="1"/>
  <c r="T132" i="5"/>
  <c r="U132" i="5" s="1"/>
  <c r="T462" i="5"/>
  <c r="U462" i="5" s="1"/>
  <c r="T195" i="5"/>
  <c r="U195" i="5" s="1"/>
  <c r="T326" i="5"/>
  <c r="U326" i="5" s="1"/>
  <c r="T538" i="5"/>
  <c r="U538" i="5" s="1"/>
  <c r="T469" i="5"/>
  <c r="U469" i="5" s="1"/>
  <c r="T365" i="5"/>
  <c r="U365" i="5" s="1"/>
  <c r="T330" i="5"/>
  <c r="U330" i="5" s="1"/>
  <c r="T296" i="5"/>
  <c r="U296" i="5" s="1"/>
  <c r="T266" i="5"/>
  <c r="U266" i="5" s="1"/>
  <c r="T202" i="5"/>
  <c r="U202" i="5" s="1"/>
  <c r="T165" i="5"/>
  <c r="U165" i="5" s="1"/>
  <c r="T133" i="5"/>
  <c r="U133" i="5" s="1"/>
  <c r="T263" i="5"/>
  <c r="U263" i="5" s="1"/>
  <c r="T539" i="5"/>
  <c r="U539" i="5" s="1"/>
  <c r="T230" i="5"/>
  <c r="U230" i="5" s="1"/>
  <c r="T194" i="5"/>
  <c r="U194" i="5" s="1"/>
  <c r="T461" i="5"/>
  <c r="U461" i="5" s="1"/>
  <c r="T162" i="5"/>
  <c r="U162" i="5" s="1"/>
  <c r="T540" i="5"/>
  <c r="U540" i="5" s="1"/>
  <c r="T502" i="5"/>
  <c r="U502" i="5" s="1"/>
  <c r="T467" i="5"/>
  <c r="U467" i="5" s="1"/>
  <c r="T429" i="5"/>
  <c r="U429" i="5" s="1"/>
  <c r="T396" i="5"/>
  <c r="U396" i="5" s="1"/>
  <c r="T363" i="5"/>
  <c r="U363" i="5" s="1"/>
  <c r="T328" i="5"/>
  <c r="U328" i="5" s="1"/>
  <c r="T295" i="5"/>
  <c r="U295" i="5" s="1"/>
  <c r="T264" i="5"/>
  <c r="U264" i="5" s="1"/>
  <c r="T231" i="5"/>
  <c r="U231" i="5" s="1"/>
  <c r="T198" i="5"/>
  <c r="U198" i="5" s="1"/>
  <c r="T164" i="5"/>
  <c r="U164" i="5" s="1"/>
  <c r="T501" i="5"/>
  <c r="U501" i="5" s="1"/>
  <c r="T163" i="5"/>
  <c r="U163" i="5" s="1"/>
  <c r="T357" i="5"/>
  <c r="U357" i="5" s="1"/>
  <c r="T130" i="5"/>
  <c r="U130" i="5" s="1"/>
  <c r="T418" i="5"/>
  <c r="U418" i="5" s="1"/>
  <c r="T386" i="5"/>
  <c r="U386" i="5" s="1"/>
  <c r="T563" i="5"/>
  <c r="U563" i="5" s="1"/>
  <c r="T480" i="5"/>
  <c r="U480" i="5" s="1"/>
  <c r="T325" i="5"/>
  <c r="U325" i="5" s="1"/>
  <c r="T274" i="5"/>
  <c r="U274" i="5" s="1"/>
  <c r="T210" i="5"/>
  <c r="U210" i="5" s="1"/>
  <c r="T143" i="5"/>
  <c r="U143" i="5" s="1"/>
  <c r="T324" i="5"/>
  <c r="U324" i="5" s="1"/>
  <c r="T192" i="5"/>
  <c r="U192" i="5" s="1"/>
  <c r="T478" i="5"/>
  <c r="U478" i="5" s="1"/>
  <c r="T388" i="5"/>
  <c r="U388" i="5" s="1"/>
  <c r="T191" i="5"/>
  <c r="U191" i="5" s="1"/>
  <c r="T318" i="5"/>
  <c r="U318" i="5" s="1"/>
  <c r="T460" i="5"/>
  <c r="U460" i="5" s="1"/>
  <c r="T190" i="5"/>
  <c r="U190" i="5" s="1"/>
  <c r="T317" i="5"/>
  <c r="U317" i="5" s="1"/>
  <c r="T253" i="5"/>
  <c r="U253" i="5" s="1"/>
  <c r="T448" i="5"/>
  <c r="U448" i="5" s="1"/>
  <c r="T561" i="5"/>
  <c r="U561" i="5" s="1"/>
  <c r="T479" i="5"/>
  <c r="U479" i="5" s="1"/>
  <c r="T389" i="5"/>
  <c r="U389" i="5" s="1"/>
  <c r="T257" i="5"/>
  <c r="U257" i="5" s="1"/>
  <c r="T193" i="5"/>
  <c r="U193" i="5" s="1"/>
  <c r="T256" i="5"/>
  <c r="U256" i="5" s="1"/>
  <c r="T558" i="5"/>
  <c r="U558" i="5" s="1"/>
  <c r="T255" i="5"/>
  <c r="U255" i="5" s="1"/>
  <c r="T129" i="5"/>
  <c r="U129" i="5" s="1"/>
  <c r="T125" i="5"/>
  <c r="U125" i="5" s="1"/>
  <c r="T387" i="5"/>
  <c r="U387" i="5" s="1"/>
  <c r="T254" i="5"/>
  <c r="U254" i="5" s="1"/>
  <c r="T550" i="5"/>
  <c r="U550" i="5" s="1"/>
  <c r="T124" i="5"/>
  <c r="U124" i="5" s="1"/>
  <c r="T459" i="5"/>
  <c r="U459" i="5" s="1"/>
  <c r="T452" i="5"/>
  <c r="U452" i="5" s="1"/>
  <c r="T527" i="5"/>
  <c r="U527" i="5" s="1"/>
  <c r="T447" i="5"/>
  <c r="U447" i="5" s="1"/>
  <c r="T375" i="5"/>
  <c r="U375" i="5" s="1"/>
  <c r="T245" i="5"/>
  <c r="U245" i="5" s="1"/>
  <c r="T181" i="5"/>
  <c r="U181" i="5" s="1"/>
  <c r="T123" i="5"/>
  <c r="U123" i="5" s="1"/>
  <c r="T526" i="5"/>
  <c r="U526" i="5" s="1"/>
  <c r="T445" i="5"/>
  <c r="U445" i="5" s="1"/>
  <c r="T308" i="5"/>
  <c r="U308" i="5" s="1"/>
  <c r="T518" i="5"/>
  <c r="U518" i="5" s="1"/>
  <c r="T243" i="5"/>
  <c r="U243" i="5" s="1"/>
  <c r="T222" i="5"/>
  <c r="U222" i="5" s="1"/>
  <c r="T415" i="5"/>
  <c r="U415" i="5" s="1"/>
  <c r="T150" i="5"/>
  <c r="U150" i="5" s="1"/>
  <c r="T484" i="5"/>
  <c r="U484" i="5" s="1"/>
  <c r="T118" i="5"/>
  <c r="U118" i="5" s="1"/>
  <c r="T408" i="5"/>
  <c r="U408" i="5" s="1"/>
  <c r="T528" i="5"/>
  <c r="U528" i="5" s="1"/>
  <c r="T344" i="5"/>
  <c r="U344" i="5" s="1"/>
  <c r="T145" i="5"/>
  <c r="U145" i="5" s="1"/>
  <c r="T315" i="5"/>
  <c r="U315" i="5" s="1"/>
  <c r="T376" i="5"/>
  <c r="U376" i="5" s="1"/>
  <c r="T374" i="5"/>
  <c r="U374" i="5" s="1"/>
  <c r="T244" i="5"/>
  <c r="U244" i="5" s="1"/>
  <c r="T178" i="5"/>
  <c r="U178" i="5" s="1"/>
  <c r="T440" i="5"/>
  <c r="U440" i="5" s="1"/>
  <c r="T174" i="5"/>
  <c r="U174" i="5" s="1"/>
  <c r="T439" i="5"/>
  <c r="U439" i="5" s="1"/>
  <c r="T495" i="5"/>
  <c r="U495" i="5" s="1"/>
  <c r="T494" i="5"/>
  <c r="U494" i="5" s="1"/>
  <c r="T411" i="5"/>
  <c r="U411" i="5" s="1"/>
  <c r="T442" i="5"/>
  <c r="U442" i="5" s="1"/>
  <c r="T307" i="5"/>
  <c r="U307" i="5" s="1"/>
  <c r="T293" i="5"/>
  <c r="U293" i="5" s="1"/>
  <c r="T113" i="5"/>
  <c r="U113" i="5" s="1"/>
  <c r="T356" i="5"/>
  <c r="U356" i="5" s="1"/>
  <c r="T419" i="5"/>
  <c r="U419" i="5" s="1"/>
  <c r="T284" i="5"/>
  <c r="U284" i="5" s="1"/>
  <c r="T214" i="5"/>
  <c r="U214" i="5" s="1"/>
  <c r="T277" i="5"/>
  <c r="U277" i="5" s="1"/>
  <c r="T410" i="5"/>
  <c r="U410" i="5" s="1"/>
  <c r="T144" i="5"/>
  <c r="U144" i="5" s="1"/>
  <c r="T314" i="5"/>
  <c r="U314" i="5" s="1"/>
  <c r="T517" i="5"/>
  <c r="U517" i="5" s="1"/>
  <c r="T423" i="5"/>
  <c r="U423" i="5" s="1"/>
  <c r="T292" i="5"/>
  <c r="U292" i="5" s="1"/>
  <c r="T225" i="5"/>
  <c r="U225" i="5" s="1"/>
  <c r="T161" i="5"/>
  <c r="U161" i="5" s="1"/>
  <c r="T122" i="5"/>
  <c r="U122" i="5" s="1"/>
  <c r="T160" i="5"/>
  <c r="U160" i="5" s="1"/>
  <c r="T110" i="5"/>
  <c r="U110" i="5" s="1"/>
  <c r="T154" i="5"/>
  <c r="U154" i="5" s="1"/>
  <c r="T119" i="5"/>
  <c r="U119" i="5" s="1"/>
  <c r="T346" i="5"/>
  <c r="U346" i="5" s="1"/>
  <c r="T182" i="5"/>
  <c r="U182" i="5" s="1"/>
  <c r="T355" i="5"/>
  <c r="U355" i="5" s="1"/>
  <c r="T288" i="5"/>
  <c r="U288" i="5" s="1"/>
  <c r="T224" i="5"/>
  <c r="U224" i="5" s="1"/>
  <c r="T155" i="5"/>
  <c r="U155" i="5" s="1"/>
  <c r="T213" i="5"/>
  <c r="U213" i="5" s="1"/>
  <c r="T483" i="5"/>
  <c r="U483" i="5" s="1"/>
  <c r="T211" i="5"/>
  <c r="U211" i="5" s="1"/>
  <c r="T535" i="5"/>
  <c r="U535" i="5" s="1"/>
  <c r="T246" i="5"/>
  <c r="U246" i="5" s="1"/>
  <c r="T516" i="5"/>
  <c r="U516" i="5" s="1"/>
  <c r="T420" i="5"/>
  <c r="U420" i="5" s="1"/>
  <c r="T354" i="5"/>
  <c r="U354" i="5" s="1"/>
  <c r="T287" i="5"/>
  <c r="U287" i="5" s="1"/>
  <c r="T223" i="5"/>
  <c r="U223" i="5" s="1"/>
  <c r="T286" i="5"/>
  <c r="U286" i="5" s="1"/>
  <c r="T348" i="5"/>
  <c r="U348" i="5" s="1"/>
  <c r="T151" i="5"/>
  <c r="U151" i="5" s="1"/>
  <c r="T347" i="5"/>
  <c r="U347" i="5" s="1"/>
  <c r="T492" i="5"/>
  <c r="U492" i="5" s="1"/>
  <c r="T149" i="5"/>
  <c r="U149" i="5" s="1"/>
  <c r="T212" i="5"/>
  <c r="U212" i="5" s="1"/>
  <c r="T339" i="5"/>
  <c r="U339" i="5" s="1"/>
  <c r="T183" i="5"/>
  <c r="U183" i="5" s="1"/>
  <c r="T378" i="5"/>
  <c r="U378" i="5" s="1"/>
  <c r="T493" i="5"/>
  <c r="U493" i="5" s="1"/>
  <c r="T280" i="5"/>
  <c r="U280" i="5" s="1"/>
  <c r="T276" i="5"/>
  <c r="U276" i="5" s="1"/>
  <c r="T379" i="5"/>
  <c r="U379" i="5" s="1"/>
  <c r="T312" i="5"/>
  <c r="U312" i="5" s="1"/>
  <c r="T481" i="5"/>
  <c r="U481" i="5" s="1"/>
  <c r="T407" i="5"/>
  <c r="U407" i="5" s="1"/>
  <c r="T338" i="5"/>
  <c r="U338" i="5" s="1"/>
  <c r="T275" i="5"/>
  <c r="U275" i="5" s="1"/>
  <c r="T77" i="5"/>
  <c r="U77" i="5" s="1"/>
  <c r="T97" i="5"/>
  <c r="U97" i="5" s="1"/>
  <c r="T10" i="5"/>
  <c r="U10" i="5" s="1"/>
  <c r="T90" i="5"/>
  <c r="U90" i="5" s="1"/>
  <c r="T78" i="5"/>
  <c r="U78" i="5" s="1"/>
  <c r="T100" i="5"/>
  <c r="U100" i="5" s="1"/>
  <c r="T43" i="5"/>
  <c r="U43" i="5" s="1"/>
  <c r="T27" i="5"/>
  <c r="U27" i="5" s="1"/>
  <c r="T20" i="5"/>
  <c r="U20" i="5" s="1"/>
  <c r="T106" i="5"/>
  <c r="U106" i="5" s="1"/>
  <c r="T57" i="5"/>
  <c r="U57" i="5" s="1"/>
  <c r="T91" i="5"/>
  <c r="U91" i="5" s="1"/>
  <c r="T34" i="5"/>
  <c r="U34" i="5" s="1"/>
  <c r="T67" i="5"/>
  <c r="U67" i="5" s="1"/>
  <c r="T28" i="5"/>
  <c r="U28" i="5" s="1"/>
  <c r="T83" i="5"/>
  <c r="U83" i="5" s="1"/>
  <c r="T82" i="5"/>
  <c r="U82" i="5" s="1"/>
  <c r="T99" i="5"/>
  <c r="U99" i="5" s="1"/>
  <c r="T60" i="5"/>
  <c r="U60" i="5" s="1"/>
  <c r="T70" i="5"/>
  <c r="U70" i="5" s="1"/>
  <c r="T88" i="5"/>
  <c r="U88" i="5" s="1"/>
  <c r="T12" i="5"/>
  <c r="U12" i="5" s="1"/>
  <c r="T29" i="5"/>
  <c r="U29" i="5" s="1"/>
  <c r="T76" i="5"/>
  <c r="U76" i="5" s="1"/>
  <c r="T11" i="5"/>
  <c r="U11" i="5" s="1"/>
  <c r="T31" i="5"/>
  <c r="U31" i="5" s="1"/>
  <c r="T66" i="5"/>
  <c r="U66" i="5" s="1"/>
  <c r="T50" i="5"/>
  <c r="U50" i="5" s="1"/>
  <c r="T94" i="5"/>
  <c r="U94" i="5" s="1"/>
  <c r="T4" i="5"/>
  <c r="U4" i="5" s="1"/>
  <c r="T14" i="5"/>
  <c r="U14" i="5" s="1"/>
  <c r="T5" i="5"/>
  <c r="U5" i="5" s="1"/>
  <c r="V2" i="5" s="1" a="1"/>
  <c r="T85" i="5"/>
  <c r="U85" i="5" s="1"/>
  <c r="T21" i="5"/>
  <c r="U21" i="5" s="1"/>
  <c r="T37" i="5"/>
  <c r="U37" i="5" s="1"/>
  <c r="T103" i="5"/>
  <c r="U103" i="5" s="1"/>
  <c r="T6" i="5"/>
  <c r="U6" i="5" s="1"/>
  <c r="T75" i="5"/>
  <c r="U75" i="5" s="1"/>
  <c r="T22" i="5"/>
  <c r="U22" i="5" s="1"/>
  <c r="T107" i="5"/>
  <c r="U107" i="5" s="1"/>
  <c r="T8" i="5"/>
  <c r="U8" i="5" s="1"/>
  <c r="T9" i="3"/>
  <c r="U9" i="3" s="1"/>
  <c r="T43" i="3"/>
  <c r="U43" i="3" s="1"/>
  <c r="T52" i="3"/>
  <c r="U52" i="3" s="1"/>
  <c r="T55" i="3"/>
  <c r="U55" i="3" s="1"/>
  <c r="T62" i="3"/>
  <c r="U62" i="3" s="1"/>
  <c r="T58" i="3"/>
  <c r="U58" i="3" s="1"/>
  <c r="T105" i="3"/>
  <c r="U105" i="3" s="1"/>
  <c r="T4" i="3"/>
  <c r="U4" i="3" s="1"/>
  <c r="T60" i="3"/>
  <c r="U60" i="3" s="1"/>
  <c r="T31" i="3"/>
  <c r="U31" i="3" s="1"/>
  <c r="T11" i="3"/>
  <c r="U11" i="3" s="1"/>
  <c r="T75" i="3"/>
  <c r="U75" i="3" s="1"/>
  <c r="T103" i="3"/>
  <c r="U103" i="3" s="1"/>
  <c r="T7" i="3"/>
  <c r="U7" i="3" s="1"/>
  <c r="T8" i="3"/>
  <c r="U8" i="3" s="1"/>
  <c r="T78" i="3"/>
  <c r="U78" i="3" s="1"/>
  <c r="T5" i="3"/>
  <c r="U5" i="3" s="1"/>
  <c r="T90" i="3"/>
  <c r="U90" i="3" s="1"/>
  <c r="T47" i="3"/>
  <c r="U47" i="3" s="1"/>
  <c r="T65" i="3"/>
  <c r="U65" i="3" s="1"/>
  <c r="T26" i="3"/>
  <c r="U26" i="3" s="1"/>
  <c r="T102" i="3"/>
  <c r="U102" i="3" s="1"/>
  <c r="T88" i="3"/>
  <c r="U88" i="3" s="1"/>
  <c r="T34" i="3"/>
  <c r="U34" i="3" s="1"/>
  <c r="T49" i="3"/>
  <c r="U49" i="3" s="1"/>
  <c r="T68" i="3"/>
  <c r="U68" i="3" s="1"/>
  <c r="T59" i="3"/>
  <c r="U59" i="3" s="1"/>
  <c r="T28" i="3"/>
  <c r="U28" i="3" s="1"/>
  <c r="T93" i="3"/>
  <c r="U93" i="3" s="1"/>
  <c r="T36" i="3"/>
  <c r="U36" i="3" s="1"/>
  <c r="T24" i="3"/>
  <c r="U24" i="3" s="1"/>
  <c r="T22" i="3"/>
  <c r="U22" i="3" s="1"/>
  <c r="T89" i="3"/>
  <c r="U89" i="3" s="1"/>
  <c r="T53" i="3"/>
  <c r="U53" i="3" s="1"/>
  <c r="T82" i="3"/>
  <c r="U82" i="3" s="1"/>
  <c r="T71" i="3"/>
  <c r="U71" i="3" s="1"/>
  <c r="T16" i="3"/>
  <c r="U16" i="3" s="1"/>
  <c r="T54" i="3"/>
  <c r="U54" i="3" s="1"/>
  <c r="T33" i="3"/>
  <c r="U33" i="3" s="1"/>
  <c r="T84" i="3"/>
  <c r="U84" i="3" s="1"/>
  <c r="T21" i="3"/>
  <c r="U21" i="3" s="1"/>
  <c r="T104" i="3"/>
  <c r="U104" i="3" s="1"/>
  <c r="T15" i="3"/>
  <c r="U15" i="3" s="1"/>
  <c r="T19" i="3"/>
  <c r="U19" i="3" s="1"/>
  <c r="T63" i="3"/>
  <c r="U63" i="3" s="1"/>
  <c r="T40" i="3"/>
  <c r="U40" i="3" s="1"/>
  <c r="T39" i="3"/>
  <c r="U39" i="3" s="1"/>
  <c r="T76" i="3"/>
  <c r="U76" i="3" s="1"/>
  <c r="T10" i="3"/>
  <c r="U10" i="3" s="1"/>
  <c r="T29" i="3"/>
  <c r="U29" i="3" s="1"/>
  <c r="T61" i="3"/>
  <c r="U61" i="3" s="1"/>
  <c r="T45" i="3"/>
  <c r="U45" i="3" s="1"/>
  <c r="T81" i="3"/>
  <c r="U81" i="3" s="1"/>
  <c r="T80" i="3"/>
  <c r="U80" i="3" s="1"/>
  <c r="T25" i="3"/>
  <c r="U25" i="3" s="1"/>
  <c r="T3" i="3"/>
  <c r="U3" i="3" s="1"/>
  <c r="T32" i="3"/>
  <c r="U32" i="3" s="1"/>
  <c r="T92" i="3"/>
  <c r="U92" i="3" s="1"/>
  <c r="T23" i="3"/>
  <c r="U23" i="3" s="1"/>
  <c r="T42" i="3"/>
  <c r="U42" i="3" s="1"/>
  <c r="T38" i="3"/>
  <c r="U38" i="3" s="1"/>
  <c r="T30" i="3"/>
  <c r="U30" i="3" s="1"/>
  <c r="T57" i="3"/>
  <c r="U57" i="3" s="1"/>
  <c r="T569" i="3"/>
  <c r="U569" i="3" s="1"/>
  <c r="T553" i="3"/>
  <c r="U553" i="3" s="1"/>
  <c r="T537" i="3"/>
  <c r="U537" i="3" s="1"/>
  <c r="T521" i="3"/>
  <c r="U521" i="3" s="1"/>
  <c r="T505" i="3"/>
  <c r="U505" i="3" s="1"/>
  <c r="T489" i="3"/>
  <c r="U489" i="3" s="1"/>
  <c r="T473" i="3"/>
  <c r="U473" i="3" s="1"/>
  <c r="T457" i="3"/>
  <c r="U457" i="3" s="1"/>
  <c r="T441" i="3"/>
  <c r="U441" i="3" s="1"/>
  <c r="T425" i="3"/>
  <c r="U425" i="3" s="1"/>
  <c r="T409" i="3"/>
  <c r="U409" i="3" s="1"/>
  <c r="T393" i="3"/>
  <c r="U393" i="3" s="1"/>
  <c r="T377" i="3"/>
  <c r="U377" i="3" s="1"/>
  <c r="T361" i="3"/>
  <c r="U361" i="3" s="1"/>
  <c r="T345" i="3"/>
  <c r="U345" i="3" s="1"/>
  <c r="T329" i="3"/>
  <c r="U329" i="3" s="1"/>
  <c r="T313" i="3"/>
  <c r="U313" i="3" s="1"/>
  <c r="T297" i="3"/>
  <c r="U297" i="3" s="1"/>
  <c r="T281" i="3"/>
  <c r="U281" i="3" s="1"/>
  <c r="T265" i="3"/>
  <c r="U265" i="3" s="1"/>
  <c r="T249" i="3"/>
  <c r="U249" i="3" s="1"/>
  <c r="T233" i="3"/>
  <c r="U233" i="3" s="1"/>
  <c r="T217" i="3"/>
  <c r="U217" i="3" s="1"/>
  <c r="T201" i="3"/>
  <c r="U201" i="3" s="1"/>
  <c r="T185" i="3"/>
  <c r="U185" i="3" s="1"/>
  <c r="T169" i="3"/>
  <c r="U169" i="3" s="1"/>
  <c r="T121" i="3"/>
  <c r="U121" i="3" s="1"/>
  <c r="T552" i="3"/>
  <c r="U552" i="3" s="1"/>
  <c r="T536" i="3"/>
  <c r="U536" i="3" s="1"/>
  <c r="T520" i="3"/>
  <c r="U520" i="3" s="1"/>
  <c r="T504" i="3"/>
  <c r="U504" i="3" s="1"/>
  <c r="T488" i="3"/>
  <c r="U488" i="3" s="1"/>
  <c r="T472" i="3"/>
  <c r="U472" i="3" s="1"/>
  <c r="T456" i="3"/>
  <c r="U456" i="3" s="1"/>
  <c r="T440" i="3"/>
  <c r="U440" i="3" s="1"/>
  <c r="T424" i="3"/>
  <c r="U424" i="3" s="1"/>
  <c r="T408" i="3"/>
  <c r="U408" i="3" s="1"/>
  <c r="T568" i="3"/>
  <c r="U568" i="3" s="1"/>
  <c r="T567" i="3"/>
  <c r="U567" i="3" s="1"/>
  <c r="T551" i="3"/>
  <c r="U551" i="3" s="1"/>
  <c r="T535" i="3"/>
  <c r="U535" i="3" s="1"/>
  <c r="T519" i="3"/>
  <c r="U519" i="3" s="1"/>
  <c r="T503" i="3"/>
  <c r="U503" i="3" s="1"/>
  <c r="T487" i="3"/>
  <c r="U487" i="3" s="1"/>
  <c r="T471" i="3"/>
  <c r="U471" i="3" s="1"/>
  <c r="T455" i="3"/>
  <c r="U455" i="3" s="1"/>
  <c r="T439" i="3"/>
  <c r="U439" i="3" s="1"/>
  <c r="T423" i="3"/>
  <c r="U423" i="3" s="1"/>
  <c r="T407" i="3"/>
  <c r="U407" i="3" s="1"/>
  <c r="T391" i="3"/>
  <c r="U391" i="3" s="1"/>
  <c r="T375" i="3"/>
  <c r="U375" i="3" s="1"/>
  <c r="T359" i="3"/>
  <c r="U359" i="3" s="1"/>
  <c r="T343" i="3"/>
  <c r="U343" i="3" s="1"/>
  <c r="T327" i="3"/>
  <c r="U327" i="3" s="1"/>
  <c r="T311" i="3"/>
  <c r="U311" i="3" s="1"/>
  <c r="T295" i="3"/>
  <c r="U295" i="3" s="1"/>
  <c r="T279" i="3"/>
  <c r="U279" i="3" s="1"/>
  <c r="T263" i="3"/>
  <c r="U263" i="3" s="1"/>
  <c r="T247" i="3"/>
  <c r="U247" i="3" s="1"/>
  <c r="T534" i="3"/>
  <c r="U534" i="3" s="1"/>
  <c r="T470" i="3"/>
  <c r="U470" i="3" s="1"/>
  <c r="T438" i="3"/>
  <c r="U438" i="3" s="1"/>
  <c r="T422" i="3"/>
  <c r="U422" i="3" s="1"/>
  <c r="T390" i="3"/>
  <c r="U390" i="3" s="1"/>
  <c r="T374" i="3"/>
  <c r="U374" i="3" s="1"/>
  <c r="T358" i="3"/>
  <c r="U358" i="3" s="1"/>
  <c r="T326" i="3"/>
  <c r="U326" i="3" s="1"/>
  <c r="T310" i="3"/>
  <c r="U310" i="3" s="1"/>
  <c r="T278" i="3"/>
  <c r="U278" i="3" s="1"/>
  <c r="T262" i="3"/>
  <c r="U262" i="3" s="1"/>
  <c r="T566" i="3"/>
  <c r="U566" i="3" s="1"/>
  <c r="T550" i="3"/>
  <c r="U550" i="3" s="1"/>
  <c r="T518" i="3"/>
  <c r="U518" i="3" s="1"/>
  <c r="T502" i="3"/>
  <c r="U502" i="3" s="1"/>
  <c r="T486" i="3"/>
  <c r="U486" i="3" s="1"/>
  <c r="T454" i="3"/>
  <c r="U454" i="3" s="1"/>
  <c r="T406" i="3"/>
  <c r="U406" i="3" s="1"/>
  <c r="T342" i="3"/>
  <c r="U342" i="3" s="1"/>
  <c r="T294" i="3"/>
  <c r="U294" i="3" s="1"/>
  <c r="T246" i="3"/>
  <c r="U246" i="3" s="1"/>
  <c r="T123" i="3"/>
  <c r="U123" i="3" s="1"/>
  <c r="T533" i="3"/>
  <c r="U533" i="3" s="1"/>
  <c r="T469" i="3"/>
  <c r="U469" i="3" s="1"/>
  <c r="T565" i="3"/>
  <c r="U565" i="3" s="1"/>
  <c r="T549" i="3"/>
  <c r="U549" i="3" s="1"/>
  <c r="T517" i="3"/>
  <c r="U517" i="3" s="1"/>
  <c r="T501" i="3"/>
  <c r="U501" i="3" s="1"/>
  <c r="T485" i="3"/>
  <c r="U485" i="3" s="1"/>
  <c r="T113" i="3"/>
  <c r="U113" i="3" s="1"/>
  <c r="T564" i="3"/>
  <c r="U564" i="3" s="1"/>
  <c r="T562" i="3"/>
  <c r="U562" i="3" s="1"/>
  <c r="T546" i="3"/>
  <c r="U546" i="3" s="1"/>
  <c r="T530" i="3"/>
  <c r="U530" i="3" s="1"/>
  <c r="T514" i="3"/>
  <c r="U514" i="3" s="1"/>
  <c r="T498" i="3"/>
  <c r="U498" i="3" s="1"/>
  <c r="T482" i="3"/>
  <c r="U482" i="3" s="1"/>
  <c r="T466" i="3"/>
  <c r="U466" i="3" s="1"/>
  <c r="T540" i="3"/>
  <c r="U540" i="3" s="1"/>
  <c r="T511" i="3"/>
  <c r="U511" i="3" s="1"/>
  <c r="T483" i="3"/>
  <c r="U483" i="3" s="1"/>
  <c r="T411" i="3"/>
  <c r="U411" i="3" s="1"/>
  <c r="T291" i="3"/>
  <c r="U291" i="3" s="1"/>
  <c r="T244" i="3"/>
  <c r="U244" i="3" s="1"/>
  <c r="T180" i="3"/>
  <c r="U180" i="3" s="1"/>
  <c r="T160" i="3"/>
  <c r="U160" i="3" s="1"/>
  <c r="T141" i="3"/>
  <c r="U141" i="3" s="1"/>
  <c r="T309" i="3"/>
  <c r="U309" i="3" s="1"/>
  <c r="T563" i="3"/>
  <c r="U563" i="3" s="1"/>
  <c r="T459" i="3"/>
  <c r="U459" i="3" s="1"/>
  <c r="T432" i="3"/>
  <c r="U432" i="3" s="1"/>
  <c r="T384" i="3"/>
  <c r="U384" i="3" s="1"/>
  <c r="T363" i="3"/>
  <c r="U363" i="3" s="1"/>
  <c r="T337" i="3"/>
  <c r="U337" i="3" s="1"/>
  <c r="T316" i="3"/>
  <c r="U316" i="3" s="1"/>
  <c r="T290" i="3"/>
  <c r="U290" i="3" s="1"/>
  <c r="T269" i="3"/>
  <c r="U269" i="3" s="1"/>
  <c r="T223" i="3"/>
  <c r="U223" i="3" s="1"/>
  <c r="T203" i="3"/>
  <c r="U203" i="3" s="1"/>
  <c r="T287" i="3"/>
  <c r="U287" i="3" s="1"/>
  <c r="T539" i="3"/>
  <c r="U539" i="3" s="1"/>
  <c r="T510" i="3"/>
  <c r="U510" i="3" s="1"/>
  <c r="T481" i="3"/>
  <c r="U481" i="3" s="1"/>
  <c r="T410" i="3"/>
  <c r="U410" i="3" s="1"/>
  <c r="T243" i="3"/>
  <c r="U243" i="3" s="1"/>
  <c r="T179" i="3"/>
  <c r="U179" i="3" s="1"/>
  <c r="T159" i="3"/>
  <c r="U159" i="3" s="1"/>
  <c r="T140" i="3"/>
  <c r="U140" i="3" s="1"/>
  <c r="T120" i="3"/>
  <c r="U120" i="3" s="1"/>
  <c r="T561" i="3"/>
  <c r="U561" i="3" s="1"/>
  <c r="T458" i="3"/>
  <c r="U458" i="3" s="1"/>
  <c r="T431" i="3"/>
  <c r="U431" i="3" s="1"/>
  <c r="T405" i="3"/>
  <c r="U405" i="3" s="1"/>
  <c r="T383" i="3"/>
  <c r="U383" i="3" s="1"/>
  <c r="T362" i="3"/>
  <c r="U362" i="3" s="1"/>
  <c r="T336" i="3"/>
  <c r="U336" i="3" s="1"/>
  <c r="T315" i="3"/>
  <c r="U315" i="3" s="1"/>
  <c r="T289" i="3"/>
  <c r="U289" i="3" s="1"/>
  <c r="T268" i="3"/>
  <c r="U268" i="3" s="1"/>
  <c r="T242" i="3"/>
  <c r="U242" i="3" s="1"/>
  <c r="T222" i="3"/>
  <c r="U222" i="3" s="1"/>
  <c r="T202" i="3"/>
  <c r="U202" i="3" s="1"/>
  <c r="T178" i="3"/>
  <c r="U178" i="3" s="1"/>
  <c r="T108" i="3"/>
  <c r="U108" i="3" s="1"/>
  <c r="T240" i="3"/>
  <c r="U240" i="3" s="1"/>
  <c r="T538" i="3"/>
  <c r="U538" i="3" s="1"/>
  <c r="T509" i="3"/>
  <c r="U509" i="3" s="1"/>
  <c r="T480" i="3"/>
  <c r="U480" i="3" s="1"/>
  <c r="T453" i="3"/>
  <c r="U453" i="3" s="1"/>
  <c r="T404" i="3"/>
  <c r="U404" i="3" s="1"/>
  <c r="T360" i="3"/>
  <c r="U360" i="3" s="1"/>
  <c r="T200" i="3"/>
  <c r="U200" i="3" s="1"/>
  <c r="T158" i="3"/>
  <c r="U158" i="3" s="1"/>
  <c r="T139" i="3"/>
  <c r="U139" i="3" s="1"/>
  <c r="T220" i="3"/>
  <c r="U220" i="3" s="1"/>
  <c r="T560" i="3"/>
  <c r="U560" i="3" s="1"/>
  <c r="T532" i="3"/>
  <c r="U532" i="3" s="1"/>
  <c r="T452" i="3"/>
  <c r="U452" i="3" s="1"/>
  <c r="T430" i="3"/>
  <c r="U430" i="3" s="1"/>
  <c r="T382" i="3"/>
  <c r="U382" i="3" s="1"/>
  <c r="T357" i="3"/>
  <c r="U357" i="3" s="1"/>
  <c r="T335" i="3"/>
  <c r="U335" i="3" s="1"/>
  <c r="T314" i="3"/>
  <c r="U314" i="3" s="1"/>
  <c r="T288" i="3"/>
  <c r="U288" i="3" s="1"/>
  <c r="T267" i="3"/>
  <c r="U267" i="3" s="1"/>
  <c r="T241" i="3"/>
  <c r="U241" i="3" s="1"/>
  <c r="T221" i="3"/>
  <c r="U221" i="3" s="1"/>
  <c r="T199" i="3"/>
  <c r="U199" i="3" s="1"/>
  <c r="T177" i="3"/>
  <c r="U177" i="3" s="1"/>
  <c r="T117" i="3"/>
  <c r="U117" i="3" s="1"/>
  <c r="T111" i="3"/>
  <c r="U111" i="3" s="1"/>
  <c r="T266" i="3"/>
  <c r="U266" i="3" s="1"/>
  <c r="T137" i="3"/>
  <c r="U137" i="3" s="1"/>
  <c r="T508" i="3"/>
  <c r="U508" i="3" s="1"/>
  <c r="T479" i="3"/>
  <c r="U479" i="3" s="1"/>
  <c r="T403" i="3"/>
  <c r="U403" i="3" s="1"/>
  <c r="T356" i="3"/>
  <c r="U356" i="3" s="1"/>
  <c r="T312" i="3"/>
  <c r="U312" i="3" s="1"/>
  <c r="T198" i="3"/>
  <c r="U198" i="3" s="1"/>
  <c r="T157" i="3"/>
  <c r="U157" i="3" s="1"/>
  <c r="T138" i="3"/>
  <c r="U138" i="3" s="1"/>
  <c r="T114" i="3"/>
  <c r="U114" i="3" s="1"/>
  <c r="T176" i="3"/>
  <c r="U176" i="3" s="1"/>
  <c r="T559" i="3"/>
  <c r="U559" i="3" s="1"/>
  <c r="T531" i="3"/>
  <c r="U531" i="3" s="1"/>
  <c r="T451" i="3"/>
  <c r="U451" i="3" s="1"/>
  <c r="T429" i="3"/>
  <c r="U429" i="3" s="1"/>
  <c r="T402" i="3"/>
  <c r="U402" i="3" s="1"/>
  <c r="T381" i="3"/>
  <c r="U381" i="3" s="1"/>
  <c r="T334" i="3"/>
  <c r="U334" i="3" s="1"/>
  <c r="T197" i="3"/>
  <c r="U197" i="3" s="1"/>
  <c r="T507" i="3"/>
  <c r="U507" i="3" s="1"/>
  <c r="T478" i="3"/>
  <c r="U478" i="3" s="1"/>
  <c r="T450" i="3"/>
  <c r="U450" i="3" s="1"/>
  <c r="T355" i="3"/>
  <c r="U355" i="3" s="1"/>
  <c r="T308" i="3"/>
  <c r="U308" i="3" s="1"/>
  <c r="T264" i="3"/>
  <c r="U264" i="3" s="1"/>
  <c r="T196" i="3"/>
  <c r="U196" i="3" s="1"/>
  <c r="T156" i="3"/>
  <c r="U156" i="3" s="1"/>
  <c r="T136" i="3"/>
  <c r="U136" i="3" s="1"/>
  <c r="T475" i="3"/>
  <c r="U475" i="3" s="1"/>
  <c r="T447" i="3"/>
  <c r="U447" i="3" s="1"/>
  <c r="T421" i="3"/>
  <c r="U421" i="3" s="1"/>
  <c r="T376" i="3"/>
  <c r="U376" i="3" s="1"/>
  <c r="T214" i="3"/>
  <c r="U214" i="3" s="1"/>
  <c r="T548" i="3"/>
  <c r="U548" i="3" s="1"/>
  <c r="T445" i="3"/>
  <c r="U445" i="3" s="1"/>
  <c r="T418" i="3"/>
  <c r="U418" i="3" s="1"/>
  <c r="T371" i="3"/>
  <c r="U371" i="3" s="1"/>
  <c r="T324" i="3"/>
  <c r="U324" i="3" s="1"/>
  <c r="T280" i="3"/>
  <c r="U280" i="3" s="1"/>
  <c r="T211" i="3"/>
  <c r="U211" i="3" s="1"/>
  <c r="T149" i="3"/>
  <c r="U149" i="3" s="1"/>
  <c r="T129" i="3"/>
  <c r="U129" i="3" s="1"/>
  <c r="T541" i="3"/>
  <c r="U541" i="3" s="1"/>
  <c r="T512" i="3"/>
  <c r="U512" i="3" s="1"/>
  <c r="T484" i="3"/>
  <c r="U484" i="3" s="1"/>
  <c r="T460" i="3"/>
  <c r="U460" i="3" s="1"/>
  <c r="T558" i="3"/>
  <c r="U558" i="3" s="1"/>
  <c r="T516" i="3"/>
  <c r="U516" i="3" s="1"/>
  <c r="T468" i="3"/>
  <c r="U468" i="3" s="1"/>
  <c r="T364" i="3"/>
  <c r="U364" i="3" s="1"/>
  <c r="T322" i="3"/>
  <c r="U322" i="3" s="1"/>
  <c r="T286" i="3"/>
  <c r="U286" i="3" s="1"/>
  <c r="T128" i="3"/>
  <c r="U128" i="3" s="1"/>
  <c r="T251" i="3"/>
  <c r="U251" i="3" s="1"/>
  <c r="T151" i="3"/>
  <c r="U151" i="3" s="1"/>
  <c r="T277" i="3"/>
  <c r="U277" i="3" s="1"/>
  <c r="T386" i="3"/>
  <c r="U386" i="3" s="1"/>
  <c r="T148" i="3"/>
  <c r="U148" i="3" s="1"/>
  <c r="T317" i="3"/>
  <c r="U317" i="3" s="1"/>
  <c r="T467" i="3"/>
  <c r="U467" i="3" s="1"/>
  <c r="T433" i="3"/>
  <c r="U433" i="3" s="1"/>
  <c r="T395" i="3"/>
  <c r="U395" i="3" s="1"/>
  <c r="T354" i="3"/>
  <c r="U354" i="3" s="1"/>
  <c r="T253" i="3"/>
  <c r="U253" i="3" s="1"/>
  <c r="T218" i="3"/>
  <c r="U218" i="3" s="1"/>
  <c r="T188" i="3"/>
  <c r="U188" i="3" s="1"/>
  <c r="T155" i="3"/>
  <c r="U155" i="3" s="1"/>
  <c r="T352" i="3"/>
  <c r="U352" i="3" s="1"/>
  <c r="T184" i="3"/>
  <c r="U184" i="3" s="1"/>
  <c r="T500" i="3"/>
  <c r="U500" i="3" s="1"/>
  <c r="T124" i="3"/>
  <c r="U124" i="3" s="1"/>
  <c r="T462" i="3"/>
  <c r="U462" i="3" s="1"/>
  <c r="T181" i="3"/>
  <c r="U181" i="3" s="1"/>
  <c r="T499" i="3"/>
  <c r="U499" i="3" s="1"/>
  <c r="T557" i="3"/>
  <c r="U557" i="3" s="1"/>
  <c r="T515" i="3"/>
  <c r="U515" i="3" s="1"/>
  <c r="T428" i="3"/>
  <c r="U428" i="3" s="1"/>
  <c r="T321" i="3"/>
  <c r="U321" i="3" s="1"/>
  <c r="T285" i="3"/>
  <c r="U285" i="3" s="1"/>
  <c r="T216" i="3"/>
  <c r="U216" i="3" s="1"/>
  <c r="T127" i="3"/>
  <c r="U127" i="3" s="1"/>
  <c r="T212" i="3"/>
  <c r="U212" i="3" s="1"/>
  <c r="T125" i="3"/>
  <c r="U125" i="3" s="1"/>
  <c r="T115" i="3"/>
  <c r="U115" i="3" s="1"/>
  <c r="T350" i="3"/>
  <c r="U350" i="3" s="1"/>
  <c r="T419" i="3"/>
  <c r="U419" i="3" s="1"/>
  <c r="T465" i="3"/>
  <c r="U465" i="3" s="1"/>
  <c r="T394" i="3"/>
  <c r="U394" i="3" s="1"/>
  <c r="T353" i="3"/>
  <c r="U353" i="3" s="1"/>
  <c r="T252" i="3"/>
  <c r="U252" i="3" s="1"/>
  <c r="T215" i="3"/>
  <c r="U215" i="3" s="1"/>
  <c r="T187" i="3"/>
  <c r="U187" i="3" s="1"/>
  <c r="T154" i="3"/>
  <c r="U154" i="3" s="1"/>
  <c r="T283" i="3"/>
  <c r="U283" i="3" s="1"/>
  <c r="T150" i="3"/>
  <c r="U150" i="3" s="1"/>
  <c r="T556" i="3"/>
  <c r="U556" i="3" s="1"/>
  <c r="T513" i="3"/>
  <c r="U513" i="3" s="1"/>
  <c r="T427" i="3"/>
  <c r="U427" i="3" s="1"/>
  <c r="T392" i="3"/>
  <c r="U392" i="3" s="1"/>
  <c r="T320" i="3"/>
  <c r="U320" i="3" s="1"/>
  <c r="T284" i="3"/>
  <c r="U284" i="3" s="1"/>
  <c r="T213" i="3"/>
  <c r="U213" i="3" s="1"/>
  <c r="T153" i="3"/>
  <c r="U153" i="3" s="1"/>
  <c r="T126" i="3"/>
  <c r="U126" i="3" s="1"/>
  <c r="T152" i="3"/>
  <c r="U152" i="3" s="1"/>
  <c r="T248" i="3"/>
  <c r="U248" i="3" s="1"/>
  <c r="T547" i="3"/>
  <c r="U547" i="3" s="1"/>
  <c r="T245" i="3"/>
  <c r="U245" i="3" s="1"/>
  <c r="T110" i="3"/>
  <c r="U110" i="3" s="1"/>
  <c r="T239" i="3"/>
  <c r="U239" i="3" s="1"/>
  <c r="T555" i="3"/>
  <c r="U555" i="3" s="1"/>
  <c r="T464" i="3"/>
  <c r="U464" i="3" s="1"/>
  <c r="T389" i="3"/>
  <c r="U389" i="3" s="1"/>
  <c r="T186" i="3"/>
  <c r="U186" i="3" s="1"/>
  <c r="T183" i="3"/>
  <c r="U183" i="3" s="1"/>
  <c r="T182" i="3"/>
  <c r="U182" i="3" s="1"/>
  <c r="T276" i="3"/>
  <c r="U276" i="3" s="1"/>
  <c r="T426" i="3"/>
  <c r="U426" i="3" s="1"/>
  <c r="T388" i="3"/>
  <c r="U388" i="3" s="1"/>
  <c r="T351" i="3"/>
  <c r="U351" i="3" s="1"/>
  <c r="T319" i="3"/>
  <c r="U319" i="3" s="1"/>
  <c r="T387" i="3"/>
  <c r="U387" i="3" s="1"/>
  <c r="T349" i="3"/>
  <c r="U349" i="3" s="1"/>
  <c r="T554" i="3"/>
  <c r="U554" i="3" s="1"/>
  <c r="T506" i="3"/>
  <c r="U506" i="3" s="1"/>
  <c r="T463" i="3"/>
  <c r="U463" i="3" s="1"/>
  <c r="T420" i="3"/>
  <c r="U420" i="3" s="1"/>
  <c r="T282" i="3"/>
  <c r="U282" i="3" s="1"/>
  <c r="T250" i="3"/>
  <c r="U250" i="3" s="1"/>
  <c r="T210" i="3"/>
  <c r="U210" i="3" s="1"/>
  <c r="T318" i="3"/>
  <c r="U318" i="3" s="1"/>
  <c r="T209" i="3"/>
  <c r="U209" i="3" s="1"/>
  <c r="T495" i="3"/>
  <c r="U495" i="3" s="1"/>
  <c r="T449" i="3"/>
  <c r="U449" i="3" s="1"/>
  <c r="T379" i="3"/>
  <c r="U379" i="3" s="1"/>
  <c r="T273" i="3"/>
  <c r="U273" i="3" s="1"/>
  <c r="T237" i="3"/>
  <c r="U237" i="3" s="1"/>
  <c r="T173" i="3"/>
  <c r="U173" i="3" s="1"/>
  <c r="T145" i="3"/>
  <c r="U145" i="3" s="1"/>
  <c r="T346" i="3"/>
  <c r="U346" i="3" s="1"/>
  <c r="T305" i="3"/>
  <c r="U305" i="3" s="1"/>
  <c r="T236" i="3"/>
  <c r="U236" i="3" s="1"/>
  <c r="T448" i="3"/>
  <c r="U448" i="3" s="1"/>
  <c r="T378" i="3"/>
  <c r="U378" i="3" s="1"/>
  <c r="T304" i="3"/>
  <c r="U304" i="3" s="1"/>
  <c r="T172" i="3"/>
  <c r="U172" i="3" s="1"/>
  <c r="T543" i="3"/>
  <c r="U543" i="3" s="1"/>
  <c r="T415" i="3"/>
  <c r="U415" i="3" s="1"/>
  <c r="T206" i="3"/>
  <c r="U206" i="3" s="1"/>
  <c r="T494" i="3"/>
  <c r="U494" i="3" s="1"/>
  <c r="T344" i="3"/>
  <c r="U344" i="3" s="1"/>
  <c r="T272" i="3"/>
  <c r="U272" i="3" s="1"/>
  <c r="T144" i="3"/>
  <c r="U144" i="3" s="1"/>
  <c r="T435" i="3"/>
  <c r="U435" i="3" s="1"/>
  <c r="T397" i="3"/>
  <c r="U397" i="3" s="1"/>
  <c r="T365" i="3"/>
  <c r="U365" i="3" s="1"/>
  <c r="T292" i="3"/>
  <c r="U292" i="3" s="1"/>
  <c r="T522" i="3"/>
  <c r="U522" i="3" s="1"/>
  <c r="T474" i="3"/>
  <c r="U474" i="3" s="1"/>
  <c r="T545" i="3"/>
  <c r="U545" i="3" s="1"/>
  <c r="T461" i="3"/>
  <c r="U461" i="3" s="1"/>
  <c r="T331" i="3"/>
  <c r="U331" i="3" s="1"/>
  <c r="T259" i="3"/>
  <c r="U259" i="3" s="1"/>
  <c r="T204" i="3"/>
  <c r="U204" i="3" s="1"/>
  <c r="T119" i="3"/>
  <c r="U119" i="3" s="1"/>
  <c r="T527" i="3"/>
  <c r="U527" i="3" s="1"/>
  <c r="T302" i="3"/>
  <c r="U302" i="3" s="1"/>
  <c r="T301" i="3"/>
  <c r="U301" i="3" s="1"/>
  <c r="T524" i="3"/>
  <c r="U524" i="3" s="1"/>
  <c r="T293" i="3"/>
  <c r="U293" i="3" s="1"/>
  <c r="T274" i="3"/>
  <c r="U274" i="3" s="1"/>
  <c r="T396" i="3"/>
  <c r="U396" i="3" s="1"/>
  <c r="T330" i="3"/>
  <c r="U330" i="3" s="1"/>
  <c r="T258" i="3"/>
  <c r="U258" i="3" s="1"/>
  <c r="T147" i="3"/>
  <c r="U147" i="3" s="1"/>
  <c r="T372" i="3"/>
  <c r="U372" i="3" s="1"/>
  <c r="T238" i="3"/>
  <c r="U238" i="3" s="1"/>
  <c r="T234" i="3"/>
  <c r="U234" i="3" s="1"/>
  <c r="T437" i="3"/>
  <c r="U437" i="3" s="1"/>
  <c r="T417" i="3"/>
  <c r="U417" i="3" s="1"/>
  <c r="T109" i="3"/>
  <c r="U109" i="3" s="1"/>
  <c r="T167" i="3"/>
  <c r="U167" i="3" s="1"/>
  <c r="T224" i="3"/>
  <c r="U224" i="3" s="1"/>
  <c r="T544" i="3"/>
  <c r="U544" i="3" s="1"/>
  <c r="T385" i="3"/>
  <c r="U385" i="3" s="1"/>
  <c r="T328" i="3"/>
  <c r="U328" i="3" s="1"/>
  <c r="T257" i="3"/>
  <c r="U257" i="3" s="1"/>
  <c r="T195" i="3"/>
  <c r="U195" i="3" s="1"/>
  <c r="T146" i="3"/>
  <c r="U146" i="3" s="1"/>
  <c r="T443" i="3"/>
  <c r="U443" i="3" s="1"/>
  <c r="T112" i="3"/>
  <c r="U112" i="3" s="1"/>
  <c r="T298" i="3"/>
  <c r="U298" i="3" s="1"/>
  <c r="T493" i="3"/>
  <c r="U493" i="3" s="1"/>
  <c r="T347" i="3"/>
  <c r="U347" i="3" s="1"/>
  <c r="T412" i="3"/>
  <c r="U412" i="3" s="1"/>
  <c r="T122" i="3"/>
  <c r="U122" i="3" s="1"/>
  <c r="T542" i="3"/>
  <c r="U542" i="3" s="1"/>
  <c r="T380" i="3"/>
  <c r="U380" i="3" s="1"/>
  <c r="T325" i="3"/>
  <c r="U325" i="3" s="1"/>
  <c r="T194" i="3"/>
  <c r="U194" i="3" s="1"/>
  <c r="T307" i="3"/>
  <c r="U307" i="3" s="1"/>
  <c r="T526" i="3"/>
  <c r="U526" i="3" s="1"/>
  <c r="T368" i="3"/>
  <c r="U368" i="3" s="1"/>
  <c r="T232" i="3"/>
  <c r="U232" i="3" s="1"/>
  <c r="T228" i="3"/>
  <c r="U228" i="3" s="1"/>
  <c r="T416" i="3"/>
  <c r="U416" i="3" s="1"/>
  <c r="T225" i="3"/>
  <c r="U225" i="3" s="1"/>
  <c r="T323" i="3"/>
  <c r="U323" i="3" s="1"/>
  <c r="T256" i="3"/>
  <c r="U256" i="3" s="1"/>
  <c r="T193" i="3"/>
  <c r="U193" i="3" s="1"/>
  <c r="T303" i="3"/>
  <c r="U303" i="3" s="1"/>
  <c r="T190" i="3"/>
  <c r="U190" i="3" s="1"/>
  <c r="T118" i="3"/>
  <c r="U118" i="3" s="1"/>
  <c r="T189" i="3"/>
  <c r="U189" i="3" s="1"/>
  <c r="T227" i="3"/>
  <c r="U227" i="3" s="1"/>
  <c r="T529" i="3"/>
  <c r="U529" i="3" s="1"/>
  <c r="T446" i="3"/>
  <c r="U446" i="3" s="1"/>
  <c r="T373" i="3"/>
  <c r="U373" i="3" s="1"/>
  <c r="T255" i="3"/>
  <c r="U255" i="3" s="1"/>
  <c r="T143" i="3"/>
  <c r="U143" i="3" s="1"/>
  <c r="T191" i="3"/>
  <c r="U191" i="3" s="1"/>
  <c r="T135" i="3"/>
  <c r="U135" i="3" s="1"/>
  <c r="T442" i="3"/>
  <c r="U442" i="3" s="1"/>
  <c r="T170" i="3"/>
  <c r="U170" i="3" s="1"/>
  <c r="T116" i="3"/>
  <c r="U116" i="3" s="1"/>
  <c r="T296" i="3"/>
  <c r="U296" i="3" s="1"/>
  <c r="T166" i="3"/>
  <c r="U166" i="3" s="1"/>
  <c r="T528" i="3"/>
  <c r="U528" i="3" s="1"/>
  <c r="T306" i="3"/>
  <c r="U306" i="3" s="1"/>
  <c r="T254" i="3"/>
  <c r="U254" i="3" s="1"/>
  <c r="T192" i="3"/>
  <c r="U192" i="3" s="1"/>
  <c r="T142" i="3"/>
  <c r="U142" i="3" s="1"/>
  <c r="T369" i="3"/>
  <c r="U369" i="3" s="1"/>
  <c r="T134" i="3"/>
  <c r="U134" i="3" s="1"/>
  <c r="T133" i="3"/>
  <c r="U133" i="3" s="1"/>
  <c r="T226" i="3"/>
  <c r="U226" i="3" s="1"/>
  <c r="T492" i="3"/>
  <c r="U492" i="3" s="1"/>
  <c r="T340" i="3"/>
  <c r="U340" i="3" s="1"/>
  <c r="T444" i="3"/>
  <c r="U444" i="3" s="1"/>
  <c r="T370" i="3"/>
  <c r="U370" i="3" s="1"/>
  <c r="T235" i="3"/>
  <c r="U235" i="3" s="1"/>
  <c r="T132" i="3"/>
  <c r="U132" i="3" s="1"/>
  <c r="T496" i="3"/>
  <c r="U496" i="3" s="1"/>
  <c r="T168" i="3"/>
  <c r="U168" i="3" s="1"/>
  <c r="T413" i="3"/>
  <c r="U413" i="3" s="1"/>
  <c r="T219" i="3"/>
  <c r="U219" i="3" s="1"/>
  <c r="T525" i="3"/>
  <c r="U525" i="3" s="1"/>
  <c r="T175" i="3"/>
  <c r="U175" i="3" s="1"/>
  <c r="T171" i="3"/>
  <c r="U171" i="3" s="1"/>
  <c r="T414" i="3"/>
  <c r="U414" i="3" s="1"/>
  <c r="T165" i="3"/>
  <c r="U165" i="3" s="1"/>
  <c r="T164" i="3"/>
  <c r="U164" i="3" s="1"/>
  <c r="T436" i="3"/>
  <c r="U436" i="3" s="1"/>
  <c r="T367" i="3"/>
  <c r="U367" i="3" s="1"/>
  <c r="T300" i="3"/>
  <c r="U300" i="3" s="1"/>
  <c r="T231" i="3"/>
  <c r="U231" i="3" s="1"/>
  <c r="T523" i="3"/>
  <c r="U523" i="3" s="1"/>
  <c r="T230" i="3"/>
  <c r="U230" i="3" s="1"/>
  <c r="T174" i="3"/>
  <c r="U174" i="3" s="1"/>
  <c r="T131" i="3"/>
  <c r="U131" i="3" s="1"/>
  <c r="T497" i="3"/>
  <c r="U497" i="3" s="1"/>
  <c r="T434" i="3"/>
  <c r="U434" i="3" s="1"/>
  <c r="T366" i="3"/>
  <c r="U366" i="3" s="1"/>
  <c r="T299" i="3"/>
  <c r="U299" i="3" s="1"/>
  <c r="T229" i="3"/>
  <c r="U229" i="3" s="1"/>
  <c r="T130" i="3"/>
  <c r="U130" i="3" s="1"/>
  <c r="T348" i="3"/>
  <c r="U348" i="3" s="1"/>
  <c r="T275" i="3"/>
  <c r="U275" i="3" s="1"/>
  <c r="T491" i="3"/>
  <c r="U491" i="3" s="1"/>
  <c r="T401" i="3"/>
  <c r="U401" i="3" s="1"/>
  <c r="T398" i="3"/>
  <c r="U398" i="3" s="1"/>
  <c r="T341" i="3"/>
  <c r="U341" i="3" s="1"/>
  <c r="T490" i="3"/>
  <c r="U490" i="3" s="1"/>
  <c r="T400" i="3"/>
  <c r="U400" i="3" s="1"/>
  <c r="T338" i="3"/>
  <c r="U338" i="3" s="1"/>
  <c r="T332" i="3"/>
  <c r="U332" i="3" s="1"/>
  <c r="T208" i="3"/>
  <c r="U208" i="3" s="1"/>
  <c r="T161" i="3"/>
  <c r="U161" i="3" s="1"/>
  <c r="T399" i="3"/>
  <c r="U399" i="3" s="1"/>
  <c r="T270" i="3"/>
  <c r="U270" i="3" s="1"/>
  <c r="T207" i="3"/>
  <c r="U207" i="3" s="1"/>
  <c r="T477" i="3"/>
  <c r="U477" i="3" s="1"/>
  <c r="T339" i="3"/>
  <c r="U339" i="3" s="1"/>
  <c r="T261" i="3"/>
  <c r="U261" i="3" s="1"/>
  <c r="T333" i="3"/>
  <c r="U333" i="3" s="1"/>
  <c r="T163" i="3"/>
  <c r="U163" i="3" s="1"/>
  <c r="T476" i="3"/>
  <c r="U476" i="3" s="1"/>
  <c r="T271" i="3"/>
  <c r="U271" i="3" s="1"/>
  <c r="T260" i="3"/>
  <c r="U260" i="3" s="1"/>
  <c r="T162" i="3"/>
  <c r="U162" i="3" s="1"/>
  <c r="T205" i="3"/>
  <c r="U205" i="3" s="1"/>
  <c r="T37" i="3"/>
  <c r="U37" i="3" s="1"/>
  <c r="T12" i="3"/>
  <c r="U12" i="3" s="1"/>
  <c r="T56" i="3"/>
  <c r="U56" i="3" s="1"/>
  <c r="T79" i="3"/>
  <c r="U79" i="3" s="1"/>
  <c r="T86" i="3"/>
  <c r="U86" i="3" s="1"/>
  <c r="T44" i="3"/>
  <c r="U44" i="3" s="1"/>
  <c r="T35" i="3"/>
  <c r="U35" i="3" s="1"/>
  <c r="T27" i="3"/>
  <c r="U27" i="3" s="1"/>
  <c r="T6" i="3"/>
  <c r="U6" i="3" s="1"/>
  <c r="T67" i="3"/>
  <c r="U67" i="3" s="1"/>
  <c r="T107" i="3"/>
  <c r="U107" i="3" s="1"/>
  <c r="T50" i="3"/>
  <c r="U50" i="3" s="1"/>
  <c r="T101" i="3"/>
  <c r="U101" i="3" s="1"/>
  <c r="T48" i="3"/>
  <c r="U48" i="3" s="1"/>
  <c r="T20" i="3"/>
  <c r="U20" i="3" s="1"/>
  <c r="T83" i="3"/>
  <c r="U83" i="3" s="1"/>
  <c r="T14" i="3"/>
  <c r="U14" i="3" s="1"/>
  <c r="T18" i="3"/>
  <c r="U18" i="3" s="1"/>
  <c r="T13" i="3"/>
  <c r="U13" i="3" s="1"/>
  <c r="T17" i="3"/>
  <c r="U17" i="3" s="1"/>
  <c r="T99" i="3"/>
  <c r="U99" i="3" s="1"/>
  <c r="T91" i="3"/>
  <c r="U91" i="3" s="1"/>
  <c r="T46" i="3"/>
  <c r="U46" i="3" s="1"/>
  <c r="T77" i="3"/>
  <c r="U77" i="3" s="1"/>
  <c r="T106" i="3"/>
  <c r="U106" i="3" s="1"/>
  <c r="T73" i="3"/>
  <c r="U73" i="3" s="1"/>
  <c r="T41" i="3"/>
  <c r="U41" i="3" s="1"/>
  <c r="T95" i="3"/>
  <c r="U95" i="3" s="1"/>
  <c r="T66" i="3"/>
  <c r="U66" i="3" s="1"/>
  <c r="T87" i="3"/>
  <c r="U87" i="3" s="1"/>
  <c r="T98" i="3"/>
  <c r="U98" i="3" s="1"/>
  <c r="T97" i="3"/>
  <c r="U97" i="3" s="1"/>
  <c r="T69" i="3"/>
  <c r="U69" i="3" s="1"/>
  <c r="T64" i="3"/>
  <c r="U64" i="3" s="1"/>
  <c r="T100" i="3"/>
  <c r="U100" i="3" s="1"/>
  <c r="T74" i="3"/>
  <c r="U74" i="3" s="1"/>
  <c r="T51" i="3"/>
  <c r="U51" i="3" s="1"/>
  <c r="T70" i="3"/>
  <c r="U70" i="3" s="1"/>
  <c r="T96" i="3"/>
  <c r="U96" i="3" s="1"/>
  <c r="T57" i="2"/>
  <c r="U57" i="2" s="1"/>
  <c r="T40" i="2"/>
  <c r="U40" i="2" s="1"/>
  <c r="T50" i="2"/>
  <c r="U50" i="2" s="1"/>
  <c r="T33" i="2"/>
  <c r="U33" i="2" s="1"/>
  <c r="T19" i="2"/>
  <c r="U19" i="2" s="1"/>
  <c r="T106" i="2"/>
  <c r="U106" i="2" s="1"/>
  <c r="T54" i="2"/>
  <c r="U54" i="2" s="1"/>
  <c r="T22" i="2"/>
  <c r="U22" i="2" s="1"/>
  <c r="T90" i="2"/>
  <c r="U90" i="2" s="1"/>
  <c r="T44" i="2"/>
  <c r="U44" i="2" s="1"/>
  <c r="T49" i="2"/>
  <c r="U49" i="2" s="1"/>
  <c r="T10" i="2"/>
  <c r="U10" i="2" s="1"/>
  <c r="T91" i="2"/>
  <c r="U91" i="2" s="1"/>
  <c r="T15" i="2"/>
  <c r="U15" i="2" s="1"/>
  <c r="T66" i="2"/>
  <c r="U66" i="2" s="1"/>
  <c r="T81" i="2"/>
  <c r="U81" i="2" s="1"/>
  <c r="T74" i="2"/>
  <c r="U74" i="2" s="1"/>
  <c r="T87" i="2"/>
  <c r="U87" i="2" s="1"/>
  <c r="T29" i="2"/>
  <c r="U29" i="2" s="1"/>
  <c r="T70" i="2"/>
  <c r="U70" i="2" s="1"/>
  <c r="T11" i="2"/>
  <c r="U11" i="2" s="1"/>
  <c r="T93" i="2"/>
  <c r="U93" i="2" s="1"/>
  <c r="T45" i="2"/>
  <c r="U45" i="2" s="1"/>
  <c r="T4" i="2"/>
  <c r="U4" i="2" s="1"/>
  <c r="T92" i="2"/>
  <c r="U92" i="2" s="1"/>
  <c r="T5" i="2"/>
  <c r="U5" i="2" s="1"/>
  <c r="T78" i="2"/>
  <c r="U78" i="2" s="1"/>
  <c r="T95" i="2"/>
  <c r="U95" i="2" s="1"/>
  <c r="T16" i="2"/>
  <c r="U16" i="2" s="1"/>
  <c r="T97" i="2"/>
  <c r="U97" i="2" s="1"/>
  <c r="T102" i="2"/>
  <c r="U102" i="2" s="1"/>
  <c r="T30" i="2"/>
  <c r="U30" i="2" s="1"/>
  <c r="T25" i="2"/>
  <c r="U25" i="2" s="1"/>
  <c r="T46" i="2"/>
  <c r="U46" i="2" s="1"/>
  <c r="T36" i="2"/>
  <c r="U36" i="2" s="1"/>
  <c r="T56" i="2"/>
  <c r="U56" i="2" s="1"/>
  <c r="T64" i="2"/>
  <c r="U64" i="2" s="1"/>
  <c r="T61" i="2"/>
  <c r="U61" i="2" s="1"/>
  <c r="T7" i="2"/>
  <c r="U7" i="2" s="1"/>
  <c r="T82" i="2"/>
  <c r="U82" i="2" s="1"/>
  <c r="T37" i="2"/>
  <c r="U37" i="2" s="1"/>
  <c r="T12" i="2"/>
  <c r="U12" i="2" s="1"/>
  <c r="T13" i="2"/>
  <c r="U13" i="2" s="1"/>
  <c r="T8" i="2"/>
  <c r="U8" i="2" s="1"/>
  <c r="T68" i="2"/>
  <c r="U68" i="2" s="1"/>
  <c r="T20" i="2"/>
  <c r="U20" i="2" s="1"/>
  <c r="T14" i="2"/>
  <c r="U14" i="2" s="1"/>
  <c r="T59" i="2"/>
  <c r="U59" i="2" s="1"/>
  <c r="T75" i="2"/>
  <c r="U75" i="2" s="1"/>
  <c r="T103" i="2"/>
  <c r="U103" i="2" s="1"/>
  <c r="T101" i="2"/>
  <c r="U101" i="2" s="1"/>
  <c r="T60" i="2"/>
  <c r="U60" i="2" s="1"/>
  <c r="T107" i="2"/>
  <c r="U107" i="2" s="1"/>
  <c r="T47" i="2"/>
  <c r="U47" i="2" s="1"/>
  <c r="T72" i="2"/>
  <c r="U72" i="2" s="1"/>
  <c r="T80" i="2"/>
  <c r="U80" i="2" s="1"/>
  <c r="T48" i="2"/>
  <c r="U48" i="2" s="1"/>
  <c r="T38" i="2"/>
  <c r="U38" i="2" s="1"/>
  <c r="T104" i="2"/>
  <c r="U104" i="2" s="1"/>
  <c r="T62" i="2"/>
  <c r="U62" i="2" s="1"/>
  <c r="T553" i="2"/>
  <c r="U553" i="2" s="1"/>
  <c r="T441" i="2"/>
  <c r="U441" i="2" s="1"/>
  <c r="T377" i="2"/>
  <c r="U377" i="2" s="1"/>
  <c r="T345" i="2"/>
  <c r="U345" i="2" s="1"/>
  <c r="T313" i="2"/>
  <c r="U313" i="2" s="1"/>
  <c r="T281" i="2"/>
  <c r="U281" i="2" s="1"/>
  <c r="T249" i="2"/>
  <c r="U249" i="2" s="1"/>
  <c r="T217" i="2"/>
  <c r="U217" i="2" s="1"/>
  <c r="T185" i="2"/>
  <c r="U185" i="2" s="1"/>
  <c r="T153" i="2"/>
  <c r="U153" i="2" s="1"/>
  <c r="T569" i="2"/>
  <c r="U569" i="2" s="1"/>
  <c r="T537" i="2"/>
  <c r="U537" i="2" s="1"/>
  <c r="T521" i="2"/>
  <c r="U521" i="2" s="1"/>
  <c r="T505" i="2"/>
  <c r="U505" i="2" s="1"/>
  <c r="T489" i="2"/>
  <c r="U489" i="2" s="1"/>
  <c r="T473" i="2"/>
  <c r="U473" i="2" s="1"/>
  <c r="T457" i="2"/>
  <c r="U457" i="2" s="1"/>
  <c r="T425" i="2"/>
  <c r="U425" i="2" s="1"/>
  <c r="T409" i="2"/>
  <c r="U409" i="2" s="1"/>
  <c r="T393" i="2"/>
  <c r="U393" i="2" s="1"/>
  <c r="T361" i="2"/>
  <c r="U361" i="2" s="1"/>
  <c r="T329" i="2"/>
  <c r="U329" i="2" s="1"/>
  <c r="T297" i="2"/>
  <c r="U297" i="2" s="1"/>
  <c r="T265" i="2"/>
  <c r="U265" i="2" s="1"/>
  <c r="T233" i="2"/>
  <c r="U233" i="2" s="1"/>
  <c r="T201" i="2"/>
  <c r="U201" i="2" s="1"/>
  <c r="T169" i="2"/>
  <c r="U169" i="2" s="1"/>
  <c r="T137" i="2"/>
  <c r="U137" i="2" s="1"/>
  <c r="T568" i="2"/>
  <c r="U568" i="2" s="1"/>
  <c r="T552" i="2"/>
  <c r="U552" i="2" s="1"/>
  <c r="T536" i="2"/>
  <c r="U536" i="2" s="1"/>
  <c r="T520" i="2"/>
  <c r="U520" i="2" s="1"/>
  <c r="T504" i="2"/>
  <c r="U504" i="2" s="1"/>
  <c r="T488" i="2"/>
  <c r="U488" i="2" s="1"/>
  <c r="T472" i="2"/>
  <c r="U472" i="2" s="1"/>
  <c r="T456" i="2"/>
  <c r="U456" i="2" s="1"/>
  <c r="T440" i="2"/>
  <c r="U440" i="2" s="1"/>
  <c r="T424" i="2"/>
  <c r="U424" i="2" s="1"/>
  <c r="T408" i="2"/>
  <c r="U408" i="2" s="1"/>
  <c r="T392" i="2"/>
  <c r="U392" i="2" s="1"/>
  <c r="T376" i="2"/>
  <c r="U376" i="2" s="1"/>
  <c r="T360" i="2"/>
  <c r="U360" i="2" s="1"/>
  <c r="T344" i="2"/>
  <c r="U344" i="2" s="1"/>
  <c r="T328" i="2"/>
  <c r="U328" i="2" s="1"/>
  <c r="T312" i="2"/>
  <c r="U312" i="2" s="1"/>
  <c r="T296" i="2"/>
  <c r="U296" i="2" s="1"/>
  <c r="T280" i="2"/>
  <c r="U280" i="2" s="1"/>
  <c r="T264" i="2"/>
  <c r="U264" i="2" s="1"/>
  <c r="T248" i="2"/>
  <c r="U248" i="2" s="1"/>
  <c r="T111" i="2"/>
  <c r="U111" i="2" s="1"/>
  <c r="T455" i="2"/>
  <c r="U455" i="2" s="1"/>
  <c r="T567" i="2"/>
  <c r="U567" i="2" s="1"/>
  <c r="T551" i="2"/>
  <c r="U551" i="2" s="1"/>
  <c r="T535" i="2"/>
  <c r="U535" i="2" s="1"/>
  <c r="T519" i="2"/>
  <c r="U519" i="2" s="1"/>
  <c r="T503" i="2"/>
  <c r="U503" i="2" s="1"/>
  <c r="T487" i="2"/>
  <c r="U487" i="2" s="1"/>
  <c r="T471" i="2"/>
  <c r="U471" i="2" s="1"/>
  <c r="T439" i="2"/>
  <c r="U439" i="2" s="1"/>
  <c r="T423" i="2"/>
  <c r="U423" i="2" s="1"/>
  <c r="T407" i="2"/>
  <c r="U407" i="2" s="1"/>
  <c r="T391" i="2"/>
  <c r="U391" i="2" s="1"/>
  <c r="T518" i="2"/>
  <c r="U518" i="2" s="1"/>
  <c r="T566" i="2"/>
  <c r="U566" i="2" s="1"/>
  <c r="T550" i="2"/>
  <c r="U550" i="2" s="1"/>
  <c r="T534" i="2"/>
  <c r="U534" i="2" s="1"/>
  <c r="T502" i="2"/>
  <c r="U502" i="2" s="1"/>
  <c r="T486" i="2"/>
  <c r="U486" i="2" s="1"/>
  <c r="T470" i="2"/>
  <c r="U470" i="2" s="1"/>
  <c r="T454" i="2"/>
  <c r="U454" i="2" s="1"/>
  <c r="T438" i="2"/>
  <c r="U438" i="2" s="1"/>
  <c r="T562" i="2"/>
  <c r="U562" i="2" s="1"/>
  <c r="T523" i="2"/>
  <c r="U523" i="2" s="1"/>
  <c r="T499" i="2"/>
  <c r="U499" i="2" s="1"/>
  <c r="T432" i="2"/>
  <c r="U432" i="2" s="1"/>
  <c r="T390" i="2"/>
  <c r="U390" i="2" s="1"/>
  <c r="T371" i="2"/>
  <c r="U371" i="2" s="1"/>
  <c r="T292" i="2"/>
  <c r="U292" i="2" s="1"/>
  <c r="T214" i="2"/>
  <c r="U214" i="2" s="1"/>
  <c r="T158" i="2"/>
  <c r="U158" i="2" s="1"/>
  <c r="T112" i="2"/>
  <c r="U112" i="2" s="1"/>
  <c r="T176" i="2"/>
  <c r="U176" i="2" s="1"/>
  <c r="T543" i="2"/>
  <c r="U543" i="2" s="1"/>
  <c r="T498" i="2"/>
  <c r="U498" i="2" s="1"/>
  <c r="T477" i="2"/>
  <c r="U477" i="2" s="1"/>
  <c r="T453" i="2"/>
  <c r="U453" i="2" s="1"/>
  <c r="T412" i="2"/>
  <c r="U412" i="2" s="1"/>
  <c r="T370" i="2"/>
  <c r="U370" i="2" s="1"/>
  <c r="T351" i="2"/>
  <c r="U351" i="2" s="1"/>
  <c r="T332" i="2"/>
  <c r="U332" i="2" s="1"/>
  <c r="T311" i="2"/>
  <c r="U311" i="2" s="1"/>
  <c r="T272" i="2"/>
  <c r="U272" i="2" s="1"/>
  <c r="T253" i="2"/>
  <c r="U253" i="2" s="1"/>
  <c r="T234" i="2"/>
  <c r="U234" i="2" s="1"/>
  <c r="T195" i="2"/>
  <c r="U195" i="2" s="1"/>
  <c r="T139" i="2"/>
  <c r="U139" i="2" s="1"/>
  <c r="T565" i="2"/>
  <c r="U565" i="2" s="1"/>
  <c r="T522" i="2"/>
  <c r="U522" i="2" s="1"/>
  <c r="T431" i="2"/>
  <c r="U431" i="2" s="1"/>
  <c r="T389" i="2"/>
  <c r="U389" i="2" s="1"/>
  <c r="T310" i="2"/>
  <c r="U310" i="2" s="1"/>
  <c r="T291" i="2"/>
  <c r="U291" i="2" s="1"/>
  <c r="T213" i="2"/>
  <c r="U213" i="2" s="1"/>
  <c r="T194" i="2"/>
  <c r="U194" i="2" s="1"/>
  <c r="T157" i="2"/>
  <c r="U157" i="2" s="1"/>
  <c r="T138" i="2"/>
  <c r="U138" i="2" s="1"/>
  <c r="T231" i="2"/>
  <c r="U231" i="2" s="1"/>
  <c r="T156" i="2"/>
  <c r="U156" i="2" s="1"/>
  <c r="T251" i="2"/>
  <c r="U251" i="2" s="1"/>
  <c r="T542" i="2"/>
  <c r="U542" i="2" s="1"/>
  <c r="T497" i="2"/>
  <c r="U497" i="2" s="1"/>
  <c r="T476" i="2"/>
  <c r="U476" i="2" s="1"/>
  <c r="T452" i="2"/>
  <c r="U452" i="2" s="1"/>
  <c r="T411" i="2"/>
  <c r="U411" i="2" s="1"/>
  <c r="T369" i="2"/>
  <c r="U369" i="2" s="1"/>
  <c r="T350" i="2"/>
  <c r="U350" i="2" s="1"/>
  <c r="T331" i="2"/>
  <c r="U331" i="2" s="1"/>
  <c r="T290" i="2"/>
  <c r="U290" i="2" s="1"/>
  <c r="T271" i="2"/>
  <c r="U271" i="2" s="1"/>
  <c r="T252" i="2"/>
  <c r="U252" i="2" s="1"/>
  <c r="T232" i="2"/>
  <c r="U232" i="2" s="1"/>
  <c r="T175" i="2"/>
  <c r="U175" i="2" s="1"/>
  <c r="T123" i="2"/>
  <c r="U123" i="2" s="1"/>
  <c r="T109" i="2"/>
  <c r="U109" i="2" s="1"/>
  <c r="T193" i="2"/>
  <c r="U193" i="2" s="1"/>
  <c r="T120" i="2"/>
  <c r="U120" i="2" s="1"/>
  <c r="T270" i="2"/>
  <c r="U270" i="2" s="1"/>
  <c r="T136" i="2"/>
  <c r="U136" i="2" s="1"/>
  <c r="T564" i="2"/>
  <c r="U564" i="2" s="1"/>
  <c r="T496" i="2"/>
  <c r="U496" i="2" s="1"/>
  <c r="T430" i="2"/>
  <c r="U430" i="2" s="1"/>
  <c r="T388" i="2"/>
  <c r="U388" i="2" s="1"/>
  <c r="T309" i="2"/>
  <c r="U309" i="2" s="1"/>
  <c r="T212" i="2"/>
  <c r="U212" i="2" s="1"/>
  <c r="T541" i="2"/>
  <c r="U541" i="2" s="1"/>
  <c r="T517" i="2"/>
  <c r="U517" i="2" s="1"/>
  <c r="T475" i="2"/>
  <c r="U475" i="2" s="1"/>
  <c r="T451" i="2"/>
  <c r="U451" i="2" s="1"/>
  <c r="T410" i="2"/>
  <c r="U410" i="2" s="1"/>
  <c r="T368" i="2"/>
  <c r="U368" i="2" s="1"/>
  <c r="T349" i="2"/>
  <c r="U349" i="2" s="1"/>
  <c r="T330" i="2"/>
  <c r="U330" i="2" s="1"/>
  <c r="T289" i="2"/>
  <c r="U289" i="2" s="1"/>
  <c r="T230" i="2"/>
  <c r="U230" i="2" s="1"/>
  <c r="T174" i="2"/>
  <c r="U174" i="2" s="1"/>
  <c r="T563" i="2"/>
  <c r="U563" i="2" s="1"/>
  <c r="T495" i="2"/>
  <c r="U495" i="2" s="1"/>
  <c r="T450" i="2"/>
  <c r="U450" i="2" s="1"/>
  <c r="T429" i="2"/>
  <c r="U429" i="2" s="1"/>
  <c r="T387" i="2"/>
  <c r="U387" i="2" s="1"/>
  <c r="T308" i="2"/>
  <c r="U308" i="2" s="1"/>
  <c r="T211" i="2"/>
  <c r="U211" i="2" s="1"/>
  <c r="T192" i="2"/>
  <c r="U192" i="2" s="1"/>
  <c r="T155" i="2"/>
  <c r="U155" i="2" s="1"/>
  <c r="T135" i="2"/>
  <c r="U135" i="2" s="1"/>
  <c r="T540" i="2"/>
  <c r="U540" i="2" s="1"/>
  <c r="T516" i="2"/>
  <c r="U516" i="2" s="1"/>
  <c r="T474" i="2"/>
  <c r="U474" i="2" s="1"/>
  <c r="T406" i="2"/>
  <c r="U406" i="2" s="1"/>
  <c r="T386" i="2"/>
  <c r="U386" i="2" s="1"/>
  <c r="T367" i="2"/>
  <c r="U367" i="2" s="1"/>
  <c r="T561" i="2"/>
  <c r="U561" i="2" s="1"/>
  <c r="T494" i="2"/>
  <c r="U494" i="2" s="1"/>
  <c r="T449" i="2"/>
  <c r="U449" i="2" s="1"/>
  <c r="T428" i="2"/>
  <c r="U428" i="2" s="1"/>
  <c r="T326" i="2"/>
  <c r="U326" i="2" s="1"/>
  <c r="T307" i="2"/>
  <c r="U307" i="2" s="1"/>
  <c r="T191" i="2"/>
  <c r="U191" i="2" s="1"/>
  <c r="T559" i="2"/>
  <c r="U559" i="2" s="1"/>
  <c r="T538" i="2"/>
  <c r="U538" i="2" s="1"/>
  <c r="T447" i="2"/>
  <c r="U447" i="2" s="1"/>
  <c r="T404" i="2"/>
  <c r="U404" i="2" s="1"/>
  <c r="T558" i="2"/>
  <c r="U558" i="2" s="1"/>
  <c r="T512" i="2"/>
  <c r="U512" i="2" s="1"/>
  <c r="T446" i="2"/>
  <c r="U446" i="2" s="1"/>
  <c r="T403" i="2"/>
  <c r="U403" i="2" s="1"/>
  <c r="T383" i="2"/>
  <c r="U383" i="2" s="1"/>
  <c r="T531" i="2"/>
  <c r="U531" i="2" s="1"/>
  <c r="T464" i="2"/>
  <c r="U464" i="2" s="1"/>
  <c r="T420" i="2"/>
  <c r="U420" i="2" s="1"/>
  <c r="T400" i="2"/>
  <c r="U400" i="2" s="1"/>
  <c r="T340" i="2"/>
  <c r="U340" i="2" s="1"/>
  <c r="T261" i="2"/>
  <c r="U261" i="2" s="1"/>
  <c r="T223" i="2"/>
  <c r="U223" i="2" s="1"/>
  <c r="T186" i="2"/>
  <c r="U186" i="2" s="1"/>
  <c r="T147" i="2"/>
  <c r="U147" i="2" s="1"/>
  <c r="T128" i="2"/>
  <c r="U128" i="2" s="1"/>
  <c r="T555" i="2"/>
  <c r="U555" i="2" s="1"/>
  <c r="T530" i="2"/>
  <c r="U530" i="2" s="1"/>
  <c r="T509" i="2"/>
  <c r="U509" i="2" s="1"/>
  <c r="T485" i="2"/>
  <c r="U485" i="2" s="1"/>
  <c r="T443" i="2"/>
  <c r="U443" i="2" s="1"/>
  <c r="T380" i="2"/>
  <c r="U380" i="2" s="1"/>
  <c r="T359" i="2"/>
  <c r="U359" i="2" s="1"/>
  <c r="T320" i="2"/>
  <c r="U320" i="2" s="1"/>
  <c r="T301" i="2"/>
  <c r="U301" i="2" s="1"/>
  <c r="T282" i="2"/>
  <c r="U282" i="2" s="1"/>
  <c r="T560" i="2"/>
  <c r="U560" i="2" s="1"/>
  <c r="T526" i="2"/>
  <c r="U526" i="2" s="1"/>
  <c r="T415" i="2"/>
  <c r="U415" i="2" s="1"/>
  <c r="T352" i="2"/>
  <c r="U352" i="2" s="1"/>
  <c r="T321" i="2"/>
  <c r="U321" i="2" s="1"/>
  <c r="T263" i="2"/>
  <c r="U263" i="2" s="1"/>
  <c r="T238" i="2"/>
  <c r="U238" i="2" s="1"/>
  <c r="T184" i="2"/>
  <c r="U184" i="2" s="1"/>
  <c r="T160" i="2"/>
  <c r="U160" i="2" s="1"/>
  <c r="T132" i="2"/>
  <c r="U132" i="2" s="1"/>
  <c r="T118" i="2"/>
  <c r="U118" i="2" s="1"/>
  <c r="T379" i="2"/>
  <c r="U379" i="2" s="1"/>
  <c r="T348" i="2"/>
  <c r="U348" i="2" s="1"/>
  <c r="T262" i="2"/>
  <c r="U262" i="2" s="1"/>
  <c r="T208" i="2"/>
  <c r="U208" i="2" s="1"/>
  <c r="T183" i="2"/>
  <c r="U183" i="2" s="1"/>
  <c r="T413" i="2"/>
  <c r="U413" i="2" s="1"/>
  <c r="T346" i="2"/>
  <c r="U346" i="2" s="1"/>
  <c r="T260" i="2"/>
  <c r="U260" i="2" s="1"/>
  <c r="T181" i="2"/>
  <c r="U181" i="2" s="1"/>
  <c r="T484" i="2"/>
  <c r="U484" i="2" s="1"/>
  <c r="T293" i="2"/>
  <c r="U293" i="2" s="1"/>
  <c r="T525" i="2"/>
  <c r="U525" i="2" s="1"/>
  <c r="T414" i="2"/>
  <c r="U414" i="2" s="1"/>
  <c r="T347" i="2"/>
  <c r="U347" i="2" s="1"/>
  <c r="T319" i="2"/>
  <c r="U319" i="2" s="1"/>
  <c r="T237" i="2"/>
  <c r="U237" i="2" s="1"/>
  <c r="T182" i="2"/>
  <c r="U182" i="2" s="1"/>
  <c r="T159" i="2"/>
  <c r="U159" i="2" s="1"/>
  <c r="T131" i="2"/>
  <c r="U131" i="2" s="1"/>
  <c r="T114" i="2"/>
  <c r="U114" i="2" s="1"/>
  <c r="T483" i="2"/>
  <c r="U483" i="2" s="1"/>
  <c r="T445" i="2"/>
  <c r="U445" i="2" s="1"/>
  <c r="T378" i="2"/>
  <c r="U378" i="2" s="1"/>
  <c r="T288" i="2"/>
  <c r="U288" i="2" s="1"/>
  <c r="T207" i="2"/>
  <c r="U207" i="2" s="1"/>
  <c r="T130" i="2"/>
  <c r="U130" i="2" s="1"/>
  <c r="T482" i="2"/>
  <c r="U482" i="2" s="1"/>
  <c r="T318" i="2"/>
  <c r="U318" i="2" s="1"/>
  <c r="T287" i="2"/>
  <c r="U287" i="2" s="1"/>
  <c r="T236" i="2"/>
  <c r="U236" i="2" s="1"/>
  <c r="T557" i="2"/>
  <c r="U557" i="2" s="1"/>
  <c r="T524" i="2"/>
  <c r="U524" i="2" s="1"/>
  <c r="T444" i="2"/>
  <c r="U444" i="2" s="1"/>
  <c r="T405" i="2"/>
  <c r="U405" i="2" s="1"/>
  <c r="T375" i="2"/>
  <c r="U375" i="2" s="1"/>
  <c r="T206" i="2"/>
  <c r="U206" i="2" s="1"/>
  <c r="T154" i="2"/>
  <c r="U154" i="2" s="1"/>
  <c r="T129" i="2"/>
  <c r="U129" i="2" s="1"/>
  <c r="T259" i="2"/>
  <c r="U259" i="2" s="1"/>
  <c r="T180" i="2"/>
  <c r="U180" i="2" s="1"/>
  <c r="T117" i="2"/>
  <c r="U117" i="2" s="1"/>
  <c r="T110" i="2"/>
  <c r="U110" i="2" s="1"/>
  <c r="T341" i="2"/>
  <c r="U341" i="2" s="1"/>
  <c r="T178" i="2"/>
  <c r="U178" i="2" s="1"/>
  <c r="T556" i="2"/>
  <c r="U556" i="2" s="1"/>
  <c r="T515" i="2"/>
  <c r="U515" i="2" s="1"/>
  <c r="T481" i="2"/>
  <c r="U481" i="2" s="1"/>
  <c r="T374" i="2"/>
  <c r="U374" i="2" s="1"/>
  <c r="T343" i="2"/>
  <c r="U343" i="2" s="1"/>
  <c r="T317" i="2"/>
  <c r="U317" i="2" s="1"/>
  <c r="T286" i="2"/>
  <c r="U286" i="2" s="1"/>
  <c r="T235" i="2"/>
  <c r="U235" i="2" s="1"/>
  <c r="T121" i="2"/>
  <c r="U121" i="2" s="1"/>
  <c r="T150" i="2"/>
  <c r="U150" i="2" s="1"/>
  <c r="T554" i="2"/>
  <c r="U554" i="2" s="1"/>
  <c r="T514" i="2"/>
  <c r="U514" i="2" s="1"/>
  <c r="T480" i="2"/>
  <c r="U480" i="2" s="1"/>
  <c r="T442" i="2"/>
  <c r="U442" i="2" s="1"/>
  <c r="T342" i="2"/>
  <c r="U342" i="2" s="1"/>
  <c r="T258" i="2"/>
  <c r="U258" i="2" s="1"/>
  <c r="T229" i="2"/>
  <c r="U229" i="2" s="1"/>
  <c r="T205" i="2"/>
  <c r="U205" i="2" s="1"/>
  <c r="T152" i="2"/>
  <c r="U152" i="2" s="1"/>
  <c r="T257" i="2"/>
  <c r="U257" i="2" s="1"/>
  <c r="T513" i="2"/>
  <c r="U513" i="2" s="1"/>
  <c r="T402" i="2"/>
  <c r="U402" i="2" s="1"/>
  <c r="T373" i="2"/>
  <c r="U373" i="2" s="1"/>
  <c r="T316" i="2"/>
  <c r="U316" i="2" s="1"/>
  <c r="T285" i="2"/>
  <c r="U285" i="2" s="1"/>
  <c r="T228" i="2"/>
  <c r="U228" i="2" s="1"/>
  <c r="T204" i="2"/>
  <c r="U204" i="2" s="1"/>
  <c r="T179" i="2"/>
  <c r="U179" i="2" s="1"/>
  <c r="T151" i="2"/>
  <c r="U151" i="2" s="1"/>
  <c r="T127" i="2"/>
  <c r="U127" i="2" s="1"/>
  <c r="T479" i="2"/>
  <c r="U479" i="2" s="1"/>
  <c r="T478" i="2"/>
  <c r="U478" i="2" s="1"/>
  <c r="T339" i="2"/>
  <c r="U339" i="2" s="1"/>
  <c r="T256" i="2"/>
  <c r="U256" i="2" s="1"/>
  <c r="T226" i="2"/>
  <c r="U226" i="2" s="1"/>
  <c r="T177" i="2"/>
  <c r="U177" i="2" s="1"/>
  <c r="T149" i="2"/>
  <c r="U149" i="2" s="1"/>
  <c r="T113" i="2"/>
  <c r="U113" i="2" s="1"/>
  <c r="T548" i="2"/>
  <c r="U548" i="2" s="1"/>
  <c r="T510" i="2"/>
  <c r="U510" i="2" s="1"/>
  <c r="T436" i="2"/>
  <c r="U436" i="2" s="1"/>
  <c r="T546" i="2"/>
  <c r="U546" i="2" s="1"/>
  <c r="T467" i="2"/>
  <c r="U467" i="2" s="1"/>
  <c r="T434" i="2"/>
  <c r="U434" i="2" s="1"/>
  <c r="T278" i="2"/>
  <c r="U278" i="2" s="1"/>
  <c r="T254" i="2"/>
  <c r="U254" i="2" s="1"/>
  <c r="T224" i="2"/>
  <c r="U224" i="2" s="1"/>
  <c r="T199" i="2"/>
  <c r="U199" i="2" s="1"/>
  <c r="T146" i="2"/>
  <c r="U146" i="2" s="1"/>
  <c r="T507" i="2"/>
  <c r="U507" i="2" s="1"/>
  <c r="T466" i="2"/>
  <c r="U466" i="2" s="1"/>
  <c r="T397" i="2"/>
  <c r="U397" i="2" s="1"/>
  <c r="T364" i="2"/>
  <c r="U364" i="2" s="1"/>
  <c r="T336" i="2"/>
  <c r="U336" i="2" s="1"/>
  <c r="T305" i="2"/>
  <c r="U305" i="2" s="1"/>
  <c r="T250" i="2"/>
  <c r="U250" i="2" s="1"/>
  <c r="T198" i="2"/>
  <c r="U198" i="2" s="1"/>
  <c r="T171" i="2"/>
  <c r="U171" i="2" s="1"/>
  <c r="T501" i="2"/>
  <c r="U501" i="2" s="1"/>
  <c r="T462" i="2"/>
  <c r="U462" i="2" s="1"/>
  <c r="T422" i="2"/>
  <c r="U422" i="2" s="1"/>
  <c r="T358" i="2"/>
  <c r="U358" i="2" s="1"/>
  <c r="T275" i="2"/>
  <c r="U275" i="2" s="1"/>
  <c r="T167" i="2"/>
  <c r="U167" i="2" s="1"/>
  <c r="T527" i="2"/>
  <c r="U527" i="2" s="1"/>
  <c r="T490" i="2"/>
  <c r="U490" i="2" s="1"/>
  <c r="T416" i="2"/>
  <c r="U416" i="2" s="1"/>
  <c r="T353" i="2"/>
  <c r="U353" i="2" s="1"/>
  <c r="T322" i="2"/>
  <c r="U322" i="2" s="1"/>
  <c r="T295" i="2"/>
  <c r="U295" i="2" s="1"/>
  <c r="T266" i="2"/>
  <c r="U266" i="2" s="1"/>
  <c r="T549" i="2"/>
  <c r="U549" i="2" s="1"/>
  <c r="T401" i="2"/>
  <c r="U401" i="2" s="1"/>
  <c r="T242" i="2"/>
  <c r="U242" i="2" s="1"/>
  <c r="T148" i="2"/>
  <c r="U148" i="2" s="1"/>
  <c r="T122" i="2"/>
  <c r="U122" i="2" s="1"/>
  <c r="T544" i="2"/>
  <c r="U544" i="2" s="1"/>
  <c r="T225" i="2"/>
  <c r="U225" i="2" s="1"/>
  <c r="T221" i="2"/>
  <c r="U221" i="2" s="1"/>
  <c r="T269" i="2"/>
  <c r="U269" i="2" s="1"/>
  <c r="T372" i="2"/>
  <c r="U372" i="2" s="1"/>
  <c r="T315" i="2"/>
  <c r="U315" i="2" s="1"/>
  <c r="T469" i="2"/>
  <c r="U469" i="2" s="1"/>
  <c r="T399" i="2"/>
  <c r="U399" i="2" s="1"/>
  <c r="T298" i="2"/>
  <c r="U298" i="2" s="1"/>
  <c r="T241" i="2"/>
  <c r="U241" i="2" s="1"/>
  <c r="T196" i="2"/>
  <c r="U196" i="2" s="1"/>
  <c r="T465" i="2"/>
  <c r="U465" i="2" s="1"/>
  <c r="T327" i="2"/>
  <c r="U327" i="2" s="1"/>
  <c r="T134" i="2"/>
  <c r="U134" i="2" s="1"/>
  <c r="T119" i="2"/>
  <c r="U119" i="2" s="1"/>
  <c r="T382" i="2"/>
  <c r="U382" i="2" s="1"/>
  <c r="T219" i="2"/>
  <c r="U219" i="2" s="1"/>
  <c r="T547" i="2"/>
  <c r="U547" i="2" s="1"/>
  <c r="T468" i="2"/>
  <c r="U468" i="2" s="1"/>
  <c r="T145" i="2"/>
  <c r="U145" i="2" s="1"/>
  <c r="T144" i="2"/>
  <c r="U144" i="2" s="1"/>
  <c r="T142" i="2"/>
  <c r="U142" i="2" s="1"/>
  <c r="T459" i="2"/>
  <c r="U459" i="2" s="1"/>
  <c r="T324" i="2"/>
  <c r="U324" i="2" s="1"/>
  <c r="T323" i="2"/>
  <c r="U323" i="2" s="1"/>
  <c r="T267" i="2"/>
  <c r="U267" i="2" s="1"/>
  <c r="T545" i="2"/>
  <c r="U545" i="2" s="1"/>
  <c r="T398" i="2"/>
  <c r="U398" i="2" s="1"/>
  <c r="T338" i="2"/>
  <c r="U338" i="2" s="1"/>
  <c r="T294" i="2"/>
  <c r="U294" i="2" s="1"/>
  <c r="T240" i="2"/>
  <c r="U240" i="2" s="1"/>
  <c r="T190" i="2"/>
  <c r="U190" i="2" s="1"/>
  <c r="T284" i="2"/>
  <c r="U284" i="2" s="1"/>
  <c r="T384" i="2"/>
  <c r="U384" i="2" s="1"/>
  <c r="T448" i="2"/>
  <c r="U448" i="2" s="1"/>
  <c r="T435" i="2"/>
  <c r="U435" i="2" s="1"/>
  <c r="T539" i="2"/>
  <c r="U539" i="2" s="1"/>
  <c r="T463" i="2"/>
  <c r="U463" i="2" s="1"/>
  <c r="T396" i="2"/>
  <c r="U396" i="2" s="1"/>
  <c r="T337" i="2"/>
  <c r="U337" i="2" s="1"/>
  <c r="T283" i="2"/>
  <c r="U283" i="2" s="1"/>
  <c r="T239" i="2"/>
  <c r="U239" i="2" s="1"/>
  <c r="T189" i="2"/>
  <c r="U189" i="2" s="1"/>
  <c r="T115" i="2"/>
  <c r="U115" i="2" s="1"/>
  <c r="T188" i="2"/>
  <c r="U188" i="2" s="1"/>
  <c r="T141" i="2"/>
  <c r="U141" i="2" s="1"/>
  <c r="T222" i="2"/>
  <c r="U222" i="2" s="1"/>
  <c r="T273" i="2"/>
  <c r="U273" i="2" s="1"/>
  <c r="T133" i="2"/>
  <c r="U133" i="2" s="1"/>
  <c r="T381" i="2"/>
  <c r="U381" i="2" s="1"/>
  <c r="T126" i="2"/>
  <c r="U126" i="2" s="1"/>
  <c r="T125" i="2"/>
  <c r="U125" i="2" s="1"/>
  <c r="T168" i="2"/>
  <c r="U168" i="2" s="1"/>
  <c r="T143" i="2"/>
  <c r="U143" i="2" s="1"/>
  <c r="T335" i="2"/>
  <c r="U335" i="2" s="1"/>
  <c r="T227" i="2"/>
  <c r="U227" i="2" s="1"/>
  <c r="T108" i="2"/>
  <c r="U108" i="2" s="1"/>
  <c r="T274" i="2"/>
  <c r="U274" i="2" s="1"/>
  <c r="T437" i="2"/>
  <c r="U437" i="2" s="1"/>
  <c r="T170" i="2"/>
  <c r="U170" i="2" s="1"/>
  <c r="T533" i="2"/>
  <c r="U533" i="2" s="1"/>
  <c r="T395" i="2"/>
  <c r="U395" i="2" s="1"/>
  <c r="T279" i="2"/>
  <c r="U279" i="2" s="1"/>
  <c r="T187" i="2"/>
  <c r="U187" i="2" s="1"/>
  <c r="T172" i="2"/>
  <c r="U172" i="2" s="1"/>
  <c r="T218" i="2"/>
  <c r="U218" i="2" s="1"/>
  <c r="T461" i="2"/>
  <c r="U461" i="2" s="1"/>
  <c r="T394" i="2"/>
  <c r="U394" i="2" s="1"/>
  <c r="T277" i="2"/>
  <c r="U277" i="2" s="1"/>
  <c r="T532" i="2"/>
  <c r="U532" i="2" s="1"/>
  <c r="T334" i="2"/>
  <c r="U334" i="2" s="1"/>
  <c r="T140" i="2"/>
  <c r="U140" i="2" s="1"/>
  <c r="T268" i="2"/>
  <c r="U268" i="2" s="1"/>
  <c r="T508" i="2"/>
  <c r="U508" i="2" s="1"/>
  <c r="T460" i="2"/>
  <c r="U460" i="2" s="1"/>
  <c r="T385" i="2"/>
  <c r="U385" i="2" s="1"/>
  <c r="T333" i="2"/>
  <c r="U333" i="2" s="1"/>
  <c r="T276" i="2"/>
  <c r="U276" i="2" s="1"/>
  <c r="T529" i="2"/>
  <c r="U529" i="2" s="1"/>
  <c r="T220" i="2"/>
  <c r="U220" i="2" s="1"/>
  <c r="T528" i="2"/>
  <c r="U528" i="2" s="1"/>
  <c r="T325" i="2"/>
  <c r="U325" i="2" s="1"/>
  <c r="T173" i="2"/>
  <c r="U173" i="2" s="1"/>
  <c r="T458" i="2"/>
  <c r="U458" i="2" s="1"/>
  <c r="T511" i="2"/>
  <c r="U511" i="2" s="1"/>
  <c r="T366" i="2"/>
  <c r="U366" i="2" s="1"/>
  <c r="T365" i="2"/>
  <c r="U365" i="2" s="1"/>
  <c r="T427" i="2"/>
  <c r="U427" i="2" s="1"/>
  <c r="T216" i="2"/>
  <c r="U216" i="2" s="1"/>
  <c r="T165" i="2"/>
  <c r="U165" i="2" s="1"/>
  <c r="T426" i="2"/>
  <c r="U426" i="2" s="1"/>
  <c r="T363" i="2"/>
  <c r="U363" i="2" s="1"/>
  <c r="T306" i="2"/>
  <c r="U306" i="2" s="1"/>
  <c r="T215" i="2"/>
  <c r="U215" i="2" s="1"/>
  <c r="T354" i="2"/>
  <c r="U354" i="2" s="1"/>
  <c r="T299" i="2"/>
  <c r="U299" i="2" s="1"/>
  <c r="T243" i="2"/>
  <c r="U243" i="2" s="1"/>
  <c r="T197" i="2"/>
  <c r="U197" i="2" s="1"/>
  <c r="T433" i="2"/>
  <c r="U433" i="2" s="1"/>
  <c r="T506" i="2"/>
  <c r="U506" i="2" s="1"/>
  <c r="T417" i="2"/>
  <c r="U417" i="2" s="1"/>
  <c r="T166" i="2"/>
  <c r="U166" i="2" s="1"/>
  <c r="T356" i="2"/>
  <c r="U356" i="2" s="1"/>
  <c r="T161" i="2"/>
  <c r="U161" i="2" s="1"/>
  <c r="T124" i="2"/>
  <c r="U124" i="2" s="1"/>
  <c r="T500" i="2"/>
  <c r="U500" i="2" s="1"/>
  <c r="T255" i="2"/>
  <c r="U255" i="2" s="1"/>
  <c r="T493" i="2"/>
  <c r="U493" i="2" s="1"/>
  <c r="T421" i="2"/>
  <c r="U421" i="2" s="1"/>
  <c r="T203" i="2"/>
  <c r="U203" i="2" s="1"/>
  <c r="T362" i="2"/>
  <c r="U362" i="2" s="1"/>
  <c r="T246" i="2"/>
  <c r="U246" i="2" s="1"/>
  <c r="T210" i="2"/>
  <c r="U210" i="2" s="1"/>
  <c r="T357" i="2"/>
  <c r="U357" i="2" s="1"/>
  <c r="T247" i="2"/>
  <c r="U247" i="2" s="1"/>
  <c r="T245" i="2"/>
  <c r="U245" i="2" s="1"/>
  <c r="T419" i="2"/>
  <c r="U419" i="2" s="1"/>
  <c r="T200" i="2"/>
  <c r="U200" i="2" s="1"/>
  <c r="T163" i="2"/>
  <c r="U163" i="2" s="1"/>
  <c r="T314" i="2"/>
  <c r="U314" i="2" s="1"/>
  <c r="T302" i="2"/>
  <c r="U302" i="2" s="1"/>
  <c r="T492" i="2"/>
  <c r="U492" i="2" s="1"/>
  <c r="T116" i="2"/>
  <c r="U116" i="2" s="1"/>
  <c r="T209" i="2"/>
  <c r="U209" i="2" s="1"/>
  <c r="T202" i="2"/>
  <c r="U202" i="2" s="1"/>
  <c r="T162" i="2"/>
  <c r="U162" i="2" s="1"/>
  <c r="T303" i="2"/>
  <c r="U303" i="2" s="1"/>
  <c r="T491" i="2"/>
  <c r="U491" i="2" s="1"/>
  <c r="T244" i="2"/>
  <c r="U244" i="2" s="1"/>
  <c r="T418" i="2"/>
  <c r="U418" i="2" s="1"/>
  <c r="T164" i="2"/>
  <c r="U164" i="2" s="1"/>
  <c r="T304" i="2"/>
  <c r="U304" i="2" s="1"/>
  <c r="T355" i="2"/>
  <c r="U355" i="2" s="1"/>
  <c r="T300" i="2"/>
  <c r="U300" i="2" s="1"/>
  <c r="T53" i="2"/>
  <c r="U53" i="2" s="1"/>
  <c r="T42" i="2"/>
  <c r="U42" i="2" s="1"/>
  <c r="T28" i="2"/>
  <c r="U28" i="2" s="1"/>
  <c r="T67" i="2"/>
  <c r="U67" i="2" s="1"/>
  <c r="T69" i="2"/>
  <c r="U69" i="2" s="1"/>
  <c r="T73" i="2"/>
  <c r="U73" i="2" s="1"/>
  <c r="T31" i="2"/>
  <c r="U31" i="2" s="1"/>
  <c r="T94" i="2"/>
  <c r="U94" i="2" s="1"/>
  <c r="T63" i="2"/>
  <c r="U63" i="2" s="1"/>
  <c r="T52" i="2"/>
  <c r="U52" i="2" s="1"/>
  <c r="T41" i="2"/>
  <c r="U41" i="2" s="1"/>
  <c r="T99" i="2"/>
  <c r="U99" i="2" s="1"/>
  <c r="T6" i="2"/>
  <c r="U6" i="2" s="1"/>
  <c r="T98" i="2"/>
  <c r="U98" i="2" s="1"/>
  <c r="T3" i="2"/>
  <c r="U3" i="2" s="1"/>
  <c r="T43" i="2"/>
  <c r="U43" i="2" s="1"/>
  <c r="T21" i="2"/>
  <c r="U21" i="2" s="1"/>
  <c r="T39" i="2"/>
  <c r="U39" i="2" s="1"/>
  <c r="T83" i="2"/>
  <c r="U83" i="2" s="1"/>
  <c r="T77" i="2"/>
  <c r="U77" i="2" s="1"/>
  <c r="T55" i="2"/>
  <c r="U55" i="2" s="1"/>
  <c r="T105" i="2"/>
  <c r="U105" i="2" s="1"/>
  <c r="T26" i="2"/>
  <c r="U26" i="2" s="1"/>
  <c r="T79" i="2"/>
  <c r="U79" i="2" s="1"/>
  <c r="T84" i="2"/>
  <c r="U84" i="2" s="1"/>
  <c r="T76" i="2"/>
  <c r="U76" i="2" s="1"/>
  <c r="T86" i="2"/>
  <c r="U86" i="2" s="1"/>
  <c r="V2" i="5" l="1"/>
  <c r="V1" i="5" a="1"/>
  <c r="V1" i="5" s="1"/>
  <c r="A15" i="5" s="1"/>
  <c r="V2" i="3" a="1"/>
  <c r="V2" i="2" a="1"/>
  <c r="B15" i="5" l="1"/>
  <c r="E15" i="5"/>
  <c r="H15" i="5"/>
  <c r="A16" i="5"/>
  <c r="V2" i="3"/>
  <c r="V2" i="2"/>
  <c r="V1" i="2" a="1"/>
  <c r="V1" i="2" s="1"/>
  <c r="A15" i="2" s="1"/>
  <c r="H16" i="5" l="1"/>
  <c r="E16" i="5"/>
  <c r="B16" i="5"/>
  <c r="A17" i="5"/>
  <c r="J15" i="5"/>
  <c r="F15" i="5"/>
  <c r="D15" i="5"/>
  <c r="G15" i="5"/>
  <c r="C15" i="5"/>
  <c r="I15" i="5"/>
  <c r="G7" i="3"/>
  <c r="V1" i="3" a="1"/>
  <c r="V1" i="3" s="1"/>
  <c r="A15" i="3" s="1"/>
  <c r="E15" i="3" s="1"/>
  <c r="G7" i="2"/>
  <c r="K25" i="2" s="1"/>
  <c r="E15" i="2"/>
  <c r="B15" i="2"/>
  <c r="H15" i="2"/>
  <c r="A16" i="2"/>
  <c r="L15" i="5" l="1"/>
  <c r="H17" i="5"/>
  <c r="E17" i="5"/>
  <c r="B17" i="5"/>
  <c r="A18" i="5"/>
  <c r="J16" i="5"/>
  <c r="F16" i="5"/>
  <c r="D16" i="5"/>
  <c r="C16" i="5"/>
  <c r="I16" i="5"/>
  <c r="G16" i="5"/>
  <c r="B15" i="3"/>
  <c r="G15" i="3" s="1"/>
  <c r="A16" i="3"/>
  <c r="B16" i="3" s="1"/>
  <c r="D16" i="3" s="1"/>
  <c r="H15" i="3"/>
  <c r="H16" i="2"/>
  <c r="E16" i="2"/>
  <c r="B16" i="2"/>
  <c r="A17" i="2"/>
  <c r="C15" i="2"/>
  <c r="F15" i="2"/>
  <c r="D15" i="2"/>
  <c r="I15" i="2"/>
  <c r="G15" i="2"/>
  <c r="J15" i="2"/>
  <c r="L16" i="5" l="1"/>
  <c r="B18" i="5"/>
  <c r="E18" i="5"/>
  <c r="H18" i="5"/>
  <c r="A19" i="5"/>
  <c r="J17" i="5"/>
  <c r="I17" i="5"/>
  <c r="G17" i="5"/>
  <c r="F17" i="5"/>
  <c r="C17" i="5"/>
  <c r="D17" i="5"/>
  <c r="A17" i="3"/>
  <c r="H17" i="3" s="1"/>
  <c r="J16" i="3"/>
  <c r="F15" i="3"/>
  <c r="G16" i="3"/>
  <c r="C16" i="3"/>
  <c r="M15" i="3" s="1"/>
  <c r="I15" i="3"/>
  <c r="D15" i="3"/>
  <c r="C15" i="3"/>
  <c r="H16" i="3"/>
  <c r="I16" i="3" s="1"/>
  <c r="E16" i="3"/>
  <c r="F16" i="3" s="1"/>
  <c r="J15" i="3"/>
  <c r="L15" i="2"/>
  <c r="B17" i="2"/>
  <c r="E17" i="2"/>
  <c r="H17" i="2"/>
  <c r="A18" i="2"/>
  <c r="D16" i="2"/>
  <c r="C16" i="2"/>
  <c r="I16" i="2"/>
  <c r="G16" i="2"/>
  <c r="F16" i="2"/>
  <c r="J16" i="2"/>
  <c r="L17" i="5" l="1"/>
  <c r="B19" i="5"/>
  <c r="H19" i="5"/>
  <c r="E19" i="5"/>
  <c r="A20" i="5"/>
  <c r="J18" i="5"/>
  <c r="C18" i="5"/>
  <c r="I18" i="5"/>
  <c r="F18" i="5"/>
  <c r="G18" i="5"/>
  <c r="D18" i="5"/>
  <c r="M14" i="3"/>
  <c r="L15" i="3"/>
  <c r="E17" i="3"/>
  <c r="B17" i="3"/>
  <c r="I17" i="3" s="1"/>
  <c r="L16" i="3"/>
  <c r="A18" i="3"/>
  <c r="H18" i="3" s="1"/>
  <c r="L16" i="2"/>
  <c r="H18" i="2"/>
  <c r="B18" i="2"/>
  <c r="E18" i="2"/>
  <c r="A19" i="2"/>
  <c r="I17" i="2"/>
  <c r="D17" i="2"/>
  <c r="C17" i="2"/>
  <c r="J17" i="2"/>
  <c r="F17" i="2"/>
  <c r="G17" i="2"/>
  <c r="L18" i="5" l="1"/>
  <c r="E20" i="5"/>
  <c r="B20" i="5"/>
  <c r="H20" i="5"/>
  <c r="A21" i="5"/>
  <c r="D19" i="5"/>
  <c r="C19" i="5"/>
  <c r="I19" i="5"/>
  <c r="G19" i="5"/>
  <c r="J19" i="5"/>
  <c r="F19" i="5"/>
  <c r="J17" i="3"/>
  <c r="F17" i="3"/>
  <c r="C17" i="3"/>
  <c r="G17" i="3"/>
  <c r="D17" i="3"/>
  <c r="B18" i="3"/>
  <c r="D18" i="3" s="1"/>
  <c r="A19" i="3"/>
  <c r="E19" i="3" s="1"/>
  <c r="E18" i="3"/>
  <c r="L17" i="2"/>
  <c r="E19" i="2"/>
  <c r="H19" i="2"/>
  <c r="B19" i="2"/>
  <c r="A20" i="2"/>
  <c r="J18" i="2"/>
  <c r="F18" i="2"/>
  <c r="D18" i="2"/>
  <c r="I18" i="2"/>
  <c r="G18" i="2"/>
  <c r="C18" i="2"/>
  <c r="L19" i="5" l="1"/>
  <c r="B21" i="5"/>
  <c r="H21" i="5"/>
  <c r="E21" i="5"/>
  <c r="A22" i="5"/>
  <c r="D20" i="5"/>
  <c r="J20" i="5"/>
  <c r="G20" i="5"/>
  <c r="F20" i="5"/>
  <c r="C20" i="5"/>
  <c r="I20" i="5"/>
  <c r="M16" i="3"/>
  <c r="L17" i="3"/>
  <c r="H19" i="3"/>
  <c r="J18" i="3"/>
  <c r="F18" i="3"/>
  <c r="B19" i="3"/>
  <c r="A20" i="3"/>
  <c r="G18" i="3"/>
  <c r="C18" i="3"/>
  <c r="M17" i="3" s="1"/>
  <c r="I18" i="3"/>
  <c r="L18" i="2"/>
  <c r="B20" i="2"/>
  <c r="H20" i="2"/>
  <c r="E20" i="2"/>
  <c r="A21" i="2"/>
  <c r="J19" i="2"/>
  <c r="G19" i="2"/>
  <c r="I19" i="2"/>
  <c r="C19" i="2"/>
  <c r="F19" i="2"/>
  <c r="D19" i="2"/>
  <c r="L20" i="5" l="1"/>
  <c r="H22" i="5"/>
  <c r="B22" i="5"/>
  <c r="E22" i="5"/>
  <c r="A23" i="5"/>
  <c r="D21" i="5"/>
  <c r="J21" i="5"/>
  <c r="I21" i="5"/>
  <c r="G21" i="5"/>
  <c r="F21" i="5"/>
  <c r="C21" i="5"/>
  <c r="I19" i="3"/>
  <c r="L18" i="3"/>
  <c r="C19" i="3"/>
  <c r="F19" i="3"/>
  <c r="D19" i="3"/>
  <c r="J19" i="3"/>
  <c r="G19" i="3"/>
  <c r="B20" i="3"/>
  <c r="E20" i="3"/>
  <c r="H20" i="3"/>
  <c r="A21" i="3"/>
  <c r="L19" i="2"/>
  <c r="H21" i="2"/>
  <c r="E21" i="2"/>
  <c r="B21" i="2"/>
  <c r="A22" i="2"/>
  <c r="J20" i="2"/>
  <c r="G20" i="2"/>
  <c r="F20" i="2"/>
  <c r="I20" i="2"/>
  <c r="D20" i="2"/>
  <c r="C20" i="2"/>
  <c r="H23" i="5" l="1"/>
  <c r="B23" i="5"/>
  <c r="E23" i="5"/>
  <c r="A24" i="5"/>
  <c r="L21" i="5"/>
  <c r="D22" i="5"/>
  <c r="F22" i="5"/>
  <c r="C22" i="5"/>
  <c r="J22" i="5"/>
  <c r="I22" i="5"/>
  <c r="G22" i="5"/>
  <c r="M18" i="3"/>
  <c r="L19" i="3"/>
  <c r="F20" i="3"/>
  <c r="C20" i="3"/>
  <c r="I20" i="3"/>
  <c r="D20" i="3"/>
  <c r="J20" i="3"/>
  <c r="G20" i="3"/>
  <c r="E21" i="3"/>
  <c r="H21" i="3"/>
  <c r="A22" i="3"/>
  <c r="B21" i="3"/>
  <c r="L20" i="2"/>
  <c r="H22" i="2"/>
  <c r="E22" i="2"/>
  <c r="B22" i="2"/>
  <c r="A23" i="2"/>
  <c r="C21" i="2"/>
  <c r="J21" i="2"/>
  <c r="G21" i="2"/>
  <c r="F21" i="2"/>
  <c r="I21" i="2"/>
  <c r="D21" i="2"/>
  <c r="L22" i="5" l="1"/>
  <c r="H24" i="5"/>
  <c r="E24" i="5"/>
  <c r="B24" i="5"/>
  <c r="A25" i="5"/>
  <c r="F23" i="5"/>
  <c r="D23" i="5"/>
  <c r="J23" i="5"/>
  <c r="I23" i="5"/>
  <c r="C23" i="5"/>
  <c r="G23" i="5"/>
  <c r="M19" i="3"/>
  <c r="L20" i="3"/>
  <c r="H22" i="3"/>
  <c r="A23" i="3"/>
  <c r="B22" i="3"/>
  <c r="E22" i="3"/>
  <c r="G21" i="3"/>
  <c r="F21" i="3"/>
  <c r="J21" i="3"/>
  <c r="I21" i="3"/>
  <c r="C21" i="3"/>
  <c r="D21" i="3"/>
  <c r="L21" i="2"/>
  <c r="E23" i="2"/>
  <c r="B23" i="2"/>
  <c r="H23" i="2"/>
  <c r="A24" i="2"/>
  <c r="I22" i="2"/>
  <c r="J22" i="2"/>
  <c r="G22" i="2"/>
  <c r="D22" i="2"/>
  <c r="C22" i="2"/>
  <c r="F22" i="2"/>
  <c r="L23" i="5" l="1"/>
  <c r="H25" i="5"/>
  <c r="B25" i="5"/>
  <c r="E25" i="5"/>
  <c r="A26" i="5"/>
  <c r="F24" i="5"/>
  <c r="J24" i="5"/>
  <c r="I24" i="5"/>
  <c r="G24" i="5"/>
  <c r="C24" i="5"/>
  <c r="D24" i="5"/>
  <c r="M20" i="3"/>
  <c r="L21" i="3"/>
  <c r="I22" i="3"/>
  <c r="C22" i="3"/>
  <c r="J22" i="3"/>
  <c r="G22" i="3"/>
  <c r="F22" i="3"/>
  <c r="D22" i="3"/>
  <c r="B23" i="3"/>
  <c r="H23" i="3"/>
  <c r="A24" i="3"/>
  <c r="E23" i="3"/>
  <c r="L22" i="2"/>
  <c r="H24" i="2"/>
  <c r="E24" i="2"/>
  <c r="B24" i="2"/>
  <c r="A25" i="2"/>
  <c r="I23" i="2"/>
  <c r="C23" i="2"/>
  <c r="G23" i="2"/>
  <c r="F23" i="2"/>
  <c r="D23" i="2"/>
  <c r="J23" i="2"/>
  <c r="L24" i="5" l="1"/>
  <c r="E26" i="5"/>
  <c r="B26" i="5"/>
  <c r="H26" i="5"/>
  <c r="A27" i="5"/>
  <c r="J25" i="5"/>
  <c r="I25" i="5"/>
  <c r="G25" i="5"/>
  <c r="F25" i="5"/>
  <c r="C25" i="5"/>
  <c r="D25" i="5"/>
  <c r="M21" i="3"/>
  <c r="L22" i="3"/>
  <c r="E24" i="3"/>
  <c r="B24" i="3"/>
  <c r="H24" i="3"/>
  <c r="A25" i="3"/>
  <c r="I23" i="3"/>
  <c r="D23" i="3"/>
  <c r="C23" i="3"/>
  <c r="F23" i="3"/>
  <c r="J23" i="3"/>
  <c r="G23" i="3"/>
  <c r="L23" i="2"/>
  <c r="H25" i="2"/>
  <c r="E25" i="2"/>
  <c r="B25" i="2"/>
  <c r="A26" i="2"/>
  <c r="J24" i="2"/>
  <c r="I24" i="2"/>
  <c r="G24" i="2"/>
  <c r="D24" i="2"/>
  <c r="C24" i="2"/>
  <c r="F24" i="2"/>
  <c r="L25" i="5" l="1"/>
  <c r="J26" i="5"/>
  <c r="F26" i="5"/>
  <c r="I26" i="5"/>
  <c r="G26" i="5"/>
  <c r="D26" i="5"/>
  <c r="C26" i="5"/>
  <c r="B27" i="5"/>
  <c r="H27" i="5"/>
  <c r="E27" i="5"/>
  <c r="A28" i="5"/>
  <c r="M22" i="3"/>
  <c r="L23" i="3"/>
  <c r="C24" i="3"/>
  <c r="D24" i="3"/>
  <c r="J24" i="3"/>
  <c r="F24" i="3"/>
  <c r="G24" i="3"/>
  <c r="I24" i="3"/>
  <c r="H25" i="3"/>
  <c r="E25" i="3"/>
  <c r="A26" i="3"/>
  <c r="B25" i="3"/>
  <c r="L24" i="2"/>
  <c r="H26" i="2"/>
  <c r="E26" i="2"/>
  <c r="B26" i="2"/>
  <c r="A27" i="2"/>
  <c r="I25" i="2"/>
  <c r="J25" i="2"/>
  <c r="G25" i="2"/>
  <c r="F25" i="2"/>
  <c r="C25" i="2"/>
  <c r="D25" i="2"/>
  <c r="B28" i="5" l="1"/>
  <c r="E28" i="5"/>
  <c r="H28" i="5"/>
  <c r="A29" i="5"/>
  <c r="L26" i="5"/>
  <c r="I27" i="5"/>
  <c r="G27" i="5"/>
  <c r="F27" i="5"/>
  <c r="D27" i="5"/>
  <c r="C27" i="5"/>
  <c r="J27" i="5"/>
  <c r="M23" i="3"/>
  <c r="L24" i="3"/>
  <c r="B26" i="3"/>
  <c r="H26" i="3"/>
  <c r="E26" i="3"/>
  <c r="A27" i="3"/>
  <c r="I25" i="3"/>
  <c r="G25" i="3"/>
  <c r="F25" i="3"/>
  <c r="C25" i="3"/>
  <c r="D25" i="3"/>
  <c r="J25" i="3"/>
  <c r="L25" i="2"/>
  <c r="E27" i="2"/>
  <c r="H27" i="2"/>
  <c r="B27" i="2"/>
  <c r="A28" i="2"/>
  <c r="D26" i="2"/>
  <c r="G26" i="2"/>
  <c r="J26" i="2"/>
  <c r="I26" i="2"/>
  <c r="F26" i="2"/>
  <c r="C26" i="2"/>
  <c r="L27" i="5" l="1"/>
  <c r="B29" i="5"/>
  <c r="H29" i="5"/>
  <c r="E29" i="5"/>
  <c r="A30" i="5"/>
  <c r="J28" i="5"/>
  <c r="I28" i="5"/>
  <c r="C28" i="5"/>
  <c r="D28" i="5"/>
  <c r="G28" i="5"/>
  <c r="F28" i="5"/>
  <c r="M24" i="3"/>
  <c r="L25" i="3"/>
  <c r="B27" i="3"/>
  <c r="A28" i="3"/>
  <c r="E27" i="3"/>
  <c r="H27" i="3"/>
  <c r="J26" i="3"/>
  <c r="C26" i="3"/>
  <c r="I26" i="3"/>
  <c r="D26" i="3"/>
  <c r="G26" i="3"/>
  <c r="F26" i="3"/>
  <c r="L26" i="2"/>
  <c r="H28" i="2"/>
  <c r="E28" i="2"/>
  <c r="B28" i="2"/>
  <c r="A29" i="2"/>
  <c r="F27" i="2"/>
  <c r="J27" i="2"/>
  <c r="I27" i="2"/>
  <c r="D27" i="2"/>
  <c r="G27" i="2"/>
  <c r="C27" i="2"/>
  <c r="L28" i="5" l="1"/>
  <c r="B30" i="5"/>
  <c r="H30" i="5"/>
  <c r="E30" i="5"/>
  <c r="A31" i="5"/>
  <c r="F29" i="5"/>
  <c r="D29" i="5"/>
  <c r="C29" i="5"/>
  <c r="G29" i="5"/>
  <c r="J29" i="5"/>
  <c r="I29" i="5"/>
  <c r="M25" i="3"/>
  <c r="L26" i="3"/>
  <c r="B28" i="3"/>
  <c r="A29" i="3"/>
  <c r="H28" i="3"/>
  <c r="E28" i="3"/>
  <c r="F27" i="3"/>
  <c r="C27" i="3"/>
  <c r="I27" i="3"/>
  <c r="J27" i="3"/>
  <c r="G27" i="3"/>
  <c r="D27" i="3"/>
  <c r="L27" i="2"/>
  <c r="E29" i="2"/>
  <c r="B29" i="2"/>
  <c r="H29" i="2"/>
  <c r="A30" i="2"/>
  <c r="G28" i="2"/>
  <c r="C28" i="2"/>
  <c r="F28" i="2"/>
  <c r="D28" i="2"/>
  <c r="J28" i="2"/>
  <c r="I28" i="2"/>
  <c r="H31" i="5" l="1"/>
  <c r="B31" i="5"/>
  <c r="E31" i="5"/>
  <c r="A32" i="5"/>
  <c r="L29" i="5"/>
  <c r="F30" i="5"/>
  <c r="D30" i="5"/>
  <c r="G30" i="5"/>
  <c r="C30" i="5"/>
  <c r="J30" i="5"/>
  <c r="I30" i="5"/>
  <c r="M26" i="3"/>
  <c r="L27" i="3"/>
  <c r="H29" i="3"/>
  <c r="E29" i="3"/>
  <c r="B29" i="3"/>
  <c r="A30" i="3"/>
  <c r="J28" i="3"/>
  <c r="D28" i="3"/>
  <c r="C28" i="3"/>
  <c r="F28" i="3"/>
  <c r="I28" i="3"/>
  <c r="G28" i="3"/>
  <c r="L28" i="2"/>
  <c r="H30" i="2"/>
  <c r="B30" i="2"/>
  <c r="E30" i="2"/>
  <c r="A31" i="2"/>
  <c r="J29" i="2"/>
  <c r="I29" i="2"/>
  <c r="F29" i="2"/>
  <c r="D29" i="2"/>
  <c r="C29" i="2"/>
  <c r="G29" i="2"/>
  <c r="H32" i="5" l="1"/>
  <c r="E32" i="5"/>
  <c r="B32" i="5"/>
  <c r="A33" i="5"/>
  <c r="J31" i="5"/>
  <c r="F31" i="5"/>
  <c r="D31" i="5"/>
  <c r="I31" i="5"/>
  <c r="G31" i="5"/>
  <c r="C31" i="5"/>
  <c r="L30" i="5"/>
  <c r="M27" i="3"/>
  <c r="L28" i="3"/>
  <c r="E30" i="3"/>
  <c r="A31" i="3"/>
  <c r="B30" i="3"/>
  <c r="H30" i="3"/>
  <c r="I29" i="3"/>
  <c r="D29" i="3"/>
  <c r="F29" i="3"/>
  <c r="G29" i="3"/>
  <c r="J29" i="3"/>
  <c r="C29" i="3"/>
  <c r="L29" i="2"/>
  <c r="E31" i="2"/>
  <c r="B31" i="2"/>
  <c r="H31" i="2"/>
  <c r="A32" i="2"/>
  <c r="I30" i="2"/>
  <c r="G30" i="2"/>
  <c r="J30" i="2"/>
  <c r="D30" i="2"/>
  <c r="F30" i="2"/>
  <c r="C30" i="2"/>
  <c r="H33" i="5" l="1"/>
  <c r="B33" i="5"/>
  <c r="E33" i="5"/>
  <c r="A34" i="5"/>
  <c r="J32" i="5"/>
  <c r="F32" i="5"/>
  <c r="I32" i="5"/>
  <c r="G32" i="5"/>
  <c r="D32" i="5"/>
  <c r="C32" i="5"/>
  <c r="L31" i="5"/>
  <c r="M28" i="3"/>
  <c r="L29" i="3"/>
  <c r="F30" i="3"/>
  <c r="D30" i="3"/>
  <c r="I30" i="3"/>
  <c r="G30" i="3"/>
  <c r="J30" i="3"/>
  <c r="C30" i="3"/>
  <c r="H31" i="3"/>
  <c r="B31" i="3"/>
  <c r="A32" i="3"/>
  <c r="E31" i="3"/>
  <c r="L30" i="2"/>
  <c r="E32" i="2"/>
  <c r="H32" i="2"/>
  <c r="B32" i="2"/>
  <c r="A33" i="2"/>
  <c r="D31" i="2"/>
  <c r="C31" i="2"/>
  <c r="I31" i="2"/>
  <c r="G31" i="2"/>
  <c r="F31" i="2"/>
  <c r="J31" i="2"/>
  <c r="M29" i="3" l="1"/>
  <c r="E34" i="5"/>
  <c r="H34" i="5"/>
  <c r="B34" i="5"/>
  <c r="A35" i="5"/>
  <c r="J33" i="5"/>
  <c r="D33" i="5"/>
  <c r="C33" i="5"/>
  <c r="I33" i="5"/>
  <c r="G33" i="5"/>
  <c r="F33" i="5"/>
  <c r="L32" i="5"/>
  <c r="L30" i="3"/>
  <c r="B32" i="3"/>
  <c r="E32" i="3"/>
  <c r="A33" i="3"/>
  <c r="H32" i="3"/>
  <c r="F31" i="3"/>
  <c r="D31" i="3"/>
  <c r="J31" i="3"/>
  <c r="I31" i="3"/>
  <c r="G31" i="3"/>
  <c r="C31" i="3"/>
  <c r="L31" i="2"/>
  <c r="B33" i="2"/>
  <c r="E33" i="2"/>
  <c r="H33" i="2"/>
  <c r="A34" i="2"/>
  <c r="J32" i="2"/>
  <c r="I32" i="2"/>
  <c r="C32" i="2"/>
  <c r="G32" i="2"/>
  <c r="F32" i="2"/>
  <c r="D32" i="2"/>
  <c r="L33" i="5" l="1"/>
  <c r="B35" i="5"/>
  <c r="E35" i="5"/>
  <c r="H35" i="5"/>
  <c r="A36" i="5"/>
  <c r="J34" i="5"/>
  <c r="G34" i="5"/>
  <c r="F34" i="5"/>
  <c r="D34" i="5"/>
  <c r="C34" i="5"/>
  <c r="I34" i="5"/>
  <c r="M30" i="3"/>
  <c r="L31" i="3"/>
  <c r="A34" i="3"/>
  <c r="E33" i="3"/>
  <c r="B33" i="3"/>
  <c r="H33" i="3"/>
  <c r="I32" i="3"/>
  <c r="J32" i="3"/>
  <c r="F32" i="3"/>
  <c r="D32" i="3"/>
  <c r="G32" i="3"/>
  <c r="C32" i="3"/>
  <c r="L32" i="2"/>
  <c r="B34" i="2"/>
  <c r="H34" i="2"/>
  <c r="E34" i="2"/>
  <c r="A35" i="2"/>
  <c r="F33" i="2"/>
  <c r="I33" i="2"/>
  <c r="J33" i="2"/>
  <c r="C33" i="2"/>
  <c r="D33" i="2"/>
  <c r="G33" i="2"/>
  <c r="H36" i="5" l="1"/>
  <c r="B36" i="5"/>
  <c r="E36" i="5"/>
  <c r="A37" i="5"/>
  <c r="L34" i="5"/>
  <c r="J35" i="5"/>
  <c r="I35" i="5"/>
  <c r="C35" i="5"/>
  <c r="G35" i="5"/>
  <c r="D35" i="5"/>
  <c r="F35" i="5"/>
  <c r="M31" i="3"/>
  <c r="L32" i="3"/>
  <c r="I33" i="3"/>
  <c r="C33" i="3"/>
  <c r="G33" i="3"/>
  <c r="J33" i="3"/>
  <c r="D33" i="3"/>
  <c r="F33" i="3"/>
  <c r="H34" i="3"/>
  <c r="B34" i="3"/>
  <c r="E34" i="3"/>
  <c r="A35" i="3"/>
  <c r="L33" i="2"/>
  <c r="H35" i="2"/>
  <c r="B35" i="2"/>
  <c r="E35" i="2"/>
  <c r="A36" i="2"/>
  <c r="J34" i="2"/>
  <c r="I34" i="2"/>
  <c r="G34" i="2"/>
  <c r="F34" i="2"/>
  <c r="C34" i="2"/>
  <c r="D34" i="2"/>
  <c r="L35" i="5" l="1"/>
  <c r="H37" i="5"/>
  <c r="E37" i="5"/>
  <c r="B37" i="5"/>
  <c r="A38" i="5"/>
  <c r="C36" i="5"/>
  <c r="F36" i="5"/>
  <c r="J36" i="5"/>
  <c r="I36" i="5"/>
  <c r="D36" i="5"/>
  <c r="G36" i="5"/>
  <c r="M32" i="3"/>
  <c r="L33" i="3"/>
  <c r="E35" i="3"/>
  <c r="B35" i="3"/>
  <c r="A36" i="3"/>
  <c r="H35" i="3"/>
  <c r="J34" i="3"/>
  <c r="I34" i="3"/>
  <c r="G34" i="3"/>
  <c r="F34" i="3"/>
  <c r="D34" i="3"/>
  <c r="C34" i="3"/>
  <c r="L34" i="2"/>
  <c r="F35" i="2"/>
  <c r="D35" i="2"/>
  <c r="C35" i="2"/>
  <c r="J35" i="2"/>
  <c r="I35" i="2"/>
  <c r="G35" i="2"/>
  <c r="H36" i="2"/>
  <c r="B36" i="2"/>
  <c r="E36" i="2"/>
  <c r="A37" i="2"/>
  <c r="L36" i="5" l="1"/>
  <c r="H38" i="5"/>
  <c r="E38" i="5"/>
  <c r="B38" i="5"/>
  <c r="A39" i="5"/>
  <c r="C37" i="5"/>
  <c r="I37" i="5"/>
  <c r="D37" i="5"/>
  <c r="J37" i="5"/>
  <c r="G37" i="5"/>
  <c r="F37" i="5"/>
  <c r="M33" i="3"/>
  <c r="L34" i="3"/>
  <c r="C35" i="3"/>
  <c r="F35" i="3"/>
  <c r="J35" i="3"/>
  <c r="I35" i="3"/>
  <c r="G35" i="3"/>
  <c r="D35" i="3"/>
  <c r="B36" i="3"/>
  <c r="E36" i="3"/>
  <c r="A37" i="3"/>
  <c r="H36" i="3"/>
  <c r="L35" i="2"/>
  <c r="I36" i="2"/>
  <c r="J36" i="2"/>
  <c r="G36" i="2"/>
  <c r="F36" i="2"/>
  <c r="D36" i="2"/>
  <c r="C36" i="2"/>
  <c r="H37" i="2"/>
  <c r="B37" i="2"/>
  <c r="E37" i="2"/>
  <c r="A38" i="2"/>
  <c r="E39" i="5" l="1"/>
  <c r="B39" i="5"/>
  <c r="H39" i="5"/>
  <c r="A40" i="5"/>
  <c r="G38" i="5"/>
  <c r="C38" i="5"/>
  <c r="J38" i="5"/>
  <c r="I38" i="5"/>
  <c r="F38" i="5"/>
  <c r="D38" i="5"/>
  <c r="L37" i="5"/>
  <c r="M34" i="3"/>
  <c r="L35" i="3"/>
  <c r="H37" i="3"/>
  <c r="A38" i="3"/>
  <c r="B37" i="3"/>
  <c r="E37" i="3"/>
  <c r="F36" i="3"/>
  <c r="C36" i="3"/>
  <c r="I36" i="3"/>
  <c r="G36" i="3"/>
  <c r="D36" i="3"/>
  <c r="J36" i="3"/>
  <c r="L36" i="2"/>
  <c r="E38" i="2"/>
  <c r="H38" i="2"/>
  <c r="B38" i="2"/>
  <c r="A39" i="2"/>
  <c r="D37" i="2"/>
  <c r="C37" i="2"/>
  <c r="I37" i="2"/>
  <c r="G37" i="2"/>
  <c r="F37" i="2"/>
  <c r="J37" i="2"/>
  <c r="L38" i="5" l="1"/>
  <c r="E40" i="5"/>
  <c r="H40" i="5"/>
  <c r="B40" i="5"/>
  <c r="A41" i="5"/>
  <c r="G39" i="5"/>
  <c r="C39" i="5"/>
  <c r="F39" i="5"/>
  <c r="D39" i="5"/>
  <c r="J39" i="5"/>
  <c r="I39" i="5"/>
  <c r="M35" i="3"/>
  <c r="L36" i="3"/>
  <c r="G37" i="3"/>
  <c r="D37" i="3"/>
  <c r="F37" i="3"/>
  <c r="I37" i="3"/>
  <c r="C37" i="3"/>
  <c r="J37" i="3"/>
  <c r="B38" i="3"/>
  <c r="E38" i="3"/>
  <c r="H38" i="3"/>
  <c r="A39" i="3"/>
  <c r="L37" i="2"/>
  <c r="H39" i="2"/>
  <c r="E39" i="2"/>
  <c r="B39" i="2"/>
  <c r="A40" i="2"/>
  <c r="I38" i="2"/>
  <c r="F38" i="2"/>
  <c r="G38" i="2"/>
  <c r="C38" i="2"/>
  <c r="J38" i="2"/>
  <c r="D38" i="2"/>
  <c r="L39" i="5" l="1"/>
  <c r="H41" i="5"/>
  <c r="E41" i="5"/>
  <c r="B41" i="5"/>
  <c r="A42" i="5"/>
  <c r="G40" i="5"/>
  <c r="F40" i="5"/>
  <c r="D40" i="5"/>
  <c r="J40" i="5"/>
  <c r="C40" i="5"/>
  <c r="I40" i="5"/>
  <c r="M36" i="3"/>
  <c r="L37" i="3"/>
  <c r="B39" i="3"/>
  <c r="A40" i="3"/>
  <c r="H39" i="3"/>
  <c r="E39" i="3"/>
  <c r="F38" i="3"/>
  <c r="C38" i="3"/>
  <c r="G38" i="3"/>
  <c r="D38" i="3"/>
  <c r="J38" i="3"/>
  <c r="I38" i="3"/>
  <c r="L38" i="2"/>
  <c r="E40" i="2"/>
  <c r="H40" i="2"/>
  <c r="B40" i="2"/>
  <c r="A41" i="2"/>
  <c r="J39" i="2"/>
  <c r="I39" i="2"/>
  <c r="F39" i="2"/>
  <c r="G39" i="2"/>
  <c r="D39" i="2"/>
  <c r="C39" i="2"/>
  <c r="L40" i="5" l="1"/>
  <c r="I41" i="5"/>
  <c r="G41" i="5"/>
  <c r="J41" i="5"/>
  <c r="F41" i="5"/>
  <c r="D41" i="5"/>
  <c r="C41" i="5"/>
  <c r="H42" i="5"/>
  <c r="B42" i="5"/>
  <c r="E42" i="5"/>
  <c r="A43" i="5"/>
  <c r="M37" i="3"/>
  <c r="L38" i="3"/>
  <c r="E40" i="3"/>
  <c r="H40" i="3"/>
  <c r="B40" i="3"/>
  <c r="A41" i="3"/>
  <c r="G39" i="3"/>
  <c r="J39" i="3"/>
  <c r="C39" i="3"/>
  <c r="F39" i="3"/>
  <c r="D39" i="3"/>
  <c r="I39" i="3"/>
  <c r="L39" i="2"/>
  <c r="E41" i="2"/>
  <c r="H41" i="2"/>
  <c r="B41" i="2"/>
  <c r="A42" i="2"/>
  <c r="G40" i="2"/>
  <c r="I40" i="2"/>
  <c r="F40" i="2"/>
  <c r="J40" i="2"/>
  <c r="D40" i="2"/>
  <c r="C40" i="2"/>
  <c r="H43" i="5" l="1"/>
  <c r="B43" i="5"/>
  <c r="E43" i="5"/>
  <c r="A44" i="5"/>
  <c r="I42" i="5"/>
  <c r="J42" i="5"/>
  <c r="C42" i="5"/>
  <c r="G42" i="5"/>
  <c r="F42" i="5"/>
  <c r="D42" i="5"/>
  <c r="L41" i="5"/>
  <c r="M38" i="3"/>
  <c r="L39" i="3"/>
  <c r="E41" i="3"/>
  <c r="H41" i="3"/>
  <c r="B41" i="3"/>
  <c r="A42" i="3"/>
  <c r="C40" i="3"/>
  <c r="D40" i="3"/>
  <c r="J40" i="3"/>
  <c r="G40" i="3"/>
  <c r="F40" i="3"/>
  <c r="I40" i="3"/>
  <c r="L40" i="2"/>
  <c r="E42" i="2"/>
  <c r="B42" i="2"/>
  <c r="H42" i="2"/>
  <c r="A43" i="2"/>
  <c r="J41" i="2"/>
  <c r="I41" i="2"/>
  <c r="G41" i="2"/>
  <c r="F41" i="2"/>
  <c r="D41" i="2"/>
  <c r="C41" i="2"/>
  <c r="L42" i="5" l="1"/>
  <c r="E44" i="5"/>
  <c r="H44" i="5"/>
  <c r="B44" i="5"/>
  <c r="A45" i="5"/>
  <c r="D43" i="5"/>
  <c r="C43" i="5"/>
  <c r="I43" i="5"/>
  <c r="G43" i="5"/>
  <c r="F43" i="5"/>
  <c r="J43" i="5"/>
  <c r="M39" i="3"/>
  <c r="L40" i="3"/>
  <c r="H42" i="3"/>
  <c r="E42" i="3"/>
  <c r="B42" i="3"/>
  <c r="A43" i="3"/>
  <c r="I41" i="3"/>
  <c r="F41" i="3"/>
  <c r="C41" i="3"/>
  <c r="G41" i="3"/>
  <c r="J41" i="3"/>
  <c r="D41" i="3"/>
  <c r="L41" i="2"/>
  <c r="B43" i="2"/>
  <c r="H43" i="2"/>
  <c r="A44" i="2"/>
  <c r="E43" i="2"/>
  <c r="C42" i="2"/>
  <c r="G42" i="2"/>
  <c r="F42" i="2"/>
  <c r="D42" i="2"/>
  <c r="J42" i="2"/>
  <c r="I42" i="2"/>
  <c r="G44" i="5" l="1"/>
  <c r="F44" i="5"/>
  <c r="D44" i="5"/>
  <c r="C44" i="5"/>
  <c r="J44" i="5"/>
  <c r="I44" i="5"/>
  <c r="E45" i="5"/>
  <c r="H45" i="5"/>
  <c r="B45" i="5"/>
  <c r="A46" i="5"/>
  <c r="L43" i="5"/>
  <c r="M40" i="3"/>
  <c r="L41" i="3"/>
  <c r="B43" i="3"/>
  <c r="E43" i="3"/>
  <c r="H43" i="3"/>
  <c r="A44" i="3"/>
  <c r="I42" i="3"/>
  <c r="F42" i="3"/>
  <c r="G42" i="3"/>
  <c r="D42" i="3"/>
  <c r="J42" i="3"/>
  <c r="C42" i="3"/>
  <c r="L42" i="2"/>
  <c r="A45" i="2"/>
  <c r="H44" i="2"/>
  <c r="B44" i="2"/>
  <c r="E44" i="2"/>
  <c r="D43" i="2"/>
  <c r="C43" i="2"/>
  <c r="F43" i="2"/>
  <c r="J43" i="2"/>
  <c r="I43" i="2"/>
  <c r="G43" i="2"/>
  <c r="L44" i="5" l="1"/>
  <c r="E46" i="5"/>
  <c r="H46" i="5"/>
  <c r="B46" i="5"/>
  <c r="A47" i="5"/>
  <c r="J45" i="5"/>
  <c r="I45" i="5"/>
  <c r="G45" i="5"/>
  <c r="F45" i="5"/>
  <c r="D45" i="5"/>
  <c r="C45" i="5"/>
  <c r="M41" i="3"/>
  <c r="L42" i="3"/>
  <c r="A45" i="3"/>
  <c r="B44" i="3"/>
  <c r="H44" i="3"/>
  <c r="E44" i="3"/>
  <c r="J43" i="3"/>
  <c r="D43" i="3"/>
  <c r="G43" i="3"/>
  <c r="C43" i="3"/>
  <c r="I43" i="3"/>
  <c r="F43" i="3"/>
  <c r="L43" i="2"/>
  <c r="I44" i="2"/>
  <c r="J44" i="2"/>
  <c r="G44" i="2"/>
  <c r="D44" i="2"/>
  <c r="F44" i="2"/>
  <c r="C44" i="2"/>
  <c r="E45" i="2"/>
  <c r="B45" i="2"/>
  <c r="H45" i="2"/>
  <c r="A46" i="2"/>
  <c r="E47" i="5" l="1"/>
  <c r="B47" i="5"/>
  <c r="H47" i="5"/>
  <c r="A48" i="5"/>
  <c r="C46" i="5"/>
  <c r="G46" i="5"/>
  <c r="I46" i="5"/>
  <c r="J46" i="5"/>
  <c r="F46" i="5"/>
  <c r="D46" i="5"/>
  <c r="L45" i="5"/>
  <c r="M42" i="3"/>
  <c r="L43" i="3"/>
  <c r="F44" i="3"/>
  <c r="D44" i="3"/>
  <c r="I44" i="3"/>
  <c r="G44" i="3"/>
  <c r="J44" i="3"/>
  <c r="C44" i="3"/>
  <c r="E45" i="3"/>
  <c r="B45" i="3"/>
  <c r="H45" i="3"/>
  <c r="A46" i="3"/>
  <c r="L44" i="2"/>
  <c r="H46" i="2"/>
  <c r="E46" i="2"/>
  <c r="A47" i="2"/>
  <c r="B46" i="2"/>
  <c r="J45" i="2"/>
  <c r="F45" i="2"/>
  <c r="D45" i="2"/>
  <c r="C45" i="2"/>
  <c r="I45" i="2"/>
  <c r="G45" i="2"/>
  <c r="L46" i="5" l="1"/>
  <c r="E48" i="5"/>
  <c r="H48" i="5"/>
  <c r="B48" i="5"/>
  <c r="A49" i="5"/>
  <c r="I47" i="5"/>
  <c r="C47" i="5"/>
  <c r="D47" i="5"/>
  <c r="J47" i="5"/>
  <c r="F47" i="5"/>
  <c r="G47" i="5"/>
  <c r="M43" i="3"/>
  <c r="L44" i="3"/>
  <c r="B46" i="3"/>
  <c r="E46" i="3"/>
  <c r="H46" i="3"/>
  <c r="A47" i="3"/>
  <c r="I45" i="3"/>
  <c r="F45" i="3"/>
  <c r="C45" i="3"/>
  <c r="D45" i="3"/>
  <c r="G45" i="3"/>
  <c r="J45" i="3"/>
  <c r="L45" i="2"/>
  <c r="B47" i="2"/>
  <c r="A48" i="2"/>
  <c r="H47" i="2"/>
  <c r="E47" i="2"/>
  <c r="I46" i="2"/>
  <c r="G46" i="2"/>
  <c r="F46" i="2"/>
  <c r="J46" i="2"/>
  <c r="D46" i="2"/>
  <c r="C46" i="2"/>
  <c r="L47" i="5" l="1"/>
  <c r="I48" i="5"/>
  <c r="G48" i="5"/>
  <c r="F48" i="5"/>
  <c r="D48" i="5"/>
  <c r="C48" i="5"/>
  <c r="J48" i="5"/>
  <c r="E49" i="5"/>
  <c r="B49" i="5"/>
  <c r="H49" i="5"/>
  <c r="A50" i="5"/>
  <c r="M44" i="3"/>
  <c r="L45" i="3"/>
  <c r="H47" i="3"/>
  <c r="E47" i="3"/>
  <c r="B47" i="3"/>
  <c r="A48" i="3"/>
  <c r="G46" i="3"/>
  <c r="C46" i="3"/>
  <c r="D46" i="3"/>
  <c r="J46" i="3"/>
  <c r="I46" i="3"/>
  <c r="F46" i="3"/>
  <c r="L46" i="2"/>
  <c r="B48" i="2"/>
  <c r="A49" i="2"/>
  <c r="H48" i="2"/>
  <c r="E48" i="2"/>
  <c r="J47" i="2"/>
  <c r="D47" i="2"/>
  <c r="F47" i="2"/>
  <c r="C47" i="2"/>
  <c r="G47" i="2"/>
  <c r="I47" i="2"/>
  <c r="L48" i="5" l="1"/>
  <c r="B50" i="5"/>
  <c r="H50" i="5"/>
  <c r="E50" i="5"/>
  <c r="A51" i="5"/>
  <c r="I49" i="5"/>
  <c r="G49" i="5"/>
  <c r="J49" i="5"/>
  <c r="F49" i="5"/>
  <c r="D49" i="5"/>
  <c r="C49" i="5"/>
  <c r="M45" i="3"/>
  <c r="L46" i="3"/>
  <c r="H48" i="3"/>
  <c r="E48" i="3"/>
  <c r="A49" i="3"/>
  <c r="B48" i="3"/>
  <c r="J47" i="3"/>
  <c r="I47" i="3"/>
  <c r="F47" i="3"/>
  <c r="G47" i="3"/>
  <c r="D47" i="3"/>
  <c r="C47" i="3"/>
  <c r="L47" i="2"/>
  <c r="H49" i="2"/>
  <c r="E49" i="2"/>
  <c r="A50" i="2"/>
  <c r="B49" i="2"/>
  <c r="C48" i="2"/>
  <c r="D48" i="2"/>
  <c r="I48" i="2"/>
  <c r="G48" i="2"/>
  <c r="F48" i="2"/>
  <c r="J48" i="2"/>
  <c r="H51" i="5" l="1"/>
  <c r="E51" i="5"/>
  <c r="B51" i="5"/>
  <c r="A52" i="5"/>
  <c r="L49" i="5"/>
  <c r="I50" i="5"/>
  <c r="J50" i="5"/>
  <c r="F50" i="5"/>
  <c r="D50" i="5"/>
  <c r="G50" i="5"/>
  <c r="C50" i="5"/>
  <c r="M46" i="3"/>
  <c r="L47" i="3"/>
  <c r="G48" i="3"/>
  <c r="D48" i="3"/>
  <c r="C48" i="3"/>
  <c r="J48" i="3"/>
  <c r="I48" i="3"/>
  <c r="F48" i="3"/>
  <c r="H49" i="3"/>
  <c r="B49" i="3"/>
  <c r="E49" i="3"/>
  <c r="A50" i="3"/>
  <c r="L48" i="2"/>
  <c r="E50" i="2"/>
  <c r="A51" i="2"/>
  <c r="H50" i="2"/>
  <c r="B50" i="2"/>
  <c r="J49" i="2"/>
  <c r="I49" i="2"/>
  <c r="C49" i="2"/>
  <c r="F49" i="2"/>
  <c r="D49" i="2"/>
  <c r="G49" i="2"/>
  <c r="L48" i="3" l="1"/>
  <c r="A53" i="5"/>
  <c r="H52" i="5"/>
  <c r="B52" i="5"/>
  <c r="E52" i="5"/>
  <c r="I51" i="5"/>
  <c r="D51" i="5"/>
  <c r="C51" i="5"/>
  <c r="G51" i="5"/>
  <c r="J51" i="5"/>
  <c r="F51" i="5"/>
  <c r="L50" i="5"/>
  <c r="M47" i="3"/>
  <c r="B50" i="3"/>
  <c r="A51" i="3"/>
  <c r="H50" i="3"/>
  <c r="E50" i="3"/>
  <c r="C49" i="3"/>
  <c r="F49" i="3"/>
  <c r="I49" i="3"/>
  <c r="G49" i="3"/>
  <c r="J49" i="3"/>
  <c r="D49" i="3"/>
  <c r="L49" i="2"/>
  <c r="I50" i="2"/>
  <c r="C50" i="2"/>
  <c r="J50" i="2"/>
  <c r="G50" i="2"/>
  <c r="F50" i="2"/>
  <c r="D50" i="2"/>
  <c r="A52" i="2"/>
  <c r="B51" i="2"/>
  <c r="E51" i="2"/>
  <c r="H51" i="2"/>
  <c r="C52" i="5" l="1"/>
  <c r="J52" i="5"/>
  <c r="I52" i="5"/>
  <c r="D52" i="5"/>
  <c r="G52" i="5"/>
  <c r="F52" i="5"/>
  <c r="L51" i="5"/>
  <c r="A54" i="5"/>
  <c r="H53" i="5"/>
  <c r="B53" i="5"/>
  <c r="E53" i="5"/>
  <c r="M48" i="3"/>
  <c r="L49" i="3"/>
  <c r="H51" i="3"/>
  <c r="B51" i="3"/>
  <c r="E51" i="3"/>
  <c r="A52" i="3"/>
  <c r="I50" i="3"/>
  <c r="J50" i="3"/>
  <c r="D50" i="3"/>
  <c r="C50" i="3"/>
  <c r="F50" i="3"/>
  <c r="G50" i="3"/>
  <c r="L50" i="2"/>
  <c r="I51" i="2"/>
  <c r="J51" i="2"/>
  <c r="F51" i="2"/>
  <c r="G51" i="2"/>
  <c r="C51" i="2"/>
  <c r="D51" i="2"/>
  <c r="E52" i="2"/>
  <c r="B52" i="2"/>
  <c r="A53" i="2"/>
  <c r="H52" i="2"/>
  <c r="L52" i="5" l="1"/>
  <c r="C53" i="5"/>
  <c r="I53" i="5"/>
  <c r="G53" i="5"/>
  <c r="D53" i="5"/>
  <c r="F53" i="5"/>
  <c r="J53" i="5"/>
  <c r="H54" i="5"/>
  <c r="B54" i="5"/>
  <c r="A55" i="5"/>
  <c r="E54" i="5"/>
  <c r="M49" i="3"/>
  <c r="L50" i="3"/>
  <c r="E52" i="3"/>
  <c r="A53" i="3"/>
  <c r="B52" i="3"/>
  <c r="H52" i="3"/>
  <c r="D51" i="3"/>
  <c r="C51" i="3"/>
  <c r="J51" i="3"/>
  <c r="G51" i="3"/>
  <c r="F51" i="3"/>
  <c r="I51" i="3"/>
  <c r="L51" i="2"/>
  <c r="B53" i="2"/>
  <c r="H53" i="2"/>
  <c r="E53" i="2"/>
  <c r="A54" i="2"/>
  <c r="I52" i="2"/>
  <c r="C52" i="2"/>
  <c r="F52" i="2"/>
  <c r="D52" i="2"/>
  <c r="J52" i="2"/>
  <c r="G52" i="2"/>
  <c r="L53" i="5" l="1"/>
  <c r="H55" i="5"/>
  <c r="A56" i="5"/>
  <c r="E55" i="5"/>
  <c r="B55" i="5"/>
  <c r="G54" i="5"/>
  <c r="C54" i="5"/>
  <c r="F54" i="5"/>
  <c r="L54" i="5"/>
  <c r="J54" i="5"/>
  <c r="D54" i="5"/>
  <c r="I54" i="5"/>
  <c r="M50" i="3"/>
  <c r="L51" i="3"/>
  <c r="F52" i="3"/>
  <c r="G52" i="3"/>
  <c r="I52" i="3"/>
  <c r="D52" i="3"/>
  <c r="C52" i="3"/>
  <c r="J52" i="3"/>
  <c r="B53" i="3"/>
  <c r="A54" i="3"/>
  <c r="E53" i="3"/>
  <c r="H53" i="3"/>
  <c r="L52" i="2"/>
  <c r="A55" i="2"/>
  <c r="E54" i="2"/>
  <c r="H54" i="2"/>
  <c r="B54" i="2"/>
  <c r="J53" i="2"/>
  <c r="I53" i="2"/>
  <c r="G53" i="2"/>
  <c r="C53" i="2"/>
  <c r="D53" i="2"/>
  <c r="F53" i="2"/>
  <c r="A57" i="5" l="1"/>
  <c r="H56" i="5"/>
  <c r="E56" i="5"/>
  <c r="B56" i="5"/>
  <c r="F55" i="5"/>
  <c r="D55" i="5"/>
  <c r="J55" i="5"/>
  <c r="I55" i="5"/>
  <c r="L55" i="5"/>
  <c r="G55" i="5"/>
  <c r="C55" i="5"/>
  <c r="M51" i="3"/>
  <c r="L52" i="3"/>
  <c r="E54" i="3"/>
  <c r="A55" i="3"/>
  <c r="H54" i="3"/>
  <c r="B54" i="3"/>
  <c r="L54" i="3" s="1"/>
  <c r="G53" i="3"/>
  <c r="C53" i="3"/>
  <c r="J53" i="3"/>
  <c r="F53" i="3"/>
  <c r="I53" i="3"/>
  <c r="D53" i="3"/>
  <c r="L53" i="2"/>
  <c r="G54" i="2"/>
  <c r="J54" i="2"/>
  <c r="I54" i="2"/>
  <c r="F54" i="2"/>
  <c r="D54" i="2"/>
  <c r="C54" i="2"/>
  <c r="H55" i="2"/>
  <c r="B55" i="2"/>
  <c r="E55" i="2"/>
  <c r="A56" i="2"/>
  <c r="A58" i="5" l="1"/>
  <c r="B57" i="5"/>
  <c r="E57" i="5"/>
  <c r="H57" i="5"/>
  <c r="I56" i="5"/>
  <c r="G56" i="5"/>
  <c r="F56" i="5"/>
  <c r="D56" i="5"/>
  <c r="C56" i="5"/>
  <c r="L56" i="5"/>
  <c r="J56" i="5"/>
  <c r="M52" i="3"/>
  <c r="L53" i="3"/>
  <c r="I54" i="3"/>
  <c r="D54" i="3"/>
  <c r="F54" i="3"/>
  <c r="C54" i="3"/>
  <c r="J54" i="3"/>
  <c r="G54" i="3"/>
  <c r="H55" i="3"/>
  <c r="B55" i="3"/>
  <c r="E55" i="3"/>
  <c r="A56" i="3"/>
  <c r="L54" i="2"/>
  <c r="H56" i="2"/>
  <c r="E56" i="2"/>
  <c r="A57" i="2"/>
  <c r="B56" i="2"/>
  <c r="D55" i="2"/>
  <c r="L55" i="2"/>
  <c r="I55" i="2"/>
  <c r="J55" i="2"/>
  <c r="F55" i="2"/>
  <c r="C55" i="2"/>
  <c r="G55" i="2"/>
  <c r="J57" i="5" l="1"/>
  <c r="G57" i="5"/>
  <c r="F57" i="5"/>
  <c r="C57" i="5"/>
  <c r="D57" i="5"/>
  <c r="L57" i="5"/>
  <c r="I57" i="5"/>
  <c r="H58" i="5"/>
  <c r="A59" i="5"/>
  <c r="B58" i="5"/>
  <c r="E58" i="5"/>
  <c r="M53" i="3"/>
  <c r="A57" i="3"/>
  <c r="E56" i="3"/>
  <c r="B56" i="3"/>
  <c r="H56" i="3"/>
  <c r="F55" i="3"/>
  <c r="D55" i="3"/>
  <c r="L55" i="3"/>
  <c r="G55" i="3"/>
  <c r="C55" i="3"/>
  <c r="I55" i="3"/>
  <c r="J55" i="3"/>
  <c r="G56" i="2"/>
  <c r="F56" i="2"/>
  <c r="D56" i="2"/>
  <c r="C56" i="2"/>
  <c r="L56" i="2"/>
  <c r="J56" i="2"/>
  <c r="I56" i="2"/>
  <c r="A58" i="2"/>
  <c r="H57" i="2"/>
  <c r="E57" i="2"/>
  <c r="B57" i="2"/>
  <c r="L58" i="5" l="1"/>
  <c r="I58" i="5"/>
  <c r="G58" i="5"/>
  <c r="J58" i="5"/>
  <c r="D58" i="5"/>
  <c r="F58" i="5"/>
  <c r="C58" i="5"/>
  <c r="B59" i="5"/>
  <c r="A60" i="5"/>
  <c r="H59" i="5"/>
  <c r="E59" i="5"/>
  <c r="D56" i="3"/>
  <c r="C56" i="3"/>
  <c r="I56" i="3"/>
  <c r="J56" i="3"/>
  <c r="G56" i="3"/>
  <c r="L56" i="3"/>
  <c r="F56" i="3"/>
  <c r="H57" i="3"/>
  <c r="A58" i="3"/>
  <c r="B57" i="3"/>
  <c r="E57" i="3"/>
  <c r="J57" i="2"/>
  <c r="L57" i="2"/>
  <c r="I57" i="2"/>
  <c r="G57" i="2"/>
  <c r="F57" i="2"/>
  <c r="D57" i="2"/>
  <c r="C57" i="2"/>
  <c r="A59" i="2"/>
  <c r="H58" i="2"/>
  <c r="E58" i="2"/>
  <c r="B58" i="2"/>
  <c r="E60" i="5" l="1"/>
  <c r="H60" i="5"/>
  <c r="B60" i="5"/>
  <c r="A61" i="5"/>
  <c r="F59" i="5"/>
  <c r="L59" i="5"/>
  <c r="I59" i="5"/>
  <c r="J59" i="5"/>
  <c r="G59" i="5"/>
  <c r="D59" i="5"/>
  <c r="C59" i="5"/>
  <c r="A59" i="3"/>
  <c r="H58" i="3"/>
  <c r="B58" i="3"/>
  <c r="E58" i="3"/>
  <c r="F57" i="3"/>
  <c r="D57" i="3"/>
  <c r="L57" i="3"/>
  <c r="I57" i="3"/>
  <c r="G57" i="3"/>
  <c r="C57" i="3"/>
  <c r="J57" i="3"/>
  <c r="A60" i="2"/>
  <c r="E59" i="2"/>
  <c r="B59" i="2"/>
  <c r="H59" i="2"/>
  <c r="J58" i="2"/>
  <c r="I58" i="2"/>
  <c r="G58" i="2"/>
  <c r="D58" i="2"/>
  <c r="L58" i="2"/>
  <c r="F58" i="2"/>
  <c r="C58" i="2"/>
  <c r="H61" i="5" l="1"/>
  <c r="B61" i="5"/>
  <c r="A62" i="5"/>
  <c r="E61" i="5"/>
  <c r="G60" i="5"/>
  <c r="C60" i="5"/>
  <c r="I60" i="5"/>
  <c r="J60" i="5"/>
  <c r="L60" i="5"/>
  <c r="F60" i="5"/>
  <c r="D60" i="5"/>
  <c r="L58" i="3"/>
  <c r="J58" i="3"/>
  <c r="I58" i="3"/>
  <c r="C58" i="3"/>
  <c r="F58" i="3"/>
  <c r="G58" i="3"/>
  <c r="D58" i="3"/>
  <c r="E59" i="3"/>
  <c r="B59" i="3"/>
  <c r="H59" i="3"/>
  <c r="A60" i="3"/>
  <c r="F59" i="2"/>
  <c r="D59" i="2"/>
  <c r="C59" i="2"/>
  <c r="G59" i="2"/>
  <c r="J59" i="2"/>
  <c r="I59" i="2"/>
  <c r="L59" i="2"/>
  <c r="E60" i="2"/>
  <c r="H60" i="2"/>
  <c r="A61" i="2"/>
  <c r="B60" i="2"/>
  <c r="A63" i="5" l="1"/>
  <c r="H62" i="5"/>
  <c r="B62" i="5"/>
  <c r="E62" i="5"/>
  <c r="F61" i="5"/>
  <c r="J61" i="5"/>
  <c r="I61" i="5"/>
  <c r="L61" i="5"/>
  <c r="G61" i="5"/>
  <c r="C61" i="5"/>
  <c r="D61" i="5"/>
  <c r="H60" i="3"/>
  <c r="B60" i="3"/>
  <c r="A61" i="3"/>
  <c r="E60" i="3"/>
  <c r="J59" i="3"/>
  <c r="F59" i="3"/>
  <c r="D59" i="3"/>
  <c r="C59" i="3"/>
  <c r="L59" i="3"/>
  <c r="I59" i="3"/>
  <c r="G59" i="3"/>
  <c r="A62" i="2"/>
  <c r="E61" i="2"/>
  <c r="B61" i="2"/>
  <c r="H61" i="2"/>
  <c r="G60" i="2"/>
  <c r="C60" i="2"/>
  <c r="J60" i="2"/>
  <c r="L60" i="2"/>
  <c r="D60" i="2"/>
  <c r="I60" i="2"/>
  <c r="F60" i="2"/>
  <c r="L62" i="5" l="1"/>
  <c r="I62" i="5"/>
  <c r="J62" i="5"/>
  <c r="D62" i="5"/>
  <c r="C62" i="5"/>
  <c r="F62" i="5"/>
  <c r="G62" i="5"/>
  <c r="A64" i="5"/>
  <c r="H63" i="5"/>
  <c r="B63" i="5"/>
  <c r="E63" i="5"/>
  <c r="H61" i="3"/>
  <c r="B61" i="3"/>
  <c r="E61" i="3"/>
  <c r="A62" i="3"/>
  <c r="G60" i="3"/>
  <c r="D60" i="3"/>
  <c r="C60" i="3"/>
  <c r="J60" i="3"/>
  <c r="F60" i="3"/>
  <c r="L60" i="3"/>
  <c r="I60" i="3"/>
  <c r="L61" i="2"/>
  <c r="J61" i="2"/>
  <c r="G61" i="2"/>
  <c r="C61" i="2"/>
  <c r="F61" i="2"/>
  <c r="D61" i="2"/>
  <c r="I61" i="2"/>
  <c r="B62" i="2"/>
  <c r="A63" i="2"/>
  <c r="E62" i="2"/>
  <c r="H62" i="2"/>
  <c r="G63" i="5" l="1"/>
  <c r="D63" i="5"/>
  <c r="C63" i="5"/>
  <c r="J63" i="5"/>
  <c r="L63" i="5"/>
  <c r="I63" i="5"/>
  <c r="F63" i="5"/>
  <c r="E64" i="5"/>
  <c r="H64" i="5"/>
  <c r="B64" i="5"/>
  <c r="A65" i="5"/>
  <c r="L61" i="3"/>
  <c r="I61" i="3"/>
  <c r="J61" i="3"/>
  <c r="F61" i="3"/>
  <c r="C61" i="3"/>
  <c r="G61" i="3"/>
  <c r="D61" i="3"/>
  <c r="E62" i="3"/>
  <c r="H62" i="3"/>
  <c r="B62" i="3"/>
  <c r="A63" i="3"/>
  <c r="E63" i="2"/>
  <c r="B63" i="2"/>
  <c r="A64" i="2"/>
  <c r="H63" i="2"/>
  <c r="I62" i="2"/>
  <c r="G62" i="2"/>
  <c r="C62" i="2"/>
  <c r="L62" i="2"/>
  <c r="J62" i="2"/>
  <c r="F62" i="2"/>
  <c r="D62" i="2"/>
  <c r="B65" i="5" l="1"/>
  <c r="A66" i="5"/>
  <c r="H65" i="5"/>
  <c r="E65" i="5"/>
  <c r="J64" i="5"/>
  <c r="I64" i="5"/>
  <c r="L64" i="5"/>
  <c r="D64" i="5"/>
  <c r="C64" i="5"/>
  <c r="G64" i="5"/>
  <c r="F64" i="5"/>
  <c r="B63" i="3"/>
  <c r="A64" i="3"/>
  <c r="H63" i="3"/>
  <c r="E63" i="3"/>
  <c r="L62" i="3"/>
  <c r="C62" i="3"/>
  <c r="J62" i="3"/>
  <c r="D62" i="3"/>
  <c r="I62" i="3"/>
  <c r="G62" i="3"/>
  <c r="F62" i="3"/>
  <c r="E64" i="2"/>
  <c r="A65" i="2"/>
  <c r="H64" i="2"/>
  <c r="B64" i="2"/>
  <c r="G63" i="2"/>
  <c r="D63" i="2"/>
  <c r="C63" i="2"/>
  <c r="F63" i="2"/>
  <c r="I63" i="2"/>
  <c r="L63" i="2"/>
  <c r="J63" i="2"/>
  <c r="E66" i="5" l="1"/>
  <c r="H66" i="5"/>
  <c r="B66" i="5"/>
  <c r="A67" i="5"/>
  <c r="F65" i="5"/>
  <c r="D65" i="5"/>
  <c r="L65" i="5"/>
  <c r="J65" i="5"/>
  <c r="I65" i="5"/>
  <c r="C65" i="5"/>
  <c r="G65" i="5"/>
  <c r="E64" i="3"/>
  <c r="A65" i="3"/>
  <c r="B64" i="3"/>
  <c r="H64" i="3"/>
  <c r="G63" i="3"/>
  <c r="I63" i="3"/>
  <c r="F63" i="3"/>
  <c r="J63" i="3"/>
  <c r="D63" i="3"/>
  <c r="C63" i="3"/>
  <c r="L63" i="3"/>
  <c r="J64" i="2"/>
  <c r="L64" i="2"/>
  <c r="I64" i="2"/>
  <c r="G64" i="2"/>
  <c r="D64" i="2"/>
  <c r="C64" i="2"/>
  <c r="F64" i="2"/>
  <c r="B65" i="2"/>
  <c r="A66" i="2"/>
  <c r="E65" i="2"/>
  <c r="H65" i="2"/>
  <c r="H67" i="5" l="1"/>
  <c r="A68" i="5"/>
  <c r="E67" i="5"/>
  <c r="B67" i="5"/>
  <c r="L66" i="5"/>
  <c r="G66" i="5"/>
  <c r="I66" i="5"/>
  <c r="C66" i="5"/>
  <c r="J66" i="5"/>
  <c r="F66" i="5"/>
  <c r="D66" i="5"/>
  <c r="I64" i="3"/>
  <c r="D64" i="3"/>
  <c r="J64" i="3"/>
  <c r="F64" i="3"/>
  <c r="C64" i="3"/>
  <c r="G64" i="3"/>
  <c r="L64" i="3"/>
  <c r="B65" i="3"/>
  <c r="H65" i="3"/>
  <c r="A66" i="3"/>
  <c r="E65" i="3"/>
  <c r="F65" i="2"/>
  <c r="L65" i="2"/>
  <c r="J65" i="2"/>
  <c r="I65" i="2"/>
  <c r="C65" i="2"/>
  <c r="G65" i="2"/>
  <c r="D65" i="2"/>
  <c r="E66" i="2"/>
  <c r="B66" i="2"/>
  <c r="H66" i="2"/>
  <c r="A67" i="2"/>
  <c r="J67" i="5" l="1"/>
  <c r="L67" i="5"/>
  <c r="I67" i="5"/>
  <c r="G67" i="5"/>
  <c r="C67" i="5"/>
  <c r="F67" i="5"/>
  <c r="D67" i="5"/>
  <c r="A69" i="5"/>
  <c r="H68" i="5"/>
  <c r="B68" i="5"/>
  <c r="E68" i="5"/>
  <c r="F65" i="3"/>
  <c r="C65" i="3"/>
  <c r="J65" i="3"/>
  <c r="I65" i="3"/>
  <c r="G65" i="3"/>
  <c r="D65" i="3"/>
  <c r="L65" i="3"/>
  <c r="H66" i="3"/>
  <c r="A67" i="3"/>
  <c r="B66" i="3"/>
  <c r="E66" i="3"/>
  <c r="H67" i="2"/>
  <c r="A68" i="2"/>
  <c r="E67" i="2"/>
  <c r="B67" i="2"/>
  <c r="L66" i="2"/>
  <c r="D66" i="2"/>
  <c r="C66" i="2"/>
  <c r="J66" i="2"/>
  <c r="G66" i="2"/>
  <c r="F66" i="2"/>
  <c r="I66" i="2"/>
  <c r="L68" i="5" l="1"/>
  <c r="I68" i="5"/>
  <c r="J68" i="5"/>
  <c r="G68" i="5"/>
  <c r="F68" i="5"/>
  <c r="D68" i="5"/>
  <c r="C68" i="5"/>
  <c r="A70" i="5"/>
  <c r="H69" i="5"/>
  <c r="E69" i="5"/>
  <c r="B69" i="5"/>
  <c r="L66" i="3"/>
  <c r="F66" i="3"/>
  <c r="C66" i="3"/>
  <c r="J66" i="3"/>
  <c r="I66" i="3"/>
  <c r="G66" i="3"/>
  <c r="D66" i="3"/>
  <c r="A68" i="3"/>
  <c r="E67" i="3"/>
  <c r="B67" i="3"/>
  <c r="H67" i="3"/>
  <c r="F67" i="2"/>
  <c r="L67" i="2"/>
  <c r="J67" i="2"/>
  <c r="I67" i="2"/>
  <c r="G67" i="2"/>
  <c r="D67" i="2"/>
  <c r="C67" i="2"/>
  <c r="A69" i="2"/>
  <c r="E68" i="2"/>
  <c r="B68" i="2"/>
  <c r="H68" i="2"/>
  <c r="D69" i="5" l="1"/>
  <c r="I69" i="5"/>
  <c r="C69" i="5"/>
  <c r="L69" i="5"/>
  <c r="J69" i="5"/>
  <c r="G69" i="5"/>
  <c r="F69" i="5"/>
  <c r="E70" i="5"/>
  <c r="B70" i="5"/>
  <c r="A71" i="5"/>
  <c r="H70" i="5"/>
  <c r="D67" i="3"/>
  <c r="L67" i="3"/>
  <c r="F67" i="3"/>
  <c r="I67" i="3"/>
  <c r="G67" i="3"/>
  <c r="C67" i="3"/>
  <c r="J67" i="3"/>
  <c r="B68" i="3"/>
  <c r="E68" i="3"/>
  <c r="H68" i="3"/>
  <c r="A69" i="3"/>
  <c r="A70" i="2"/>
  <c r="H69" i="2"/>
  <c r="B69" i="2"/>
  <c r="E69" i="2"/>
  <c r="I68" i="2"/>
  <c r="C68" i="2"/>
  <c r="F68" i="2"/>
  <c r="J68" i="2"/>
  <c r="G68" i="2"/>
  <c r="D68" i="2"/>
  <c r="L68" i="2"/>
  <c r="C70" i="5" l="1"/>
  <c r="L70" i="5"/>
  <c r="I70" i="5"/>
  <c r="J70" i="5"/>
  <c r="G70" i="5"/>
  <c r="F70" i="5"/>
  <c r="D70" i="5"/>
  <c r="A72" i="5"/>
  <c r="E71" i="5"/>
  <c r="B71" i="5"/>
  <c r="H71" i="5"/>
  <c r="E69" i="3"/>
  <c r="A70" i="3"/>
  <c r="H69" i="3"/>
  <c r="B69" i="3"/>
  <c r="G68" i="3"/>
  <c r="F68" i="3"/>
  <c r="I68" i="3"/>
  <c r="J68" i="3"/>
  <c r="D68" i="3"/>
  <c r="C68" i="3"/>
  <c r="L68" i="3"/>
  <c r="D69" i="2"/>
  <c r="I69" i="2"/>
  <c r="G69" i="2"/>
  <c r="F69" i="2"/>
  <c r="C69" i="2"/>
  <c r="L69" i="2"/>
  <c r="J69" i="2"/>
  <c r="E70" i="2"/>
  <c r="H70" i="2"/>
  <c r="A71" i="2"/>
  <c r="B70" i="2"/>
  <c r="J71" i="5" l="1"/>
  <c r="F71" i="5"/>
  <c r="D71" i="5"/>
  <c r="L71" i="5"/>
  <c r="C71" i="5"/>
  <c r="I71" i="5"/>
  <c r="G71" i="5"/>
  <c r="H72" i="5"/>
  <c r="B72" i="5"/>
  <c r="A73" i="5"/>
  <c r="E72" i="5"/>
  <c r="C69" i="3"/>
  <c r="I69" i="3"/>
  <c r="D69" i="3"/>
  <c r="F69" i="3"/>
  <c r="G69" i="3"/>
  <c r="J69" i="3"/>
  <c r="L69" i="3"/>
  <c r="E70" i="3"/>
  <c r="A71" i="3"/>
  <c r="B70" i="3"/>
  <c r="H70" i="3"/>
  <c r="J70" i="2"/>
  <c r="I70" i="2"/>
  <c r="G70" i="2"/>
  <c r="F70" i="2"/>
  <c r="C70" i="2"/>
  <c r="L70" i="2"/>
  <c r="D70" i="2"/>
  <c r="A72" i="2"/>
  <c r="H71" i="2"/>
  <c r="E71" i="2"/>
  <c r="B71" i="2"/>
  <c r="A74" i="5" l="1"/>
  <c r="H73" i="5"/>
  <c r="E73" i="5"/>
  <c r="B73" i="5"/>
  <c r="L72" i="5"/>
  <c r="I72" i="5"/>
  <c r="G72" i="5"/>
  <c r="J72" i="5"/>
  <c r="D72" i="5"/>
  <c r="C72" i="5"/>
  <c r="F72" i="5"/>
  <c r="L70" i="3"/>
  <c r="D70" i="3"/>
  <c r="I70" i="3"/>
  <c r="F70" i="3"/>
  <c r="J70" i="3"/>
  <c r="C70" i="3"/>
  <c r="G70" i="3"/>
  <c r="E71" i="3"/>
  <c r="H71" i="3"/>
  <c r="A72" i="3"/>
  <c r="B71" i="3"/>
  <c r="E72" i="2"/>
  <c r="A73" i="2"/>
  <c r="H72" i="2"/>
  <c r="B72" i="2"/>
  <c r="J71" i="2"/>
  <c r="G71" i="2"/>
  <c r="C71" i="2"/>
  <c r="I71" i="2"/>
  <c r="D71" i="2"/>
  <c r="L71" i="2"/>
  <c r="F71" i="2"/>
  <c r="J73" i="5" l="1"/>
  <c r="L73" i="5"/>
  <c r="I73" i="5"/>
  <c r="G73" i="5"/>
  <c r="F73" i="5"/>
  <c r="C73" i="5"/>
  <c r="D73" i="5"/>
  <c r="A75" i="5"/>
  <c r="H74" i="5"/>
  <c r="E74" i="5"/>
  <c r="B74" i="5"/>
  <c r="E72" i="3"/>
  <c r="B72" i="3"/>
  <c r="A73" i="3"/>
  <c r="H72" i="3"/>
  <c r="C71" i="3"/>
  <c r="L71" i="3"/>
  <c r="F71" i="3"/>
  <c r="D71" i="3"/>
  <c r="J71" i="3"/>
  <c r="I71" i="3"/>
  <c r="G71" i="3"/>
  <c r="L72" i="2"/>
  <c r="G72" i="2"/>
  <c r="I72" i="2"/>
  <c r="F72" i="2"/>
  <c r="D72" i="2"/>
  <c r="J72" i="2"/>
  <c r="C72" i="2"/>
  <c r="E73" i="2"/>
  <c r="B73" i="2"/>
  <c r="H73" i="2"/>
  <c r="A74" i="2"/>
  <c r="C74" i="5" l="1"/>
  <c r="L74" i="5"/>
  <c r="J74" i="5"/>
  <c r="I74" i="5"/>
  <c r="G74" i="5"/>
  <c r="F74" i="5"/>
  <c r="D74" i="5"/>
  <c r="B75" i="5"/>
  <c r="E75" i="5"/>
  <c r="H75" i="5"/>
  <c r="A76" i="5"/>
  <c r="B73" i="3"/>
  <c r="A74" i="3"/>
  <c r="H73" i="3"/>
  <c r="E73" i="3"/>
  <c r="I72" i="3"/>
  <c r="C72" i="3"/>
  <c r="F72" i="3"/>
  <c r="J72" i="3"/>
  <c r="D72" i="3"/>
  <c r="G72" i="3"/>
  <c r="L72" i="3"/>
  <c r="A75" i="2"/>
  <c r="H74" i="2"/>
  <c r="E74" i="2"/>
  <c r="B74" i="2"/>
  <c r="G73" i="2"/>
  <c r="D73" i="2"/>
  <c r="F73" i="2"/>
  <c r="C73" i="2"/>
  <c r="I73" i="2"/>
  <c r="J73" i="2"/>
  <c r="L73" i="2"/>
  <c r="E76" i="5" l="1"/>
  <c r="A77" i="5"/>
  <c r="H76" i="5"/>
  <c r="B76" i="5"/>
  <c r="D75" i="5"/>
  <c r="J75" i="5"/>
  <c r="I75" i="5"/>
  <c r="F75" i="5"/>
  <c r="C75" i="5"/>
  <c r="L75" i="5"/>
  <c r="G75" i="5"/>
  <c r="E74" i="3"/>
  <c r="B74" i="3"/>
  <c r="H74" i="3"/>
  <c r="A75" i="3"/>
  <c r="D73" i="3"/>
  <c r="G73" i="3"/>
  <c r="F73" i="3"/>
  <c r="I73" i="3"/>
  <c r="J73" i="3"/>
  <c r="L73" i="3"/>
  <c r="C73" i="3"/>
  <c r="L74" i="2"/>
  <c r="C74" i="2"/>
  <c r="I74" i="2"/>
  <c r="G74" i="2"/>
  <c r="F74" i="2"/>
  <c r="J74" i="2"/>
  <c r="D74" i="2"/>
  <c r="A76" i="2"/>
  <c r="B75" i="2"/>
  <c r="E75" i="2"/>
  <c r="H75" i="2"/>
  <c r="I76" i="5" l="1"/>
  <c r="C76" i="5"/>
  <c r="L76" i="5"/>
  <c r="J76" i="5"/>
  <c r="F76" i="5"/>
  <c r="D76" i="5"/>
  <c r="G76" i="5"/>
  <c r="H77" i="5"/>
  <c r="A78" i="5"/>
  <c r="E77" i="5"/>
  <c r="B77" i="5"/>
  <c r="B75" i="3"/>
  <c r="E75" i="3"/>
  <c r="H75" i="3"/>
  <c r="A76" i="3"/>
  <c r="L74" i="3"/>
  <c r="D74" i="3"/>
  <c r="J74" i="3"/>
  <c r="G74" i="3"/>
  <c r="I74" i="3"/>
  <c r="C74" i="3"/>
  <c r="F74" i="3"/>
  <c r="B76" i="2"/>
  <c r="H76" i="2"/>
  <c r="E76" i="2"/>
  <c r="A77" i="2"/>
  <c r="D75" i="2"/>
  <c r="L75" i="2"/>
  <c r="J75" i="2"/>
  <c r="G75" i="2"/>
  <c r="I75" i="2"/>
  <c r="F75" i="2"/>
  <c r="C75" i="2"/>
  <c r="J77" i="5" l="1"/>
  <c r="F77" i="5"/>
  <c r="L77" i="5"/>
  <c r="I77" i="5"/>
  <c r="G77" i="5"/>
  <c r="D77" i="5"/>
  <c r="C77" i="5"/>
  <c r="H78" i="5"/>
  <c r="E78" i="5"/>
  <c r="B78" i="5"/>
  <c r="A79" i="5"/>
  <c r="A77" i="3"/>
  <c r="E76" i="3"/>
  <c r="H76" i="3"/>
  <c r="B76" i="3"/>
  <c r="D75" i="3"/>
  <c r="F75" i="3"/>
  <c r="J75" i="3"/>
  <c r="I75" i="3"/>
  <c r="L75" i="3"/>
  <c r="C75" i="3"/>
  <c r="G75" i="3"/>
  <c r="H77" i="2"/>
  <c r="A78" i="2"/>
  <c r="E77" i="2"/>
  <c r="B77" i="2"/>
  <c r="I76" i="2"/>
  <c r="D76" i="2"/>
  <c r="C76" i="2"/>
  <c r="L76" i="2"/>
  <c r="J76" i="2"/>
  <c r="G76" i="2"/>
  <c r="F76" i="2"/>
  <c r="A80" i="5" l="1"/>
  <c r="B79" i="5"/>
  <c r="H79" i="5"/>
  <c r="E79" i="5"/>
  <c r="L78" i="5"/>
  <c r="I78" i="5"/>
  <c r="J78" i="5"/>
  <c r="D78" i="5"/>
  <c r="C78" i="5"/>
  <c r="G78" i="5"/>
  <c r="F78" i="5"/>
  <c r="G76" i="3"/>
  <c r="C76" i="3"/>
  <c r="I76" i="3"/>
  <c r="J76" i="3"/>
  <c r="D76" i="3"/>
  <c r="L76" i="3"/>
  <c r="F76" i="3"/>
  <c r="H77" i="3"/>
  <c r="A78" i="3"/>
  <c r="E77" i="3"/>
  <c r="B77" i="3"/>
  <c r="J77" i="2"/>
  <c r="F77" i="2"/>
  <c r="D77" i="2"/>
  <c r="L77" i="2"/>
  <c r="I77" i="2"/>
  <c r="C77" i="2"/>
  <c r="G77" i="2"/>
  <c r="A79" i="2"/>
  <c r="E78" i="2"/>
  <c r="B78" i="2"/>
  <c r="H78" i="2"/>
  <c r="L79" i="5" l="1"/>
  <c r="J79" i="5"/>
  <c r="I79" i="5"/>
  <c r="G79" i="5"/>
  <c r="F79" i="5"/>
  <c r="D79" i="5"/>
  <c r="C79" i="5"/>
  <c r="B80" i="5"/>
  <c r="A81" i="5"/>
  <c r="H80" i="5"/>
  <c r="E80" i="5"/>
  <c r="J77" i="3"/>
  <c r="D77" i="3"/>
  <c r="I77" i="3"/>
  <c r="G77" i="3"/>
  <c r="F77" i="3"/>
  <c r="C77" i="3"/>
  <c r="L77" i="3"/>
  <c r="E78" i="3"/>
  <c r="H78" i="3"/>
  <c r="A79" i="3"/>
  <c r="B78" i="3"/>
  <c r="L78" i="2"/>
  <c r="J78" i="2"/>
  <c r="F78" i="2"/>
  <c r="I78" i="2"/>
  <c r="G78" i="2"/>
  <c r="D78" i="2"/>
  <c r="C78" i="2"/>
  <c r="B79" i="2"/>
  <c r="A80" i="2"/>
  <c r="H79" i="2"/>
  <c r="E79" i="2"/>
  <c r="C80" i="5" l="1"/>
  <c r="J80" i="5"/>
  <c r="L80" i="5"/>
  <c r="D80" i="5"/>
  <c r="G80" i="5"/>
  <c r="F80" i="5"/>
  <c r="I80" i="5"/>
  <c r="H81" i="5"/>
  <c r="B81" i="5"/>
  <c r="E81" i="5"/>
  <c r="A82" i="5"/>
  <c r="B79" i="3"/>
  <c r="E79" i="3"/>
  <c r="A80" i="3"/>
  <c r="H79" i="3"/>
  <c r="I78" i="3"/>
  <c r="G78" i="3"/>
  <c r="F78" i="3"/>
  <c r="D78" i="3"/>
  <c r="C78" i="3"/>
  <c r="J78" i="3"/>
  <c r="L78" i="3"/>
  <c r="J79" i="2"/>
  <c r="I79" i="2"/>
  <c r="G79" i="2"/>
  <c r="F79" i="2"/>
  <c r="C79" i="2"/>
  <c r="D79" i="2"/>
  <c r="L79" i="2"/>
  <c r="B80" i="2"/>
  <c r="A81" i="2"/>
  <c r="E80" i="2"/>
  <c r="H80" i="2"/>
  <c r="E82" i="5" l="1"/>
  <c r="A83" i="5"/>
  <c r="H82" i="5"/>
  <c r="B82" i="5"/>
  <c r="D81" i="5"/>
  <c r="L81" i="5"/>
  <c r="J81" i="5"/>
  <c r="F81" i="5"/>
  <c r="C81" i="5"/>
  <c r="G81" i="5"/>
  <c r="I81" i="5"/>
  <c r="H80" i="3"/>
  <c r="E80" i="3"/>
  <c r="A81" i="3"/>
  <c r="B80" i="3"/>
  <c r="I79" i="3"/>
  <c r="D79" i="3"/>
  <c r="J79" i="3"/>
  <c r="F79" i="3"/>
  <c r="L79" i="3"/>
  <c r="C79" i="3"/>
  <c r="G79" i="3"/>
  <c r="H81" i="2"/>
  <c r="A82" i="2"/>
  <c r="E81" i="2"/>
  <c r="B81" i="2"/>
  <c r="C80" i="2"/>
  <c r="F80" i="2"/>
  <c r="D80" i="2"/>
  <c r="I80" i="2"/>
  <c r="L80" i="2"/>
  <c r="J80" i="2"/>
  <c r="G80" i="2"/>
  <c r="I82" i="5" l="1"/>
  <c r="G82" i="5"/>
  <c r="L82" i="5"/>
  <c r="J82" i="5"/>
  <c r="F82" i="5"/>
  <c r="C82" i="5"/>
  <c r="D82" i="5"/>
  <c r="A84" i="5"/>
  <c r="H83" i="5"/>
  <c r="B83" i="5"/>
  <c r="E83" i="5"/>
  <c r="A82" i="3"/>
  <c r="B81" i="3"/>
  <c r="H81" i="3"/>
  <c r="E81" i="3"/>
  <c r="J80" i="3"/>
  <c r="F80" i="3"/>
  <c r="L80" i="3"/>
  <c r="I80" i="3"/>
  <c r="C80" i="3"/>
  <c r="G80" i="3"/>
  <c r="D80" i="3"/>
  <c r="L81" i="2"/>
  <c r="I81" i="2"/>
  <c r="J81" i="2"/>
  <c r="G81" i="2"/>
  <c r="C81" i="2"/>
  <c r="F81" i="2"/>
  <c r="D81" i="2"/>
  <c r="E82" i="2"/>
  <c r="A83" i="2"/>
  <c r="H82" i="2"/>
  <c r="B82" i="2"/>
  <c r="E84" i="5" l="1"/>
  <c r="B84" i="5"/>
  <c r="A85" i="5"/>
  <c r="H84" i="5"/>
  <c r="J83" i="5"/>
  <c r="G83" i="5"/>
  <c r="L83" i="5"/>
  <c r="I83" i="5"/>
  <c r="F83" i="5"/>
  <c r="D83" i="5"/>
  <c r="C83" i="5"/>
  <c r="L81" i="3"/>
  <c r="I81" i="3"/>
  <c r="D81" i="3"/>
  <c r="C81" i="3"/>
  <c r="G81" i="3"/>
  <c r="F81" i="3"/>
  <c r="J81" i="3"/>
  <c r="B82" i="3"/>
  <c r="A83" i="3"/>
  <c r="E82" i="3"/>
  <c r="H82" i="3"/>
  <c r="A84" i="2"/>
  <c r="H83" i="2"/>
  <c r="E83" i="2"/>
  <c r="B83" i="2"/>
  <c r="I82" i="2"/>
  <c r="C82" i="2"/>
  <c r="J82" i="2"/>
  <c r="L82" i="2"/>
  <c r="G82" i="2"/>
  <c r="F82" i="2"/>
  <c r="D82" i="2"/>
  <c r="B85" i="5" l="1"/>
  <c r="A86" i="5"/>
  <c r="H85" i="5"/>
  <c r="E85" i="5"/>
  <c r="L84" i="5"/>
  <c r="J84" i="5"/>
  <c r="I84" i="5"/>
  <c r="F84" i="5"/>
  <c r="D84" i="5"/>
  <c r="C84" i="5"/>
  <c r="G84" i="5"/>
  <c r="G82" i="3"/>
  <c r="C82" i="3"/>
  <c r="L82" i="3"/>
  <c r="J82" i="3"/>
  <c r="F82" i="3"/>
  <c r="D82" i="3"/>
  <c r="I82" i="3"/>
  <c r="E83" i="3"/>
  <c r="H83" i="3"/>
  <c r="B83" i="3"/>
  <c r="A84" i="3"/>
  <c r="C83" i="2"/>
  <c r="G83" i="2"/>
  <c r="F83" i="2"/>
  <c r="J83" i="2"/>
  <c r="I83" i="2"/>
  <c r="D83" i="2"/>
  <c r="L83" i="2"/>
  <c r="H84" i="2"/>
  <c r="E84" i="2"/>
  <c r="B84" i="2"/>
  <c r="A85" i="2"/>
  <c r="B86" i="5" l="1"/>
  <c r="A87" i="5"/>
  <c r="E86" i="5"/>
  <c r="H86" i="5"/>
  <c r="L85" i="5"/>
  <c r="J85" i="5"/>
  <c r="C85" i="5"/>
  <c r="I85" i="5"/>
  <c r="G85" i="5"/>
  <c r="F85" i="5"/>
  <c r="D85" i="5"/>
  <c r="E84" i="3"/>
  <c r="A85" i="3"/>
  <c r="H84" i="3"/>
  <c r="B84" i="3"/>
  <c r="J83" i="3"/>
  <c r="I83" i="3"/>
  <c r="L83" i="3"/>
  <c r="G83" i="3"/>
  <c r="C83" i="3"/>
  <c r="F83" i="3"/>
  <c r="D83" i="3"/>
  <c r="L84" i="2"/>
  <c r="I84" i="2"/>
  <c r="J84" i="2"/>
  <c r="F84" i="2"/>
  <c r="G84" i="2"/>
  <c r="D84" i="2"/>
  <c r="C84" i="2"/>
  <c r="B85" i="2"/>
  <c r="H85" i="2"/>
  <c r="A86" i="2"/>
  <c r="E85" i="2"/>
  <c r="H87" i="5" l="1"/>
  <c r="E87" i="5"/>
  <c r="B87" i="5"/>
  <c r="A88" i="5"/>
  <c r="G86" i="5"/>
  <c r="C86" i="5"/>
  <c r="D86" i="5"/>
  <c r="J86" i="5"/>
  <c r="I86" i="5"/>
  <c r="F86" i="5"/>
  <c r="L86" i="5"/>
  <c r="J84" i="3"/>
  <c r="L84" i="3"/>
  <c r="C84" i="3"/>
  <c r="G84" i="3"/>
  <c r="F84" i="3"/>
  <c r="D84" i="3"/>
  <c r="I84" i="3"/>
  <c r="E85" i="3"/>
  <c r="B85" i="3"/>
  <c r="A86" i="3"/>
  <c r="H85" i="3"/>
  <c r="E86" i="2"/>
  <c r="A87" i="2"/>
  <c r="H86" i="2"/>
  <c r="B86" i="2"/>
  <c r="G85" i="2"/>
  <c r="F85" i="2"/>
  <c r="L85" i="2"/>
  <c r="J85" i="2"/>
  <c r="I85" i="2"/>
  <c r="D85" i="2"/>
  <c r="C85" i="2"/>
  <c r="A89" i="5" l="1"/>
  <c r="H88" i="5"/>
  <c r="E88" i="5"/>
  <c r="B88" i="5"/>
  <c r="F87" i="5"/>
  <c r="D87" i="5"/>
  <c r="L87" i="5"/>
  <c r="G87" i="5"/>
  <c r="C87" i="5"/>
  <c r="I87" i="5"/>
  <c r="J87" i="5"/>
  <c r="C85" i="3"/>
  <c r="L85" i="3"/>
  <c r="J85" i="3"/>
  <c r="I85" i="3"/>
  <c r="G85" i="3"/>
  <c r="F85" i="3"/>
  <c r="D85" i="3"/>
  <c r="A87" i="3"/>
  <c r="H86" i="3"/>
  <c r="E86" i="3"/>
  <c r="B86" i="3"/>
  <c r="G86" i="2"/>
  <c r="L86" i="2"/>
  <c r="J86" i="2"/>
  <c r="I86" i="2"/>
  <c r="F86" i="2"/>
  <c r="D86" i="2"/>
  <c r="C86" i="2"/>
  <c r="H87" i="2"/>
  <c r="B87" i="2"/>
  <c r="E87" i="2"/>
  <c r="A88" i="2"/>
  <c r="I88" i="5" l="1"/>
  <c r="G88" i="5"/>
  <c r="L88" i="5"/>
  <c r="J88" i="5"/>
  <c r="C88" i="5"/>
  <c r="F88" i="5"/>
  <c r="D88" i="5"/>
  <c r="A90" i="5"/>
  <c r="B89" i="5"/>
  <c r="H89" i="5"/>
  <c r="E89" i="5"/>
  <c r="I86" i="3"/>
  <c r="F86" i="3"/>
  <c r="C86" i="3"/>
  <c r="G86" i="3"/>
  <c r="D86" i="3"/>
  <c r="J86" i="3"/>
  <c r="L86" i="3"/>
  <c r="B87" i="3"/>
  <c r="E87" i="3"/>
  <c r="H87" i="3"/>
  <c r="A88" i="3"/>
  <c r="E88" i="2"/>
  <c r="B88" i="2"/>
  <c r="H88" i="2"/>
  <c r="A89" i="2"/>
  <c r="D87" i="2"/>
  <c r="I87" i="2"/>
  <c r="G87" i="2"/>
  <c r="F87" i="2"/>
  <c r="C87" i="2"/>
  <c r="L87" i="2"/>
  <c r="J87" i="2"/>
  <c r="E90" i="5" l="1"/>
  <c r="H90" i="5"/>
  <c r="B90" i="5"/>
  <c r="A91" i="5"/>
  <c r="J89" i="5"/>
  <c r="C89" i="5"/>
  <c r="D89" i="5"/>
  <c r="I89" i="5"/>
  <c r="F89" i="5"/>
  <c r="L89" i="5"/>
  <c r="G89" i="5"/>
  <c r="H88" i="3"/>
  <c r="A89" i="3"/>
  <c r="E88" i="3"/>
  <c r="B88" i="3"/>
  <c r="G87" i="3"/>
  <c r="J87" i="3"/>
  <c r="D87" i="3"/>
  <c r="F87" i="3"/>
  <c r="I87" i="3"/>
  <c r="C87" i="3"/>
  <c r="L87" i="3"/>
  <c r="J88" i="2"/>
  <c r="L88" i="2"/>
  <c r="G88" i="2"/>
  <c r="C88" i="2"/>
  <c r="F88" i="2"/>
  <c r="D88" i="2"/>
  <c r="I88" i="2"/>
  <c r="A90" i="2"/>
  <c r="H89" i="2"/>
  <c r="E89" i="2"/>
  <c r="B89" i="2"/>
  <c r="B91" i="5" l="1"/>
  <c r="A92" i="5"/>
  <c r="H91" i="5"/>
  <c r="E91" i="5"/>
  <c r="L90" i="5"/>
  <c r="J90" i="5"/>
  <c r="G90" i="5"/>
  <c r="F90" i="5"/>
  <c r="D90" i="5"/>
  <c r="I90" i="5"/>
  <c r="C90" i="5"/>
  <c r="C88" i="3"/>
  <c r="D88" i="3"/>
  <c r="F88" i="3"/>
  <c r="L88" i="3"/>
  <c r="I88" i="3"/>
  <c r="G88" i="3"/>
  <c r="J88" i="3"/>
  <c r="B89" i="3"/>
  <c r="A90" i="3"/>
  <c r="E89" i="3"/>
  <c r="H89" i="3"/>
  <c r="J89" i="2"/>
  <c r="L89" i="2"/>
  <c r="I89" i="2"/>
  <c r="G89" i="2"/>
  <c r="D89" i="2"/>
  <c r="F89" i="2"/>
  <c r="C89" i="2"/>
  <c r="E90" i="2"/>
  <c r="B90" i="2"/>
  <c r="H90" i="2"/>
  <c r="A91" i="2"/>
  <c r="E92" i="5" l="1"/>
  <c r="B92" i="5"/>
  <c r="A93" i="5"/>
  <c r="H92" i="5"/>
  <c r="F91" i="5"/>
  <c r="L91" i="5"/>
  <c r="I91" i="5"/>
  <c r="J91" i="5"/>
  <c r="C91" i="5"/>
  <c r="G91" i="5"/>
  <c r="D91" i="5"/>
  <c r="A91" i="3"/>
  <c r="B90" i="3"/>
  <c r="H90" i="3"/>
  <c r="E90" i="3"/>
  <c r="F89" i="3"/>
  <c r="L89" i="3"/>
  <c r="C89" i="3"/>
  <c r="J89" i="3"/>
  <c r="G89" i="3"/>
  <c r="I89" i="3"/>
  <c r="D89" i="3"/>
  <c r="A92" i="2"/>
  <c r="H91" i="2"/>
  <c r="E91" i="2"/>
  <c r="B91" i="2"/>
  <c r="F90" i="2"/>
  <c r="C90" i="2"/>
  <c r="D90" i="2"/>
  <c r="J90" i="2"/>
  <c r="I90" i="2"/>
  <c r="G90" i="2"/>
  <c r="L90" i="2"/>
  <c r="H93" i="5" l="1"/>
  <c r="E93" i="5"/>
  <c r="A94" i="5"/>
  <c r="B93" i="5"/>
  <c r="G92" i="5"/>
  <c r="C92" i="5"/>
  <c r="L92" i="5"/>
  <c r="J92" i="5"/>
  <c r="I92" i="5"/>
  <c r="F92" i="5"/>
  <c r="D92" i="5"/>
  <c r="G90" i="3"/>
  <c r="D90" i="3"/>
  <c r="I90" i="3"/>
  <c r="C90" i="3"/>
  <c r="J90" i="3"/>
  <c r="F90" i="3"/>
  <c r="L90" i="3"/>
  <c r="E91" i="3"/>
  <c r="A92" i="3"/>
  <c r="H91" i="3"/>
  <c r="B91" i="3"/>
  <c r="F91" i="2"/>
  <c r="L91" i="2"/>
  <c r="C91" i="2"/>
  <c r="I91" i="2"/>
  <c r="D91" i="2"/>
  <c r="G91" i="2"/>
  <c r="J91" i="2"/>
  <c r="A93" i="2"/>
  <c r="E92" i="2"/>
  <c r="B92" i="2"/>
  <c r="H92" i="2"/>
  <c r="A95" i="5" l="1"/>
  <c r="H94" i="5"/>
  <c r="E94" i="5"/>
  <c r="B94" i="5"/>
  <c r="F93" i="5"/>
  <c r="J93" i="5"/>
  <c r="L93" i="5"/>
  <c r="G93" i="5"/>
  <c r="D93" i="5"/>
  <c r="C93" i="5"/>
  <c r="I93" i="5"/>
  <c r="J91" i="3"/>
  <c r="L91" i="3"/>
  <c r="G91" i="3"/>
  <c r="C91" i="3"/>
  <c r="F91" i="3"/>
  <c r="I91" i="3"/>
  <c r="D91" i="3"/>
  <c r="H92" i="3"/>
  <c r="B92" i="3"/>
  <c r="E92" i="3"/>
  <c r="A93" i="3"/>
  <c r="B93" i="2"/>
  <c r="A94" i="2"/>
  <c r="H93" i="2"/>
  <c r="E93" i="2"/>
  <c r="G92" i="2"/>
  <c r="C92" i="2"/>
  <c r="J92" i="2"/>
  <c r="D92" i="2"/>
  <c r="L92" i="2"/>
  <c r="F92" i="2"/>
  <c r="I92" i="2"/>
  <c r="L94" i="5" l="1"/>
  <c r="I94" i="5"/>
  <c r="J94" i="5"/>
  <c r="C94" i="5"/>
  <c r="G94" i="5"/>
  <c r="D94" i="5"/>
  <c r="F94" i="5"/>
  <c r="A96" i="5"/>
  <c r="B95" i="5"/>
  <c r="H95" i="5"/>
  <c r="E95" i="5"/>
  <c r="A94" i="3"/>
  <c r="E93" i="3"/>
  <c r="B93" i="3"/>
  <c r="H93" i="3"/>
  <c r="G92" i="3"/>
  <c r="L92" i="3"/>
  <c r="I92" i="3"/>
  <c r="D92" i="3"/>
  <c r="J92" i="3"/>
  <c r="F92" i="3"/>
  <c r="C92" i="3"/>
  <c r="E94" i="2"/>
  <c r="B94" i="2"/>
  <c r="H94" i="2"/>
  <c r="A95" i="2"/>
  <c r="C93" i="2"/>
  <c r="L93" i="2"/>
  <c r="J93" i="2"/>
  <c r="G93" i="2"/>
  <c r="F93" i="2"/>
  <c r="D93" i="2"/>
  <c r="I93" i="2"/>
  <c r="D95" i="5" l="1"/>
  <c r="C95" i="5"/>
  <c r="G95" i="5"/>
  <c r="J95" i="5"/>
  <c r="I95" i="5"/>
  <c r="F95" i="5"/>
  <c r="L95" i="5"/>
  <c r="E96" i="5"/>
  <c r="H96" i="5"/>
  <c r="A97" i="5"/>
  <c r="B96" i="5"/>
  <c r="I93" i="3"/>
  <c r="D93" i="3"/>
  <c r="J93" i="3"/>
  <c r="F93" i="3"/>
  <c r="L93" i="3"/>
  <c r="G93" i="3"/>
  <c r="C93" i="3"/>
  <c r="E94" i="3"/>
  <c r="H94" i="3"/>
  <c r="A95" i="3"/>
  <c r="B94" i="3"/>
  <c r="A96" i="2"/>
  <c r="H95" i="2"/>
  <c r="E95" i="2"/>
  <c r="B95" i="2"/>
  <c r="I94" i="2"/>
  <c r="G94" i="2"/>
  <c r="D94" i="2"/>
  <c r="C94" i="2"/>
  <c r="F94" i="2"/>
  <c r="L94" i="2"/>
  <c r="J94" i="2"/>
  <c r="J96" i="5" l="1"/>
  <c r="L96" i="5"/>
  <c r="G96" i="5"/>
  <c r="F96" i="5"/>
  <c r="D96" i="5"/>
  <c r="I96" i="5"/>
  <c r="C96" i="5"/>
  <c r="B97" i="5"/>
  <c r="A98" i="5"/>
  <c r="H97" i="5"/>
  <c r="E97" i="5"/>
  <c r="G94" i="3"/>
  <c r="C94" i="3"/>
  <c r="D94" i="3"/>
  <c r="J94" i="3"/>
  <c r="I94" i="3"/>
  <c r="F94" i="3"/>
  <c r="L94" i="3"/>
  <c r="A96" i="3"/>
  <c r="B95" i="3"/>
  <c r="H95" i="3"/>
  <c r="E95" i="3"/>
  <c r="J95" i="2"/>
  <c r="L95" i="2"/>
  <c r="I95" i="2"/>
  <c r="F95" i="2"/>
  <c r="G95" i="2"/>
  <c r="D95" i="2"/>
  <c r="C95" i="2"/>
  <c r="E96" i="2"/>
  <c r="B96" i="2"/>
  <c r="H96" i="2"/>
  <c r="A97" i="2"/>
  <c r="E98" i="5" l="1"/>
  <c r="B98" i="5"/>
  <c r="H98" i="5"/>
  <c r="A99" i="5"/>
  <c r="F97" i="5"/>
  <c r="D97" i="5"/>
  <c r="L97" i="5"/>
  <c r="J97" i="5"/>
  <c r="I97" i="5"/>
  <c r="G97" i="5"/>
  <c r="C97" i="5"/>
  <c r="D95" i="3"/>
  <c r="J95" i="3"/>
  <c r="G95" i="3"/>
  <c r="F95" i="3"/>
  <c r="C95" i="3"/>
  <c r="I95" i="3"/>
  <c r="L95" i="3"/>
  <c r="E96" i="3"/>
  <c r="A97" i="3"/>
  <c r="B96" i="3"/>
  <c r="H96" i="3"/>
  <c r="B97" i="2"/>
  <c r="H97" i="2"/>
  <c r="E97" i="2"/>
  <c r="A98" i="2"/>
  <c r="L96" i="2"/>
  <c r="J96" i="2"/>
  <c r="I96" i="2"/>
  <c r="F96" i="2"/>
  <c r="G96" i="2"/>
  <c r="C96" i="2"/>
  <c r="D96" i="2"/>
  <c r="L98" i="5" l="1"/>
  <c r="G98" i="5"/>
  <c r="C98" i="5"/>
  <c r="I98" i="5"/>
  <c r="F98" i="5"/>
  <c r="D98" i="5"/>
  <c r="J98" i="5"/>
  <c r="H99" i="5"/>
  <c r="A100" i="5"/>
  <c r="E99" i="5"/>
  <c r="B99" i="5"/>
  <c r="L96" i="3"/>
  <c r="I96" i="3"/>
  <c r="G96" i="3"/>
  <c r="J96" i="3"/>
  <c r="D96" i="3"/>
  <c r="C96" i="3"/>
  <c r="F96" i="3"/>
  <c r="B97" i="3"/>
  <c r="A98" i="3"/>
  <c r="H97" i="3"/>
  <c r="E97" i="3"/>
  <c r="H98" i="2"/>
  <c r="A99" i="2"/>
  <c r="E98" i="2"/>
  <c r="B98" i="2"/>
  <c r="F97" i="2"/>
  <c r="D97" i="2"/>
  <c r="G97" i="2"/>
  <c r="C97" i="2"/>
  <c r="J97" i="2"/>
  <c r="L97" i="2"/>
  <c r="I97" i="2"/>
  <c r="J99" i="5" l="1"/>
  <c r="L99" i="5"/>
  <c r="G99" i="5"/>
  <c r="F99" i="5"/>
  <c r="D99" i="5"/>
  <c r="I99" i="5"/>
  <c r="C99" i="5"/>
  <c r="A101" i="5"/>
  <c r="E100" i="5"/>
  <c r="B100" i="5"/>
  <c r="H100" i="5"/>
  <c r="H98" i="3"/>
  <c r="E98" i="3"/>
  <c r="B98" i="3"/>
  <c r="A99" i="3"/>
  <c r="D97" i="3"/>
  <c r="C97" i="3"/>
  <c r="I97" i="3"/>
  <c r="G97" i="3"/>
  <c r="L97" i="3"/>
  <c r="F97" i="3"/>
  <c r="J97" i="3"/>
  <c r="L98" i="2"/>
  <c r="J98" i="2"/>
  <c r="I98" i="2"/>
  <c r="G98" i="2"/>
  <c r="F98" i="2"/>
  <c r="D98" i="2"/>
  <c r="C98" i="2"/>
  <c r="H99" i="2"/>
  <c r="E99" i="2"/>
  <c r="B99" i="2"/>
  <c r="A100" i="2"/>
  <c r="L100" i="5" l="1"/>
  <c r="I100" i="5"/>
  <c r="F100" i="5"/>
  <c r="G100" i="5"/>
  <c r="D100" i="5"/>
  <c r="C100" i="5"/>
  <c r="J100" i="5"/>
  <c r="A102" i="5"/>
  <c r="E101" i="5"/>
  <c r="B101" i="5"/>
  <c r="H101" i="5"/>
  <c r="L98" i="3"/>
  <c r="F98" i="3"/>
  <c r="J98" i="3"/>
  <c r="I98" i="3"/>
  <c r="G98" i="3"/>
  <c r="C98" i="3"/>
  <c r="D98" i="3"/>
  <c r="B99" i="3"/>
  <c r="A100" i="3"/>
  <c r="H99" i="3"/>
  <c r="E99" i="3"/>
  <c r="B100" i="2"/>
  <c r="H100" i="2"/>
  <c r="E100" i="2"/>
  <c r="A101" i="2"/>
  <c r="F99" i="2"/>
  <c r="L99" i="2"/>
  <c r="D99" i="2"/>
  <c r="C99" i="2"/>
  <c r="I99" i="2"/>
  <c r="G99" i="2"/>
  <c r="J99" i="2"/>
  <c r="E102" i="5" l="1"/>
  <c r="H102" i="5"/>
  <c r="A103" i="5"/>
  <c r="B102" i="5"/>
  <c r="D101" i="5"/>
  <c r="C101" i="5"/>
  <c r="J101" i="5"/>
  <c r="I101" i="5"/>
  <c r="L101" i="5"/>
  <c r="G101" i="5"/>
  <c r="F101" i="5"/>
  <c r="E100" i="3"/>
  <c r="A101" i="3"/>
  <c r="H100" i="3"/>
  <c r="B100" i="3"/>
  <c r="I99" i="3"/>
  <c r="J99" i="3"/>
  <c r="F99" i="3"/>
  <c r="L99" i="3"/>
  <c r="G99" i="3"/>
  <c r="C99" i="3"/>
  <c r="D99" i="3"/>
  <c r="A102" i="2"/>
  <c r="H101" i="2"/>
  <c r="E101" i="2"/>
  <c r="B101" i="2"/>
  <c r="L100" i="2"/>
  <c r="J100" i="2"/>
  <c r="I100" i="2"/>
  <c r="F100" i="2"/>
  <c r="D100" i="2"/>
  <c r="C100" i="2"/>
  <c r="G100" i="2"/>
  <c r="A104" i="5" l="1"/>
  <c r="E103" i="5"/>
  <c r="B103" i="5"/>
  <c r="H103" i="5"/>
  <c r="C102" i="5"/>
  <c r="L102" i="5"/>
  <c r="I102" i="5"/>
  <c r="G102" i="5"/>
  <c r="F102" i="5"/>
  <c r="J102" i="5"/>
  <c r="D102" i="5"/>
  <c r="D100" i="3"/>
  <c r="F100" i="3"/>
  <c r="L100" i="3"/>
  <c r="C100" i="3"/>
  <c r="G100" i="3"/>
  <c r="J100" i="3"/>
  <c r="I100" i="3"/>
  <c r="E101" i="3"/>
  <c r="A102" i="3"/>
  <c r="H101" i="3"/>
  <c r="B101" i="3"/>
  <c r="D101" i="2"/>
  <c r="G101" i="2"/>
  <c r="F101" i="2"/>
  <c r="C101" i="2"/>
  <c r="L101" i="2"/>
  <c r="J101" i="2"/>
  <c r="I101" i="2"/>
  <c r="E102" i="2"/>
  <c r="A103" i="2"/>
  <c r="H102" i="2"/>
  <c r="B102" i="2"/>
  <c r="J103" i="5" l="1"/>
  <c r="F103" i="5"/>
  <c r="D103" i="5"/>
  <c r="G103" i="5"/>
  <c r="C103" i="5"/>
  <c r="L103" i="5"/>
  <c r="I103" i="5"/>
  <c r="B104" i="5"/>
  <c r="A105" i="5"/>
  <c r="H104" i="5"/>
  <c r="E104" i="5"/>
  <c r="D101" i="3"/>
  <c r="F101" i="3"/>
  <c r="G101" i="3"/>
  <c r="C101" i="3"/>
  <c r="L101" i="3"/>
  <c r="I101" i="3"/>
  <c r="J101" i="3"/>
  <c r="E102" i="3"/>
  <c r="A103" i="3"/>
  <c r="H102" i="3"/>
  <c r="B102" i="3"/>
  <c r="A104" i="2"/>
  <c r="E103" i="2"/>
  <c r="H103" i="2"/>
  <c r="B103" i="2"/>
  <c r="L102" i="2"/>
  <c r="J102" i="2"/>
  <c r="G102" i="2"/>
  <c r="D102" i="2"/>
  <c r="I102" i="2"/>
  <c r="C102" i="2"/>
  <c r="F102" i="2"/>
  <c r="A106" i="5" l="1"/>
  <c r="H105" i="5"/>
  <c r="E105" i="5"/>
  <c r="B105" i="5"/>
  <c r="L104" i="5"/>
  <c r="I104" i="5"/>
  <c r="G104" i="5"/>
  <c r="D104" i="5"/>
  <c r="C104" i="5"/>
  <c r="F104" i="5"/>
  <c r="J104" i="5"/>
  <c r="C102" i="3"/>
  <c r="I102" i="3"/>
  <c r="L102" i="3"/>
  <c r="F102" i="3"/>
  <c r="J102" i="3"/>
  <c r="D102" i="3"/>
  <c r="G102" i="3"/>
  <c r="A104" i="3"/>
  <c r="H103" i="3"/>
  <c r="B103" i="3"/>
  <c r="E103" i="3"/>
  <c r="J103" i="2"/>
  <c r="I103" i="2"/>
  <c r="G103" i="2"/>
  <c r="F103" i="2"/>
  <c r="C103" i="2"/>
  <c r="L103" i="2"/>
  <c r="D103" i="2"/>
  <c r="E104" i="2"/>
  <c r="B104" i="2"/>
  <c r="H104" i="2"/>
  <c r="A105" i="2"/>
  <c r="J105" i="5" l="1"/>
  <c r="L105" i="5"/>
  <c r="G105" i="5"/>
  <c r="F105" i="5"/>
  <c r="D105" i="5"/>
  <c r="I105" i="5"/>
  <c r="C105" i="5"/>
  <c r="A107" i="5"/>
  <c r="H106" i="5"/>
  <c r="E106" i="5"/>
  <c r="B106" i="5"/>
  <c r="J103" i="3"/>
  <c r="I103" i="3"/>
  <c r="D103" i="3"/>
  <c r="F103" i="3"/>
  <c r="L103" i="3"/>
  <c r="G103" i="3"/>
  <c r="C103" i="3"/>
  <c r="E104" i="3"/>
  <c r="A105" i="3"/>
  <c r="B104" i="3"/>
  <c r="H104" i="3"/>
  <c r="A106" i="2"/>
  <c r="B105" i="2"/>
  <c r="H105" i="2"/>
  <c r="E105" i="2"/>
  <c r="L104" i="2"/>
  <c r="G104" i="2"/>
  <c r="F104" i="2"/>
  <c r="D104" i="2"/>
  <c r="C104" i="2"/>
  <c r="I104" i="2"/>
  <c r="J104" i="2"/>
  <c r="C106" i="5" l="1"/>
  <c r="F106" i="5"/>
  <c r="L106" i="5"/>
  <c r="G106" i="5"/>
  <c r="J106" i="5"/>
  <c r="I106" i="5"/>
  <c r="D106" i="5"/>
  <c r="B107" i="5"/>
  <c r="E107" i="5"/>
  <c r="A108" i="5"/>
  <c r="H107" i="5"/>
  <c r="A106" i="3"/>
  <c r="H105" i="3"/>
  <c r="E105" i="3"/>
  <c r="B105" i="3"/>
  <c r="L104" i="3"/>
  <c r="C104" i="3"/>
  <c r="G104" i="3"/>
  <c r="F104" i="3"/>
  <c r="D104" i="3"/>
  <c r="J104" i="3"/>
  <c r="I104" i="3"/>
  <c r="I105" i="2"/>
  <c r="C105" i="2"/>
  <c r="F105" i="2"/>
  <c r="D105" i="2"/>
  <c r="G105" i="2"/>
  <c r="L105" i="2"/>
  <c r="J105" i="2"/>
  <c r="A107" i="2"/>
  <c r="B106" i="2"/>
  <c r="H106" i="2"/>
  <c r="E106" i="2"/>
  <c r="D107" i="5" l="1"/>
  <c r="F107" i="5"/>
  <c r="C107" i="5"/>
  <c r="L107" i="5"/>
  <c r="J107" i="5"/>
  <c r="I107" i="5"/>
  <c r="G107" i="5"/>
  <c r="E108" i="5"/>
  <c r="A109" i="5"/>
  <c r="H108" i="5"/>
  <c r="B108" i="5"/>
  <c r="J105" i="3"/>
  <c r="C105" i="3"/>
  <c r="D105" i="3"/>
  <c r="I105" i="3"/>
  <c r="L105" i="3"/>
  <c r="F105" i="3"/>
  <c r="G105" i="3"/>
  <c r="A107" i="3"/>
  <c r="H106" i="3"/>
  <c r="E106" i="3"/>
  <c r="B106" i="3"/>
  <c r="E107" i="2"/>
  <c r="B107" i="2"/>
  <c r="A108" i="2"/>
  <c r="H107" i="2"/>
  <c r="L106" i="2"/>
  <c r="C106" i="2"/>
  <c r="J106" i="2"/>
  <c r="I106" i="2"/>
  <c r="G106" i="2"/>
  <c r="F106" i="2"/>
  <c r="D106" i="2"/>
  <c r="I108" i="5" l="1"/>
  <c r="C108" i="5"/>
  <c r="J108" i="5"/>
  <c r="G108" i="5"/>
  <c r="F108" i="5"/>
  <c r="L108" i="5"/>
  <c r="D108" i="5"/>
  <c r="H109" i="5"/>
  <c r="A110" i="5"/>
  <c r="B109" i="5"/>
  <c r="E109" i="5"/>
  <c r="C106" i="3"/>
  <c r="F106" i="3"/>
  <c r="I106" i="3"/>
  <c r="G106" i="3"/>
  <c r="D106" i="3"/>
  <c r="J106" i="3"/>
  <c r="L106" i="3"/>
  <c r="E107" i="3"/>
  <c r="H107" i="3"/>
  <c r="A108" i="3"/>
  <c r="B107" i="3"/>
  <c r="H108" i="2"/>
  <c r="B108" i="2"/>
  <c r="E108" i="2"/>
  <c r="A109" i="2"/>
  <c r="D107" i="2"/>
  <c r="C107" i="2"/>
  <c r="L107" i="2"/>
  <c r="I107" i="2"/>
  <c r="G107" i="2"/>
  <c r="F107" i="2"/>
  <c r="J107" i="2"/>
  <c r="E110" i="5" l="1"/>
  <c r="B110" i="5"/>
  <c r="A111" i="5"/>
  <c r="H110" i="5"/>
  <c r="J109" i="5"/>
  <c r="F109" i="5"/>
  <c r="D109" i="5"/>
  <c r="C109" i="5"/>
  <c r="L109" i="5"/>
  <c r="I109" i="5"/>
  <c r="G109" i="5"/>
  <c r="D107" i="3"/>
  <c r="C107" i="3"/>
  <c r="F107" i="3"/>
  <c r="I107" i="3"/>
  <c r="L107" i="3"/>
  <c r="J107" i="3"/>
  <c r="G107" i="3"/>
  <c r="H108" i="3"/>
  <c r="B108" i="3"/>
  <c r="A109" i="3"/>
  <c r="E108" i="3"/>
  <c r="A110" i="2"/>
  <c r="H109" i="2"/>
  <c r="E109" i="2"/>
  <c r="B109" i="2"/>
  <c r="I108" i="2"/>
  <c r="F108" i="2"/>
  <c r="G108" i="2"/>
  <c r="J108" i="2"/>
  <c r="D108" i="2"/>
  <c r="L108" i="2"/>
  <c r="C108" i="2"/>
  <c r="A112" i="5" l="1"/>
  <c r="B111" i="5"/>
  <c r="H111" i="5"/>
  <c r="E111" i="5"/>
  <c r="L110" i="5"/>
  <c r="I110" i="5"/>
  <c r="C110" i="5"/>
  <c r="D110" i="5"/>
  <c r="J110" i="5"/>
  <c r="F110" i="5"/>
  <c r="G110" i="5"/>
  <c r="A110" i="3"/>
  <c r="H109" i="3"/>
  <c r="B109" i="3"/>
  <c r="E109" i="3"/>
  <c r="C108" i="3"/>
  <c r="I108" i="3"/>
  <c r="G108" i="3"/>
  <c r="L108" i="3"/>
  <c r="J108" i="3"/>
  <c r="F108" i="3"/>
  <c r="D108" i="3"/>
  <c r="J109" i="2"/>
  <c r="F109" i="2"/>
  <c r="D109" i="2"/>
  <c r="I109" i="2"/>
  <c r="L109" i="2"/>
  <c r="G109" i="2"/>
  <c r="C109" i="2"/>
  <c r="B110" i="2"/>
  <c r="E110" i="2"/>
  <c r="A111" i="2"/>
  <c r="H110" i="2"/>
  <c r="L111" i="5" l="1"/>
  <c r="I111" i="5"/>
  <c r="G111" i="5"/>
  <c r="F111" i="5"/>
  <c r="D111" i="5"/>
  <c r="C111" i="5"/>
  <c r="J111" i="5"/>
  <c r="A113" i="5"/>
  <c r="B112" i="5"/>
  <c r="H112" i="5"/>
  <c r="E112" i="5"/>
  <c r="C109" i="3"/>
  <c r="G109" i="3"/>
  <c r="J109" i="3"/>
  <c r="F109" i="3"/>
  <c r="L109" i="3"/>
  <c r="D109" i="3"/>
  <c r="I109" i="3"/>
  <c r="E110" i="3"/>
  <c r="A111" i="3"/>
  <c r="B110" i="3"/>
  <c r="H110" i="3"/>
  <c r="B111" i="2"/>
  <c r="E111" i="2"/>
  <c r="A112" i="2"/>
  <c r="H111" i="2"/>
  <c r="I110" i="2"/>
  <c r="L110" i="2"/>
  <c r="J110" i="2"/>
  <c r="G110" i="2"/>
  <c r="C110" i="2"/>
  <c r="D110" i="2"/>
  <c r="F110" i="2"/>
  <c r="C112" i="5" l="1"/>
  <c r="L112" i="5"/>
  <c r="J112" i="5"/>
  <c r="F112" i="5"/>
  <c r="I112" i="5"/>
  <c r="G112" i="5"/>
  <c r="D112" i="5"/>
  <c r="H113" i="5"/>
  <c r="B113" i="5"/>
  <c r="E113" i="5"/>
  <c r="A114" i="5"/>
  <c r="F110" i="3"/>
  <c r="J110" i="3"/>
  <c r="C110" i="3"/>
  <c r="L110" i="3"/>
  <c r="I110" i="3"/>
  <c r="G110" i="3"/>
  <c r="D110" i="3"/>
  <c r="H111" i="3"/>
  <c r="A112" i="3"/>
  <c r="B111" i="3"/>
  <c r="E111" i="3"/>
  <c r="H112" i="2"/>
  <c r="A113" i="2"/>
  <c r="E112" i="2"/>
  <c r="B112" i="2"/>
  <c r="J111" i="2"/>
  <c r="D111" i="2"/>
  <c r="G111" i="2"/>
  <c r="F111" i="2"/>
  <c r="C111" i="2"/>
  <c r="I111" i="2"/>
  <c r="L111" i="2"/>
  <c r="D113" i="5" l="1"/>
  <c r="F113" i="5"/>
  <c r="C113" i="5"/>
  <c r="L113" i="5"/>
  <c r="J113" i="5"/>
  <c r="I113" i="5"/>
  <c r="G113" i="5"/>
  <c r="E114" i="5"/>
  <c r="A115" i="5"/>
  <c r="H114" i="5"/>
  <c r="B114" i="5"/>
  <c r="J111" i="3"/>
  <c r="I111" i="3"/>
  <c r="L111" i="3"/>
  <c r="G111" i="3"/>
  <c r="D111" i="3"/>
  <c r="C111" i="3"/>
  <c r="F111" i="3"/>
  <c r="E112" i="3"/>
  <c r="B112" i="3"/>
  <c r="H112" i="3"/>
  <c r="A113" i="3"/>
  <c r="C112" i="2"/>
  <c r="L112" i="2"/>
  <c r="I112" i="2"/>
  <c r="J112" i="2"/>
  <c r="G112" i="2"/>
  <c r="D112" i="2"/>
  <c r="F112" i="2"/>
  <c r="H113" i="2"/>
  <c r="A114" i="2"/>
  <c r="E113" i="2"/>
  <c r="B113" i="2"/>
  <c r="I114" i="5" l="1"/>
  <c r="G114" i="5"/>
  <c r="L114" i="5"/>
  <c r="J114" i="5"/>
  <c r="F114" i="5"/>
  <c r="C114" i="5"/>
  <c r="D114" i="5"/>
  <c r="A116" i="5"/>
  <c r="H115" i="5"/>
  <c r="B115" i="5"/>
  <c r="E115" i="5"/>
  <c r="C112" i="3"/>
  <c r="F112" i="3"/>
  <c r="D112" i="3"/>
  <c r="J112" i="3"/>
  <c r="G112" i="3"/>
  <c r="L112" i="3"/>
  <c r="I112" i="3"/>
  <c r="A114" i="3"/>
  <c r="H113" i="3"/>
  <c r="E113" i="3"/>
  <c r="B113" i="3"/>
  <c r="G113" i="2"/>
  <c r="F113" i="2"/>
  <c r="C113" i="2"/>
  <c r="L113" i="2"/>
  <c r="J113" i="2"/>
  <c r="D113" i="2"/>
  <c r="I113" i="2"/>
  <c r="E114" i="2"/>
  <c r="A115" i="2"/>
  <c r="H114" i="2"/>
  <c r="B114" i="2"/>
  <c r="J115" i="5" l="1"/>
  <c r="L115" i="5"/>
  <c r="G115" i="5"/>
  <c r="C115" i="5"/>
  <c r="I115" i="5"/>
  <c r="F115" i="5"/>
  <c r="D115" i="5"/>
  <c r="E116" i="5"/>
  <c r="B116" i="5"/>
  <c r="A117" i="5"/>
  <c r="H116" i="5"/>
  <c r="G113" i="3"/>
  <c r="I113" i="3"/>
  <c r="C113" i="3"/>
  <c r="D113" i="3"/>
  <c r="J113" i="3"/>
  <c r="F113" i="3"/>
  <c r="L113" i="3"/>
  <c r="A115" i="3"/>
  <c r="H114" i="3"/>
  <c r="B114" i="3"/>
  <c r="E114" i="3"/>
  <c r="I114" i="2"/>
  <c r="C114" i="2"/>
  <c r="L114" i="2"/>
  <c r="J114" i="2"/>
  <c r="G114" i="2"/>
  <c r="F114" i="2"/>
  <c r="D114" i="2"/>
  <c r="A116" i="2"/>
  <c r="H115" i="2"/>
  <c r="E115" i="2"/>
  <c r="B115" i="2"/>
  <c r="L116" i="5" l="1"/>
  <c r="F116" i="5"/>
  <c r="D116" i="5"/>
  <c r="C116" i="5"/>
  <c r="J116" i="5"/>
  <c r="I116" i="5"/>
  <c r="G116" i="5"/>
  <c r="B117" i="5"/>
  <c r="A118" i="5"/>
  <c r="H117" i="5"/>
  <c r="E117" i="5"/>
  <c r="G114" i="3"/>
  <c r="L114" i="3"/>
  <c r="J114" i="3"/>
  <c r="D114" i="3"/>
  <c r="C114" i="3"/>
  <c r="F114" i="3"/>
  <c r="I114" i="3"/>
  <c r="A116" i="3"/>
  <c r="H115" i="3"/>
  <c r="B115" i="3"/>
  <c r="E115" i="3"/>
  <c r="I115" i="2"/>
  <c r="G115" i="2"/>
  <c r="F115" i="2"/>
  <c r="D115" i="2"/>
  <c r="C115" i="2"/>
  <c r="L115" i="2"/>
  <c r="J115" i="2"/>
  <c r="A117" i="2"/>
  <c r="E116" i="2"/>
  <c r="B116" i="2"/>
  <c r="H116" i="2"/>
  <c r="J117" i="5" l="1"/>
  <c r="I117" i="5"/>
  <c r="G117" i="5"/>
  <c r="L117" i="5"/>
  <c r="F117" i="5"/>
  <c r="C117" i="5"/>
  <c r="D117" i="5"/>
  <c r="A119" i="5"/>
  <c r="B118" i="5"/>
  <c r="E118" i="5"/>
  <c r="H118" i="5"/>
  <c r="D115" i="3"/>
  <c r="C115" i="3"/>
  <c r="J115" i="3"/>
  <c r="L115" i="3"/>
  <c r="G115" i="3"/>
  <c r="F115" i="3"/>
  <c r="I115" i="3"/>
  <c r="E116" i="3"/>
  <c r="H116" i="3"/>
  <c r="A117" i="3"/>
  <c r="B116" i="3"/>
  <c r="L116" i="2"/>
  <c r="I116" i="2"/>
  <c r="D116" i="2"/>
  <c r="C116" i="2"/>
  <c r="F116" i="2"/>
  <c r="G116" i="2"/>
  <c r="J116" i="2"/>
  <c r="B117" i="2"/>
  <c r="A118" i="2"/>
  <c r="H117" i="2"/>
  <c r="E117" i="2"/>
  <c r="G118" i="5" l="1"/>
  <c r="C118" i="5"/>
  <c r="D118" i="5"/>
  <c r="I118" i="5"/>
  <c r="F118" i="5"/>
  <c r="L118" i="5"/>
  <c r="J118" i="5"/>
  <c r="H119" i="5"/>
  <c r="B119" i="5"/>
  <c r="E119" i="5"/>
  <c r="A120" i="5"/>
  <c r="G116" i="3"/>
  <c r="L116" i="3"/>
  <c r="F116" i="3"/>
  <c r="C116" i="3"/>
  <c r="I116" i="3"/>
  <c r="J116" i="3"/>
  <c r="D116" i="3"/>
  <c r="E117" i="3"/>
  <c r="H117" i="3"/>
  <c r="B117" i="3"/>
  <c r="A118" i="3"/>
  <c r="L117" i="2"/>
  <c r="I117" i="2"/>
  <c r="J117" i="2"/>
  <c r="G117" i="2"/>
  <c r="C117" i="2"/>
  <c r="F117" i="2"/>
  <c r="D117" i="2"/>
  <c r="E118" i="2"/>
  <c r="B118" i="2"/>
  <c r="H118" i="2"/>
  <c r="A119" i="2"/>
  <c r="A121" i="5" l="1"/>
  <c r="H120" i="5"/>
  <c r="B120" i="5"/>
  <c r="E120" i="5"/>
  <c r="F119" i="5"/>
  <c r="D119" i="5"/>
  <c r="G119" i="5"/>
  <c r="C119" i="5"/>
  <c r="L119" i="5"/>
  <c r="I119" i="5"/>
  <c r="J119" i="5"/>
  <c r="B118" i="3"/>
  <c r="E118" i="3"/>
  <c r="H118" i="3"/>
  <c r="A119" i="3"/>
  <c r="J117" i="3"/>
  <c r="L117" i="3"/>
  <c r="I117" i="3"/>
  <c r="G117" i="3"/>
  <c r="C117" i="3"/>
  <c r="F117" i="3"/>
  <c r="D117" i="3"/>
  <c r="H119" i="2"/>
  <c r="B119" i="2"/>
  <c r="A120" i="2"/>
  <c r="E119" i="2"/>
  <c r="G118" i="2"/>
  <c r="F118" i="2"/>
  <c r="C118" i="2"/>
  <c r="D118" i="2"/>
  <c r="L118" i="2"/>
  <c r="J118" i="2"/>
  <c r="I118" i="2"/>
  <c r="I120" i="5" l="1"/>
  <c r="G120" i="5"/>
  <c r="L120" i="5"/>
  <c r="J120" i="5"/>
  <c r="F120" i="5"/>
  <c r="C120" i="5"/>
  <c r="D120" i="5"/>
  <c r="A122" i="5"/>
  <c r="B121" i="5"/>
  <c r="E121" i="5"/>
  <c r="H121" i="5"/>
  <c r="H119" i="3"/>
  <c r="E119" i="3"/>
  <c r="B119" i="3"/>
  <c r="A120" i="3"/>
  <c r="D118" i="3"/>
  <c r="C118" i="3"/>
  <c r="F118" i="3"/>
  <c r="G118" i="3"/>
  <c r="I118" i="3"/>
  <c r="J118" i="3"/>
  <c r="L118" i="3"/>
  <c r="A121" i="2"/>
  <c r="H120" i="2"/>
  <c r="B120" i="2"/>
  <c r="E120" i="2"/>
  <c r="D119" i="2"/>
  <c r="L119" i="2"/>
  <c r="I119" i="2"/>
  <c r="F119" i="2"/>
  <c r="J119" i="2"/>
  <c r="G119" i="2"/>
  <c r="C119" i="2"/>
  <c r="J121" i="5" l="1"/>
  <c r="C121" i="5"/>
  <c r="L121" i="5"/>
  <c r="I121" i="5"/>
  <c r="D121" i="5"/>
  <c r="G121" i="5"/>
  <c r="F121" i="5"/>
  <c r="E122" i="5"/>
  <c r="H122" i="5"/>
  <c r="B122" i="5"/>
  <c r="A123" i="5"/>
  <c r="F119" i="3"/>
  <c r="L119" i="3"/>
  <c r="D119" i="3"/>
  <c r="C119" i="3"/>
  <c r="G119" i="3"/>
  <c r="I119" i="3"/>
  <c r="J119" i="3"/>
  <c r="A121" i="3"/>
  <c r="B120" i="3"/>
  <c r="E120" i="3"/>
  <c r="H120" i="3"/>
  <c r="L120" i="2"/>
  <c r="G120" i="2"/>
  <c r="F120" i="2"/>
  <c r="D120" i="2"/>
  <c r="J120" i="2"/>
  <c r="I120" i="2"/>
  <c r="C120" i="2"/>
  <c r="A122" i="2"/>
  <c r="H121" i="2"/>
  <c r="B121" i="2"/>
  <c r="E121" i="2"/>
  <c r="B123" i="5" l="1"/>
  <c r="A124" i="5"/>
  <c r="H123" i="5"/>
  <c r="E123" i="5"/>
  <c r="G122" i="5"/>
  <c r="F122" i="5"/>
  <c r="D122" i="5"/>
  <c r="C122" i="5"/>
  <c r="L122" i="5"/>
  <c r="J122" i="5"/>
  <c r="I122" i="5"/>
  <c r="I120" i="3"/>
  <c r="G120" i="3"/>
  <c r="F120" i="3"/>
  <c r="L120" i="3"/>
  <c r="D120" i="3"/>
  <c r="C120" i="3"/>
  <c r="J120" i="3"/>
  <c r="H121" i="3"/>
  <c r="B121" i="3"/>
  <c r="A122" i="3"/>
  <c r="E121" i="3"/>
  <c r="J121" i="2"/>
  <c r="D121" i="2"/>
  <c r="C121" i="2"/>
  <c r="G121" i="2"/>
  <c r="L121" i="2"/>
  <c r="I121" i="2"/>
  <c r="F121" i="2"/>
  <c r="E122" i="2"/>
  <c r="B122" i="2"/>
  <c r="H122" i="2"/>
  <c r="A123" i="2"/>
  <c r="E124" i="5" l="1"/>
  <c r="B124" i="5"/>
  <c r="H124" i="5"/>
  <c r="F123" i="5"/>
  <c r="L123" i="5"/>
  <c r="J123" i="5"/>
  <c r="I123" i="5"/>
  <c r="G123" i="5"/>
  <c r="D123" i="5"/>
  <c r="C123" i="5"/>
  <c r="A123" i="3"/>
  <c r="B122" i="3"/>
  <c r="E122" i="3"/>
  <c r="H122" i="3"/>
  <c r="F121" i="3"/>
  <c r="D121" i="3"/>
  <c r="I121" i="3"/>
  <c r="J121" i="3"/>
  <c r="L121" i="3"/>
  <c r="G121" i="3"/>
  <c r="C121" i="3"/>
  <c r="A124" i="2"/>
  <c r="B123" i="2"/>
  <c r="H123" i="2"/>
  <c r="E123" i="2"/>
  <c r="I122" i="2"/>
  <c r="G122" i="2"/>
  <c r="F122" i="2"/>
  <c r="C122" i="2"/>
  <c r="D122" i="2"/>
  <c r="L122" i="2"/>
  <c r="J122" i="2"/>
  <c r="G124" i="5" l="1"/>
  <c r="C124" i="5"/>
  <c r="I124" i="5"/>
  <c r="L124" i="5"/>
  <c r="D124" i="5"/>
  <c r="J124" i="5"/>
  <c r="F124" i="5"/>
  <c r="J122" i="3"/>
  <c r="D122" i="3"/>
  <c r="L122" i="3"/>
  <c r="F122" i="3"/>
  <c r="I122" i="3"/>
  <c r="G122" i="3"/>
  <c r="C122" i="3"/>
  <c r="H123" i="3"/>
  <c r="B123" i="3"/>
  <c r="E123" i="3"/>
  <c r="A124" i="3"/>
  <c r="F123" i="2"/>
  <c r="L123" i="2"/>
  <c r="J123" i="2"/>
  <c r="I123" i="2"/>
  <c r="D123" i="2"/>
  <c r="C123" i="2"/>
  <c r="G123" i="2"/>
  <c r="B124" i="2"/>
  <c r="H124" i="2"/>
  <c r="E124" i="2"/>
  <c r="H124" i="3" l="1"/>
  <c r="E124" i="3"/>
  <c r="B124" i="3"/>
  <c r="F123" i="3"/>
  <c r="I123" i="3"/>
  <c r="L123" i="3"/>
  <c r="D123" i="3"/>
  <c r="G123" i="3"/>
  <c r="C123" i="3"/>
  <c r="J123" i="3"/>
  <c r="G124" i="2"/>
  <c r="F124" i="2"/>
  <c r="C124" i="2"/>
  <c r="D124" i="2"/>
  <c r="L124" i="2"/>
  <c r="J124" i="2"/>
  <c r="I124" i="2"/>
  <c r="F124" i="3" l="1"/>
  <c r="D124" i="3"/>
  <c r="C124" i="3"/>
  <c r="L124" i="3"/>
  <c r="J124" i="3"/>
  <c r="I124" i="3"/>
  <c r="G124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<sst xmlns="http://schemas.openxmlformats.org/spreadsheetml/2006/main" count="163" uniqueCount="78">
  <si>
    <t>Long Risk</t>
  </si>
  <si>
    <t>Short Risk</t>
  </si>
  <si>
    <t>Name=</t>
  </si>
  <si>
    <t>CDX IG S45</t>
  </si>
  <si>
    <t>VCIT</t>
  </si>
  <si>
    <t>T 3 ⅞ 12/31/32</t>
  </si>
  <si>
    <t>BBG Ticker=</t>
  </si>
  <si>
    <t>CDX IG CDSI S45 5Y CORP</t>
  </si>
  <si>
    <t>VCIT US EQUITY</t>
  </si>
  <si>
    <t>91282CPQ8@BGN Govt</t>
  </si>
  <si>
    <t>Not'l=</t>
  </si>
  <si>
    <t>VCIT Div:</t>
  </si>
  <si>
    <t>Carry=</t>
  </si>
  <si>
    <t>Financing Rate=</t>
  </si>
  <si>
    <t>Units Bought</t>
  </si>
  <si>
    <t>Initial Duration=</t>
  </si>
  <si>
    <t>Live PX=</t>
  </si>
  <si>
    <t>Date</t>
  </si>
  <si>
    <t>DVD</t>
  </si>
  <si>
    <t>Net P/L</t>
  </si>
  <si>
    <t>Price</t>
  </si>
  <si>
    <t>Price P/L</t>
  </si>
  <si>
    <t>Carry P/L</t>
  </si>
  <si>
    <t>Frequency</t>
  </si>
  <si>
    <t>Frequency Conversion</t>
  </si>
  <si>
    <t>NA Code</t>
  </si>
  <si>
    <t>Calendar</t>
  </si>
  <si>
    <t>FREQ_DAY</t>
  </si>
  <si>
    <t>CONV_FIRSTBUS_ABS</t>
  </si>
  <si>
    <t>NA_NOTHING</t>
  </si>
  <si>
    <t>CAL_USBANK</t>
  </si>
  <si>
    <t>DATES_IN_ROWS</t>
  </si>
  <si>
    <t>DO_ASCENDING</t>
  </si>
  <si>
    <t>Context Object</t>
  </si>
  <si>
    <t>Start Date</t>
  </si>
  <si>
    <t>End Date</t>
  </si>
  <si>
    <t>Date Format</t>
  </si>
  <si>
    <t>Data Order</t>
  </si>
  <si>
    <t>DB(CDS,TRAC-X,NAMERI100UNF05ONRUN,JPM_RETURN)</t>
  </si>
  <si>
    <t>DJ CDX NA IG | Main | On the run (5Yr) | Total Return</t>
  </si>
  <si>
    <t>2026-01-02        0.000000</t>
  </si>
  <si>
    <t>2026-01-05     4035.199771</t>
  </si>
  <si>
    <t>2026-01-06     5457.599506</t>
  </si>
  <si>
    <t>2026-01-07     2940.999261</t>
  </si>
  <si>
    <t>2026-01-08     4790.398908</t>
  </si>
  <si>
    <t>2026-01-09     5565.398647</t>
  </si>
  <si>
    <t>2026-01-12     6755.498885</t>
  </si>
  <si>
    <t>2026-01-13     5493.498942</t>
  </si>
  <si>
    <t>2026-01-14     4895.998756</t>
  </si>
  <si>
    <t>2026-01-15     6897.998762</t>
  </si>
  <si>
    <t>2026-01-16     8146.198391</t>
  </si>
  <si>
    <t>2026-01-20     1727.498336</t>
  </si>
  <si>
    <t>2026-01-21     7831.898078</t>
  </si>
  <si>
    <t>2026-01-22     9795.198383</t>
  </si>
  <si>
    <t>2026-01-23     7609.298543</t>
  </si>
  <si>
    <t>2026-01-26     8475.098757</t>
  </si>
  <si>
    <t>2026-01-27     8320.698395</t>
  </si>
  <si>
    <t>2026-01-28     8629.298656</t>
  </si>
  <si>
    <t>2026-01-29     7817.498933</t>
  </si>
  <si>
    <t>2026-01-30     7232.798625</t>
  </si>
  <si>
    <t>2026-02-02    10238.698600</t>
  </si>
  <si>
    <t>2026-02-03     6738.098377</t>
  </si>
  <si>
    <t>2026-02-04     5336.398566</t>
  </si>
  <si>
    <t>2026-02-05    -3762.001765</t>
  </si>
  <si>
    <t>2026-02-06     4653.798020</t>
  </si>
  <si>
    <t>2026-02-09     6724.797868</t>
  </si>
  <si>
    <t>2026-02-10     4301.497806</t>
  </si>
  <si>
    <t>2026-02-11     5383.598182</t>
  </si>
  <si>
    <t>2026-02-12     -460.301519</t>
  </si>
  <si>
    <t>2026-02-13    -1704.701354</t>
  </si>
  <si>
    <t>2026-02-17    -2360.501690</t>
  </si>
  <si>
    <t>2026-02-18     1060.998391</t>
  </si>
  <si>
    <t>2026-02-19      628.098271</t>
  </si>
  <si>
    <t>2026-02-20     2569.698045</t>
  </si>
  <si>
    <t>2026-02-23    -1815.702107</t>
  </si>
  <si>
    <t>2026-02-24    -3331.702264</t>
  </si>
  <si>
    <t>2026-02-25      948.097388</t>
  </si>
  <si>
    <t>2026-02-26    -6253.802713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</si>
</sst>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yy\ hh:mm"/>
    <numFmt numFmtId="165" formatCode="_(&quot;$&quot;* #,##0_);_(&quot;$&quot;* \(#,##0\);_(&quot;$&quot;* &quot;-&quot;??_);_(@_)"/>
    <numFmt numFmtId="166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b/>
      <sz val="11"/>
      <color rgb="FFFF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1A983"/>
        <bgColor rgb="FF000000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69">
    <xf numFmtId="0" fontId="0" fillId="0" borderId="0" xfId="0"/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44" fontId="4" fillId="0" borderId="0" xfId="2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9" fontId="2" fillId="0" borderId="0" xfId="0" applyNumberFormat="1" applyFont="1" applyAlignment="1">
      <alignment horizontal="center" vertical="center"/>
    </xf>
    <xf numFmtId="44" fontId="0" fillId="0" borderId="0" xfId="2" applyFont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164" fontId="5" fillId="4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3" fillId="0" borderId="4" xfId="3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44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9" fontId="4" fillId="0" borderId="4" xfId="0" applyNumberFormat="1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10" fontId="4" fillId="0" borderId="4" xfId="0" applyNumberFormat="1" applyFont="1" applyBorder="1" applyAlignment="1">
      <alignment horizontal="center" vertical="center"/>
    </xf>
    <xf numFmtId="14" fontId="0" fillId="0" borderId="8" xfId="0" applyNumberForma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left"/>
    </xf>
    <xf numFmtId="166" fontId="0" fillId="0" borderId="10" xfId="1" applyNumberFormat="1" applyFont="1" applyBorder="1" applyAlignment="1">
      <alignment horizontal="center"/>
    </xf>
    <xf numFmtId="2" fontId="4" fillId="0" borderId="4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44" fontId="5" fillId="4" borderId="3" xfId="2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4" fontId="4" fillId="0" borderId="10" xfId="2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44" fontId="4" fillId="0" borderId="5" xfId="2" applyFont="1" applyBorder="1" applyAlignment="1">
      <alignment horizontal="center" vertical="center"/>
    </xf>
    <xf numFmtId="44" fontId="4" fillId="0" borderId="4" xfId="2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65" fontId="4" fillId="0" borderId="4" xfId="2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6" fillId="7" borderId="0" xfId="0" applyFont="1" applyFill="1" applyAlignment="1">
      <alignment horizontal="right" vertical="center" wrapText="1"/>
    </xf>
    <xf numFmtId="0" fontId="0" fillId="7" borderId="0" xfId="0" applyFill="1"/>
    <xf numFmtId="14" fontId="7" fillId="7" borderId="0" xfId="0" applyNumberFormat="1" applyFont="1" applyFill="1" applyAlignment="1">
      <alignment horizontal="right" vertical="center" wrapText="1"/>
    </xf>
    <xf numFmtId="0" fontId="7" fillId="7" borderId="0" xfId="0" applyFont="1" applyFill="1" applyAlignment="1">
      <alignment horizontal="right" vertical="center" wrapText="1"/>
    </xf>
    <xf numFmtId="165" fontId="8" fillId="5" borderId="4" xfId="0" applyNumberFormat="1" applyFont="1" applyFill="1" applyBorder="1" applyAlignment="1">
      <alignment horizontal="center" vertical="center"/>
    </xf>
    <xf numFmtId="165" fontId="8" fillId="5" borderId="5" xfId="0" applyNumberFormat="1" applyFont="1" applyFill="1" applyBorder="1" applyAlignment="1">
      <alignment horizontal="center" vertical="center"/>
    </xf>
    <xf numFmtId="0" fontId="2" fillId="0" borderId="0" xfId="0" applyFont="1"/>
    <xf numFmtId="14" fontId="0" fillId="0" borderId="0" xfId="0" applyNumberFormat="1"/>
    <xf numFmtId="0" fontId="6" fillId="7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14" fontId="0" fillId="0" borderId="0" xfId="0" applyNumberFormat="1" applyAlignment="1">
      <alignment horizontal="center" vertical="center"/>
    </xf>
    <xf numFmtId="14" fontId="6" fillId="7" borderId="0" xfId="0" applyNumberFormat="1" applyFont="1" applyFill="1" applyAlignment="1">
      <alignment horizontal="right" vertical="center" wrapText="1"/>
    </xf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Data...3746858324</v>
        <stp/>
        <stp>BDP|11687666501927852312</stp>
        <tr r="D9" s="5"/>
        <tr r="D9" s="3"/>
        <tr r="D9" s="2"/>
      </tp>
    </main>
    <main first="bofaddin.rtdserver">
      <tp t="s">
        <v>#N/A Requesting Data...3377805457</v>
        <stp/>
        <stp>BDP|12283234852942339113</stp>
        <tr r="C9" s="5"/>
        <tr r="C9" s="3"/>
        <tr r="C9" s="2"/>
      </tp>
      <tp t="s">
        <v>#N/A Requesting Data...4230598406</v>
        <stp/>
        <stp>BDH|13831332884916009876</stp>
        <tr r="N3" s="5"/>
        <tr r="N3" s="3"/>
        <tr r="N3" s="2"/>
      </tp>
      <tp t="s">
        <v>#N/A Requesting Data...2579490794</v>
        <stp/>
        <stp>BDH|11664515111936220403</stp>
        <tr r="R3" s="5"/>
        <tr r="R3" s="3"/>
        <tr r="R3" s="2"/>
      </tp>
    </main>
    <main first="bofaddin.rtdserver">
      <tp t="s">
        <v>#N/A Requesting Data...2874924949</v>
        <stp/>
        <stp>BDP|3738919655213058098</stp>
        <tr r="B9" s="5"/>
        <tr r="B9" s="3"/>
        <tr r="B9" s="2"/>
      </tp>
      <tp t="s">
        <v>#N/A Requesting Data...4055131212</v>
        <stp/>
        <stp>BDH|3477527779532621052</stp>
        <tr r="P3" s="5"/>
        <tr r="P3" s="3"/>
        <tr r="P3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volatileDependencies" Target="volatileDependencies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'VCIT Basis'!$L$12:$L$13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'VCIT Basis'!$A$14:$A$250</c:f>
              <c:strCache>
                <c:ptCount val="6"/>
                <c:pt idx="0">
                  <c:v>01/15/2026 15:00</c:v>
                </c:pt>
                <c:pt idx="1">
                  <c:v>01/16/2026 15:00</c:v>
                </c:pt>
                <c:pt idx="2">
                  <c:v>02/25/2026 15:00</c:v>
                </c:pt>
                <c:pt idx="3">
                  <c:v>02/26/2026 15:00</c:v>
                </c:pt>
                <c:pt idx="4">
                  <c:v>02/27/2026 15:00</c:v>
                </c:pt>
                <c:pt idx="5">
                  <c:v>02/27/2026 19:53</c:v>
                </c:pt>
              </c:strCache>
            </c:strRef>
          </c:cat>
          <c:val>
            <c:numRef>
              <c:f>'VCIT Basis'!$L$14:$L$250</c:f>
              <c:numCache>
                <c:formatCode>_("$"* #,##0_);_("$"* \(#,##0\);_("$"* "-"??_);_(@_)</c:formatCode>
                <c:ptCount val="212"/>
                <c:pt idx="0" formatCode="_(&quot;$&quot;* #,##0.00_);_(&quot;$&quot;* \(#,##0.00\);_(&quot;$&quot;* &quot;-&quot;??_);_(@_)">
                  <c:v>0</c:v>
                </c:pt>
                <c:pt idx="1">
                  <c:v>2516.3365764220325</c:v>
                </c:pt>
                <c:pt idx="2">
                  <c:v>-2651.4535504673058</c:v>
                </c:pt>
                <c:pt idx="3">
                  <c:v>-4083.0931339504823</c:v>
                </c:pt>
                <c:pt idx="4">
                  <c:v>-6346.1510992937256</c:v>
                </c:pt>
                <c:pt idx="5">
                  <c:v>-3295.0627592937526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7E-45FC-B08A-9C58E45C5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'[1]1'!$B$12:$B$13</c15:sqref>
                        </c15:formulaRef>
                      </c:ext>
                    </c:extLst>
                    <c:strCache>
                      <c:ptCount val="1"/>
                      <c:pt idx="0">
                        <c:v>Long Risk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'VCIT Basis'!$A$14:$A$250</c15:sqref>
                        </c15:formulaRef>
                      </c:ext>
                    </c:extLst>
                    <c:strCache>
                      <c:ptCount val="6"/>
                      <c:pt idx="0">
                        <c:v>01/15/2026 15:00</c:v>
                      </c:pt>
                      <c:pt idx="1">
                        <c:v>01/16/2026 15:00</c:v>
                      </c:pt>
                      <c:pt idx="2">
                        <c:v>02/25/2026 15:00</c:v>
                      </c:pt>
                      <c:pt idx="3">
                        <c:v>02/26/2026 15:00</c:v>
                      </c:pt>
                      <c:pt idx="4">
                        <c:v>02/27/2026 15:00</c:v>
                      </c:pt>
                      <c:pt idx="5">
                        <c:v>02/27/2026 19:53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67E-45FC-B08A-9C58E45C516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'[1]1'!$C$12:$C$13</c15:sqref>
                        </c15:formulaRef>
                      </c:ext>
                    </c:extLst>
                    <c:strCache>
                      <c:ptCount val="1"/>
                      <c:pt idx="0">
                        <c:v>Long Risk 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'VCIT Basis'!$A$14:$A$250</c15:sqref>
                        </c15:formulaRef>
                      </c:ext>
                    </c:extLst>
                    <c:strCache>
                      <c:ptCount val="6"/>
                      <c:pt idx="0">
                        <c:v>01/15/2026 15:00</c:v>
                      </c:pt>
                      <c:pt idx="1">
                        <c:v>01/16/2026 15:00</c:v>
                      </c:pt>
                      <c:pt idx="2">
                        <c:v>02/25/2026 15:00</c:v>
                      </c:pt>
                      <c:pt idx="3">
                        <c:v>02/26/2026 15:00</c:v>
                      </c:pt>
                      <c:pt idx="4">
                        <c:v>02/27/2026 15:00</c:v>
                      </c:pt>
                      <c:pt idx="5">
                        <c:v>02/27/2026 19:53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67E-45FC-B08A-9C58E45C516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'[1]1'!$D$12:$D$13</c15:sqref>
                        </c15:formulaRef>
                      </c:ext>
                    </c:extLst>
                    <c:strCache>
                      <c:ptCount val="1"/>
                      <c:pt idx="0">
                        <c:v>Long Risk 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'VCIT Basis'!$A$14:$A$250</c15:sqref>
                        </c15:formulaRef>
                      </c:ext>
                    </c:extLst>
                    <c:strCache>
                      <c:ptCount val="6"/>
                      <c:pt idx="0">
                        <c:v>01/15/2026 15:00</c:v>
                      </c:pt>
                      <c:pt idx="1">
                        <c:v>01/16/2026 15:00</c:v>
                      </c:pt>
                      <c:pt idx="2">
                        <c:v>02/25/2026 15:00</c:v>
                      </c:pt>
                      <c:pt idx="3">
                        <c:v>02/26/2026 15:00</c:v>
                      </c:pt>
                      <c:pt idx="4">
                        <c:v>02/27/2026 15:00</c:v>
                      </c:pt>
                      <c:pt idx="5">
                        <c:v>02/27/2026 19:53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'[1]1'!$D$14:$D$250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67E-45FC-B08A-9C58E45C516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'[1]1'!$E$12:$E$13</c15:sqref>
                        </c15:formulaRef>
                      </c:ext>
                    </c:extLst>
                    <c:strCache>
                      <c:ptCount val="1"/>
                      <c:pt idx="0">
                        <c:v>Long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'VCIT Basis'!$A$14:$A$250</c15:sqref>
                        </c15:formulaRef>
                      </c:ext>
                    </c:extLst>
                    <c:strCache>
                      <c:ptCount val="6"/>
                      <c:pt idx="0">
                        <c:v>01/15/2026 15:00</c:v>
                      </c:pt>
                      <c:pt idx="1">
                        <c:v>01/16/2026 15:00</c:v>
                      </c:pt>
                      <c:pt idx="2">
                        <c:v>02/25/2026 15:00</c:v>
                      </c:pt>
                      <c:pt idx="3">
                        <c:v>02/26/2026 15:00</c:v>
                      </c:pt>
                      <c:pt idx="4">
                        <c:v>02/27/2026 15:00</c:v>
                      </c:pt>
                      <c:pt idx="5">
                        <c:v>02/27/2026 19:53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'[1]1'!$E$14:$E$250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67E-45FC-B08A-9C58E45C516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'[1]1'!$F$12:$F$13</c15:sqref>
                        </c15:formulaRef>
                      </c:ext>
                    </c:extLst>
                    <c:strCache>
                      <c:ptCount val="1"/>
                      <c:pt idx="0">
                        <c:v>Short Risk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'VCIT Basis'!$A$14:$A$250</c15:sqref>
                        </c15:formulaRef>
                      </c:ext>
                    </c:extLst>
                    <c:strCache>
                      <c:ptCount val="6"/>
                      <c:pt idx="0">
                        <c:v>01/15/2026 15:00</c:v>
                      </c:pt>
                      <c:pt idx="1">
                        <c:v>01/16/2026 15:00</c:v>
                      </c:pt>
                      <c:pt idx="2">
                        <c:v>02/25/2026 15:00</c:v>
                      </c:pt>
                      <c:pt idx="3">
                        <c:v>02/26/2026 15:00</c:v>
                      </c:pt>
                      <c:pt idx="4">
                        <c:v>02/27/2026 15:00</c:v>
                      </c:pt>
                      <c:pt idx="5">
                        <c:v>02/27/2026 19:53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67E-45FC-B08A-9C58E45C516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'[1]1'!$G$12:$G$13</c15:sqref>
                        </c15:formulaRef>
                      </c:ext>
                    </c:extLst>
                    <c:strCache>
                      <c:ptCount val="1"/>
                      <c:pt idx="0">
                        <c:v>Short Risk 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'VCIT Basis'!$A$14:$A$250</c15:sqref>
                        </c15:formulaRef>
                      </c:ext>
                    </c:extLst>
                    <c:strCache>
                      <c:ptCount val="6"/>
                      <c:pt idx="0">
                        <c:v>01/15/2026 15:00</c:v>
                      </c:pt>
                      <c:pt idx="1">
                        <c:v>01/16/2026 15:00</c:v>
                      </c:pt>
                      <c:pt idx="2">
                        <c:v>02/25/2026 15:00</c:v>
                      </c:pt>
                      <c:pt idx="3">
                        <c:v>02/26/2026 15:00</c:v>
                      </c:pt>
                      <c:pt idx="4">
                        <c:v>02/27/2026 15:00</c:v>
                      </c:pt>
                      <c:pt idx="5">
                        <c:v>02/27/2026 19:53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'[1]1'!$G$14:$G$250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67E-45FC-B08A-9C58E45C516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'[1]1'!$H$12:$H$13</c15:sqref>
                        </c15:formulaRef>
                      </c:ext>
                    </c:extLst>
                    <c:strCache>
                      <c:ptCount val="1"/>
                      <c:pt idx="0">
                        <c:v>Short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'VCIT Basis'!$A$14:$A$250</c15:sqref>
                        </c15:formulaRef>
                      </c:ext>
                    </c:extLst>
                    <c:strCache>
                      <c:ptCount val="6"/>
                      <c:pt idx="0">
                        <c:v>01/15/2026 15:00</c:v>
                      </c:pt>
                      <c:pt idx="1">
                        <c:v>01/16/2026 15:00</c:v>
                      </c:pt>
                      <c:pt idx="2">
                        <c:v>02/25/2026 15:00</c:v>
                      </c:pt>
                      <c:pt idx="3">
                        <c:v>02/26/2026 15:00</c:v>
                      </c:pt>
                      <c:pt idx="4">
                        <c:v>02/27/2026 15:00</c:v>
                      </c:pt>
                      <c:pt idx="5">
                        <c:v>02/27/2026 19:53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'[1]1'!$H$14:$H$250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67E-45FC-B08A-9C58E45C516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'VCIT Basis (2)'!$L$12:$L$13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'VCIT Basis (2)'!$A$14:$A$250</c:f>
              <c:strCache>
                <c:ptCount val="40"/>
                <c:pt idx="0">
                  <c:v>01/02/2026 15:00</c:v>
                </c:pt>
                <c:pt idx="1">
                  <c:v>01/05/2026 15:00</c:v>
                </c:pt>
                <c:pt idx="2">
                  <c:v>01/06/2026 15:00</c:v>
                </c:pt>
                <c:pt idx="3">
                  <c:v>01/07/2026 15:00</c:v>
                </c:pt>
                <c:pt idx="4">
                  <c:v>01/08/2026 15:00</c:v>
                </c:pt>
                <c:pt idx="5">
                  <c:v>01/09/2026 15:00</c:v>
                </c:pt>
                <c:pt idx="6">
                  <c:v>01/12/2026 15:00</c:v>
                </c:pt>
                <c:pt idx="7">
                  <c:v>01/13/2026 15:00</c:v>
                </c:pt>
                <c:pt idx="8">
                  <c:v>01/14/2026 15:00</c:v>
                </c:pt>
                <c:pt idx="9">
                  <c:v>01/15/2026 15:00</c:v>
                </c:pt>
                <c:pt idx="10">
                  <c:v>01/16/2026 15:00</c:v>
                </c:pt>
                <c:pt idx="11">
                  <c:v>01/20/2026 15:00</c:v>
                </c:pt>
                <c:pt idx="12">
                  <c:v>01/21/2026 15:00</c:v>
                </c:pt>
                <c:pt idx="13">
                  <c:v>01/22/2026 15:00</c:v>
                </c:pt>
                <c:pt idx="14">
                  <c:v>01/23/2026 15:00</c:v>
                </c:pt>
                <c:pt idx="15">
                  <c:v>01/26/2026 15:00</c:v>
                </c:pt>
                <c:pt idx="16">
                  <c:v>01/27/2026 15:00</c:v>
                </c:pt>
                <c:pt idx="17">
                  <c:v>01/28/2026 15:00</c:v>
                </c:pt>
                <c:pt idx="18">
                  <c:v>01/29/2026 15:00</c:v>
                </c:pt>
                <c:pt idx="19">
                  <c:v>01/30/2026 15:00</c:v>
                </c:pt>
                <c:pt idx="20">
                  <c:v>02/02/2026 15:00</c:v>
                </c:pt>
                <c:pt idx="21">
                  <c:v>02/03/2026 15:00</c:v>
                </c:pt>
                <c:pt idx="22">
                  <c:v>02/04/2026 15:00</c:v>
                </c:pt>
                <c:pt idx="23">
                  <c:v>02/05/2026 15:00</c:v>
                </c:pt>
                <c:pt idx="24">
                  <c:v>02/06/2026 15:00</c:v>
                </c:pt>
                <c:pt idx="25">
                  <c:v>02/09/2026 15:00</c:v>
                </c:pt>
                <c:pt idx="26">
                  <c:v>02/10/2026 15:00</c:v>
                </c:pt>
                <c:pt idx="27">
                  <c:v>02/11/2026 15:00</c:v>
                </c:pt>
                <c:pt idx="28">
                  <c:v>02/12/2026 15:00</c:v>
                </c:pt>
                <c:pt idx="29">
                  <c:v>02/13/2026 15:00</c:v>
                </c:pt>
                <c:pt idx="30">
                  <c:v>02/17/2026 15:00</c:v>
                </c:pt>
                <c:pt idx="31">
                  <c:v>02/18/2026 15:00</c:v>
                </c:pt>
                <c:pt idx="32">
                  <c:v>02/19/2026 15:00</c:v>
                </c:pt>
                <c:pt idx="33">
                  <c:v>02/20/2026 15:00</c:v>
                </c:pt>
                <c:pt idx="34">
                  <c:v>02/23/2026 15:00</c:v>
                </c:pt>
                <c:pt idx="35">
                  <c:v>02/24/2026 15:00</c:v>
                </c:pt>
                <c:pt idx="36">
                  <c:v>02/25/2026 15:00</c:v>
                </c:pt>
                <c:pt idx="37">
                  <c:v>02/26/2026 15:00</c:v>
                </c:pt>
                <c:pt idx="38">
                  <c:v>02/27/2026 15:00</c:v>
                </c:pt>
                <c:pt idx="39">
                  <c:v>02/27/2026 19:53</c:v>
                </c:pt>
              </c:strCache>
            </c:strRef>
          </c:cat>
          <c:val>
            <c:numRef>
              <c:f>'VCIT Basis (2)'!$L$14:$L$250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4041.0584420038399</c:v>
                </c:pt>
                <c:pt idx="2">
                  <c:v>4637.1251056987985</c:v>
                </c:pt>
                <c:pt idx="3">
                  <c:v>5557.0803984841532</c:v>
                </c:pt>
                <c:pt idx="4">
                  <c:v>7033.6960148899134</c:v>
                </c:pt>
                <c:pt idx="5">
                  <c:v>3625.0147585942345</c:v>
                </c:pt>
                <c:pt idx="6">
                  <c:v>6878.9035569394364</c:v>
                </c:pt>
                <c:pt idx="7">
                  <c:v>2482.8427842836909</c:v>
                </c:pt>
                <c:pt idx="8">
                  <c:v>2111.1904152584598</c:v>
                </c:pt>
                <c:pt idx="9">
                  <c:v>3497.0525153041112</c:v>
                </c:pt>
                <c:pt idx="10">
                  <c:v>4708.7833898899162</c:v>
                </c:pt>
                <c:pt idx="11">
                  <c:v>3990.5569500905476</c:v>
                </c:pt>
                <c:pt idx="12">
                  <c:v>3030.6941119944531</c:v>
                </c:pt>
                <c:pt idx="13">
                  <c:v>3018.9167756894121</c:v>
                </c:pt>
                <c:pt idx="14">
                  <c:v>2314.0309230243047</c:v>
                </c:pt>
                <c:pt idx="15">
                  <c:v>3294.6846559291271</c:v>
                </c:pt>
                <c:pt idx="16">
                  <c:v>1678.4432068945234</c:v>
                </c:pt>
                <c:pt idx="17">
                  <c:v>3131.9782742192556</c:v>
                </c:pt>
                <c:pt idx="18">
                  <c:v>3434.8990506445034</c:v>
                </c:pt>
                <c:pt idx="19">
                  <c:v>2659.0106016091559</c:v>
                </c:pt>
                <c:pt idx="20">
                  <c:v>7306.4926581345007</c:v>
                </c:pt>
                <c:pt idx="21">
                  <c:v>4959.9403218290663</c:v>
                </c:pt>
                <c:pt idx="22">
                  <c:v>4407.9781309741429</c:v>
                </c:pt>
                <c:pt idx="23">
                  <c:v>-1884.0547071223082</c:v>
                </c:pt>
                <c:pt idx="24">
                  <c:v>2065.1723274829983</c:v>
                </c:pt>
                <c:pt idx="25">
                  <c:v>5283.6372058375546</c:v>
                </c:pt>
                <c:pt idx="26">
                  <c:v>6238.7809495418933</c:v>
                </c:pt>
                <c:pt idx="27">
                  <c:v>4085.253275048186</c:v>
                </c:pt>
                <c:pt idx="28">
                  <c:v>894.21584058188455</c:v>
                </c:pt>
                <c:pt idx="29">
                  <c:v>-2385.6382229740975</c:v>
                </c:pt>
                <c:pt idx="30">
                  <c:v>-4759.3980518349199</c:v>
                </c:pt>
                <c:pt idx="31">
                  <c:v>-2571.2607263293939</c:v>
                </c:pt>
                <c:pt idx="32">
                  <c:v>-3683.3945789945246</c:v>
                </c:pt>
                <c:pt idx="33">
                  <c:v>-2522.0119153003434</c:v>
                </c:pt>
                <c:pt idx="34">
                  <c:v>-2373.6408442053289</c:v>
                </c:pt>
                <c:pt idx="35">
                  <c:v>-1525.6498896101493</c:v>
                </c:pt>
                <c:pt idx="36">
                  <c:v>-529.77945137505958</c:v>
                </c:pt>
                <c:pt idx="37">
                  <c:v>-1964.9761913106358</c:v>
                </c:pt>
                <c:pt idx="38">
                  <c:v>-4230.1377857957068</c:v>
                </c:pt>
                <c:pt idx="39">
                  <c:v>-1179.0494457957266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AB-483A-ABBE-08A1BD7C4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'[1]1'!$B$12:$B$13</c15:sqref>
                        </c15:formulaRef>
                      </c:ext>
                    </c:extLst>
                    <c:strCache>
                      <c:ptCount val="1"/>
                      <c:pt idx="0">
                        <c:v>Long Risk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'VCIT Basis (2)'!$A$14:$A$250</c15:sqref>
                        </c15:formulaRef>
                      </c:ext>
                    </c:extLst>
                    <c:strCache>
                      <c:ptCount val="40"/>
                      <c:pt idx="0">
                        <c:v>01/02/2026 15:00</c:v>
                      </c:pt>
                      <c:pt idx="1">
                        <c:v>01/05/2026 15:00</c:v>
                      </c:pt>
                      <c:pt idx="2">
                        <c:v>01/06/2026 15:00</c:v>
                      </c:pt>
                      <c:pt idx="3">
                        <c:v>01/07/2026 15:00</c:v>
                      </c:pt>
                      <c:pt idx="4">
                        <c:v>01/08/2026 15:00</c:v>
                      </c:pt>
                      <c:pt idx="5">
                        <c:v>01/09/2026 15:00</c:v>
                      </c:pt>
                      <c:pt idx="6">
                        <c:v>01/12/2026 15:00</c:v>
                      </c:pt>
                      <c:pt idx="7">
                        <c:v>01/13/2026 15:00</c:v>
                      </c:pt>
                      <c:pt idx="8">
                        <c:v>01/14/2026 15:00</c:v>
                      </c:pt>
                      <c:pt idx="9">
                        <c:v>01/15/2026 15:00</c:v>
                      </c:pt>
                      <c:pt idx="10">
                        <c:v>01/16/2026 15:00</c:v>
                      </c:pt>
                      <c:pt idx="11">
                        <c:v>01/20/2026 15:00</c:v>
                      </c:pt>
                      <c:pt idx="12">
                        <c:v>01/21/2026 15:00</c:v>
                      </c:pt>
                      <c:pt idx="13">
                        <c:v>01/22/2026 15:00</c:v>
                      </c:pt>
                      <c:pt idx="14">
                        <c:v>01/23/2026 15:00</c:v>
                      </c:pt>
                      <c:pt idx="15">
                        <c:v>01/26/2026 15:00</c:v>
                      </c:pt>
                      <c:pt idx="16">
                        <c:v>01/27/2026 15:00</c:v>
                      </c:pt>
                      <c:pt idx="17">
                        <c:v>01/28/2026 15:00</c:v>
                      </c:pt>
                      <c:pt idx="18">
                        <c:v>01/29/2026 15:00</c:v>
                      </c:pt>
                      <c:pt idx="19">
                        <c:v>01/30/2026 15:00</c:v>
                      </c:pt>
                      <c:pt idx="20">
                        <c:v>02/02/2026 15:00</c:v>
                      </c:pt>
                      <c:pt idx="21">
                        <c:v>02/03/2026 15:00</c:v>
                      </c:pt>
                      <c:pt idx="22">
                        <c:v>02/04/2026 15:00</c:v>
                      </c:pt>
                      <c:pt idx="23">
                        <c:v>02/05/2026 15:00</c:v>
                      </c:pt>
                      <c:pt idx="24">
                        <c:v>02/06/2026 15:00</c:v>
                      </c:pt>
                      <c:pt idx="25">
                        <c:v>02/09/2026 15:00</c:v>
                      </c:pt>
                      <c:pt idx="26">
                        <c:v>02/10/2026 15:00</c:v>
                      </c:pt>
                      <c:pt idx="27">
                        <c:v>02/11/2026 15:00</c:v>
                      </c:pt>
                      <c:pt idx="28">
                        <c:v>02/12/2026 15:00</c:v>
                      </c:pt>
                      <c:pt idx="29">
                        <c:v>02/13/2026 15:00</c:v>
                      </c:pt>
                      <c:pt idx="30">
                        <c:v>02/17/2026 15:00</c:v>
                      </c:pt>
                      <c:pt idx="31">
                        <c:v>02/18/2026 15:00</c:v>
                      </c:pt>
                      <c:pt idx="32">
                        <c:v>02/19/2026 15:00</c:v>
                      </c:pt>
                      <c:pt idx="33">
                        <c:v>02/20/2026 15:00</c:v>
                      </c:pt>
                      <c:pt idx="34">
                        <c:v>02/23/2026 15:00</c:v>
                      </c:pt>
                      <c:pt idx="35">
                        <c:v>02/24/2026 15:00</c:v>
                      </c:pt>
                      <c:pt idx="36">
                        <c:v>02/25/2026 15:00</c:v>
                      </c:pt>
                      <c:pt idx="37">
                        <c:v>02/26/2026 15:00</c:v>
                      </c:pt>
                      <c:pt idx="38">
                        <c:v>02/27/2026 15:00</c:v>
                      </c:pt>
                      <c:pt idx="39">
                        <c:v>02/27/2026 19:53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7AB-483A-ABBE-08A1BD7C4B5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'[1]1'!$C$12:$C$13</c15:sqref>
                        </c15:formulaRef>
                      </c:ext>
                    </c:extLst>
                    <c:strCache>
                      <c:ptCount val="1"/>
                      <c:pt idx="0">
                        <c:v>Long Risk 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'VCIT Basis (2)'!$A$14:$A$250</c15:sqref>
                        </c15:formulaRef>
                      </c:ext>
                    </c:extLst>
                    <c:strCache>
                      <c:ptCount val="40"/>
                      <c:pt idx="0">
                        <c:v>01/02/2026 15:00</c:v>
                      </c:pt>
                      <c:pt idx="1">
                        <c:v>01/05/2026 15:00</c:v>
                      </c:pt>
                      <c:pt idx="2">
                        <c:v>01/06/2026 15:00</c:v>
                      </c:pt>
                      <c:pt idx="3">
                        <c:v>01/07/2026 15:00</c:v>
                      </c:pt>
                      <c:pt idx="4">
                        <c:v>01/08/2026 15:00</c:v>
                      </c:pt>
                      <c:pt idx="5">
                        <c:v>01/09/2026 15:00</c:v>
                      </c:pt>
                      <c:pt idx="6">
                        <c:v>01/12/2026 15:00</c:v>
                      </c:pt>
                      <c:pt idx="7">
                        <c:v>01/13/2026 15:00</c:v>
                      </c:pt>
                      <c:pt idx="8">
                        <c:v>01/14/2026 15:00</c:v>
                      </c:pt>
                      <c:pt idx="9">
                        <c:v>01/15/2026 15:00</c:v>
                      </c:pt>
                      <c:pt idx="10">
                        <c:v>01/16/2026 15:00</c:v>
                      </c:pt>
                      <c:pt idx="11">
                        <c:v>01/20/2026 15:00</c:v>
                      </c:pt>
                      <c:pt idx="12">
                        <c:v>01/21/2026 15:00</c:v>
                      </c:pt>
                      <c:pt idx="13">
                        <c:v>01/22/2026 15:00</c:v>
                      </c:pt>
                      <c:pt idx="14">
                        <c:v>01/23/2026 15:00</c:v>
                      </c:pt>
                      <c:pt idx="15">
                        <c:v>01/26/2026 15:00</c:v>
                      </c:pt>
                      <c:pt idx="16">
                        <c:v>01/27/2026 15:00</c:v>
                      </c:pt>
                      <c:pt idx="17">
                        <c:v>01/28/2026 15:00</c:v>
                      </c:pt>
                      <c:pt idx="18">
                        <c:v>01/29/2026 15:00</c:v>
                      </c:pt>
                      <c:pt idx="19">
                        <c:v>01/30/2026 15:00</c:v>
                      </c:pt>
                      <c:pt idx="20">
                        <c:v>02/02/2026 15:00</c:v>
                      </c:pt>
                      <c:pt idx="21">
                        <c:v>02/03/2026 15:00</c:v>
                      </c:pt>
                      <c:pt idx="22">
                        <c:v>02/04/2026 15:00</c:v>
                      </c:pt>
                      <c:pt idx="23">
                        <c:v>02/05/2026 15:00</c:v>
                      </c:pt>
                      <c:pt idx="24">
                        <c:v>02/06/2026 15:00</c:v>
                      </c:pt>
                      <c:pt idx="25">
                        <c:v>02/09/2026 15:00</c:v>
                      </c:pt>
                      <c:pt idx="26">
                        <c:v>02/10/2026 15:00</c:v>
                      </c:pt>
                      <c:pt idx="27">
                        <c:v>02/11/2026 15:00</c:v>
                      </c:pt>
                      <c:pt idx="28">
                        <c:v>02/12/2026 15:00</c:v>
                      </c:pt>
                      <c:pt idx="29">
                        <c:v>02/13/2026 15:00</c:v>
                      </c:pt>
                      <c:pt idx="30">
                        <c:v>02/17/2026 15:00</c:v>
                      </c:pt>
                      <c:pt idx="31">
                        <c:v>02/18/2026 15:00</c:v>
                      </c:pt>
                      <c:pt idx="32">
                        <c:v>02/19/2026 15:00</c:v>
                      </c:pt>
                      <c:pt idx="33">
                        <c:v>02/20/2026 15:00</c:v>
                      </c:pt>
                      <c:pt idx="34">
                        <c:v>02/23/2026 15:00</c:v>
                      </c:pt>
                      <c:pt idx="35">
                        <c:v>02/24/2026 15:00</c:v>
                      </c:pt>
                      <c:pt idx="36">
                        <c:v>02/25/2026 15:00</c:v>
                      </c:pt>
                      <c:pt idx="37">
                        <c:v>02/26/2026 15:00</c:v>
                      </c:pt>
                      <c:pt idx="38">
                        <c:v>02/27/2026 15:00</c:v>
                      </c:pt>
                      <c:pt idx="39">
                        <c:v>02/27/2026 19:53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7AB-483A-ABBE-08A1BD7C4B5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'[1]1'!$D$12:$D$13</c15:sqref>
                        </c15:formulaRef>
                      </c:ext>
                    </c:extLst>
                    <c:strCache>
                      <c:ptCount val="1"/>
                      <c:pt idx="0">
                        <c:v>Long Risk 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'VCIT Basis (2)'!$A$14:$A$250</c15:sqref>
                        </c15:formulaRef>
                      </c:ext>
                    </c:extLst>
                    <c:strCache>
                      <c:ptCount val="40"/>
                      <c:pt idx="0">
                        <c:v>01/02/2026 15:00</c:v>
                      </c:pt>
                      <c:pt idx="1">
                        <c:v>01/05/2026 15:00</c:v>
                      </c:pt>
                      <c:pt idx="2">
                        <c:v>01/06/2026 15:00</c:v>
                      </c:pt>
                      <c:pt idx="3">
                        <c:v>01/07/2026 15:00</c:v>
                      </c:pt>
                      <c:pt idx="4">
                        <c:v>01/08/2026 15:00</c:v>
                      </c:pt>
                      <c:pt idx="5">
                        <c:v>01/09/2026 15:00</c:v>
                      </c:pt>
                      <c:pt idx="6">
                        <c:v>01/12/2026 15:00</c:v>
                      </c:pt>
                      <c:pt idx="7">
                        <c:v>01/13/2026 15:00</c:v>
                      </c:pt>
                      <c:pt idx="8">
                        <c:v>01/14/2026 15:00</c:v>
                      </c:pt>
                      <c:pt idx="9">
                        <c:v>01/15/2026 15:00</c:v>
                      </c:pt>
                      <c:pt idx="10">
                        <c:v>01/16/2026 15:00</c:v>
                      </c:pt>
                      <c:pt idx="11">
                        <c:v>01/20/2026 15:00</c:v>
                      </c:pt>
                      <c:pt idx="12">
                        <c:v>01/21/2026 15:00</c:v>
                      </c:pt>
                      <c:pt idx="13">
                        <c:v>01/22/2026 15:00</c:v>
                      </c:pt>
                      <c:pt idx="14">
                        <c:v>01/23/2026 15:00</c:v>
                      </c:pt>
                      <c:pt idx="15">
                        <c:v>01/26/2026 15:00</c:v>
                      </c:pt>
                      <c:pt idx="16">
                        <c:v>01/27/2026 15:00</c:v>
                      </c:pt>
                      <c:pt idx="17">
                        <c:v>01/28/2026 15:00</c:v>
                      </c:pt>
                      <c:pt idx="18">
                        <c:v>01/29/2026 15:00</c:v>
                      </c:pt>
                      <c:pt idx="19">
                        <c:v>01/30/2026 15:00</c:v>
                      </c:pt>
                      <c:pt idx="20">
                        <c:v>02/02/2026 15:00</c:v>
                      </c:pt>
                      <c:pt idx="21">
                        <c:v>02/03/2026 15:00</c:v>
                      </c:pt>
                      <c:pt idx="22">
                        <c:v>02/04/2026 15:00</c:v>
                      </c:pt>
                      <c:pt idx="23">
                        <c:v>02/05/2026 15:00</c:v>
                      </c:pt>
                      <c:pt idx="24">
                        <c:v>02/06/2026 15:00</c:v>
                      </c:pt>
                      <c:pt idx="25">
                        <c:v>02/09/2026 15:00</c:v>
                      </c:pt>
                      <c:pt idx="26">
                        <c:v>02/10/2026 15:00</c:v>
                      </c:pt>
                      <c:pt idx="27">
                        <c:v>02/11/2026 15:00</c:v>
                      </c:pt>
                      <c:pt idx="28">
                        <c:v>02/12/2026 15:00</c:v>
                      </c:pt>
                      <c:pt idx="29">
                        <c:v>02/13/2026 15:00</c:v>
                      </c:pt>
                      <c:pt idx="30">
                        <c:v>02/17/2026 15:00</c:v>
                      </c:pt>
                      <c:pt idx="31">
                        <c:v>02/18/2026 15:00</c:v>
                      </c:pt>
                      <c:pt idx="32">
                        <c:v>02/19/2026 15:00</c:v>
                      </c:pt>
                      <c:pt idx="33">
                        <c:v>02/20/2026 15:00</c:v>
                      </c:pt>
                      <c:pt idx="34">
                        <c:v>02/23/2026 15:00</c:v>
                      </c:pt>
                      <c:pt idx="35">
                        <c:v>02/24/2026 15:00</c:v>
                      </c:pt>
                      <c:pt idx="36">
                        <c:v>02/25/2026 15:00</c:v>
                      </c:pt>
                      <c:pt idx="37">
                        <c:v>02/26/2026 15:00</c:v>
                      </c:pt>
                      <c:pt idx="38">
                        <c:v>02/27/2026 15:00</c:v>
                      </c:pt>
                      <c:pt idx="39">
                        <c:v>02/27/2026 19:53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'[1]1'!$D$14:$D$250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AB-483A-ABBE-08A1BD7C4B5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'[1]1'!$E$12:$E$13</c15:sqref>
                        </c15:formulaRef>
                      </c:ext>
                    </c:extLst>
                    <c:strCache>
                      <c:ptCount val="1"/>
                      <c:pt idx="0">
                        <c:v>Long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'VCIT Basis (2)'!$A$14:$A$250</c15:sqref>
                        </c15:formulaRef>
                      </c:ext>
                    </c:extLst>
                    <c:strCache>
                      <c:ptCount val="40"/>
                      <c:pt idx="0">
                        <c:v>01/02/2026 15:00</c:v>
                      </c:pt>
                      <c:pt idx="1">
                        <c:v>01/05/2026 15:00</c:v>
                      </c:pt>
                      <c:pt idx="2">
                        <c:v>01/06/2026 15:00</c:v>
                      </c:pt>
                      <c:pt idx="3">
                        <c:v>01/07/2026 15:00</c:v>
                      </c:pt>
                      <c:pt idx="4">
                        <c:v>01/08/2026 15:00</c:v>
                      </c:pt>
                      <c:pt idx="5">
                        <c:v>01/09/2026 15:00</c:v>
                      </c:pt>
                      <c:pt idx="6">
                        <c:v>01/12/2026 15:00</c:v>
                      </c:pt>
                      <c:pt idx="7">
                        <c:v>01/13/2026 15:00</c:v>
                      </c:pt>
                      <c:pt idx="8">
                        <c:v>01/14/2026 15:00</c:v>
                      </c:pt>
                      <c:pt idx="9">
                        <c:v>01/15/2026 15:00</c:v>
                      </c:pt>
                      <c:pt idx="10">
                        <c:v>01/16/2026 15:00</c:v>
                      </c:pt>
                      <c:pt idx="11">
                        <c:v>01/20/2026 15:00</c:v>
                      </c:pt>
                      <c:pt idx="12">
                        <c:v>01/21/2026 15:00</c:v>
                      </c:pt>
                      <c:pt idx="13">
                        <c:v>01/22/2026 15:00</c:v>
                      </c:pt>
                      <c:pt idx="14">
                        <c:v>01/23/2026 15:00</c:v>
                      </c:pt>
                      <c:pt idx="15">
                        <c:v>01/26/2026 15:00</c:v>
                      </c:pt>
                      <c:pt idx="16">
                        <c:v>01/27/2026 15:00</c:v>
                      </c:pt>
                      <c:pt idx="17">
                        <c:v>01/28/2026 15:00</c:v>
                      </c:pt>
                      <c:pt idx="18">
                        <c:v>01/29/2026 15:00</c:v>
                      </c:pt>
                      <c:pt idx="19">
                        <c:v>01/30/2026 15:00</c:v>
                      </c:pt>
                      <c:pt idx="20">
                        <c:v>02/02/2026 15:00</c:v>
                      </c:pt>
                      <c:pt idx="21">
                        <c:v>02/03/2026 15:00</c:v>
                      </c:pt>
                      <c:pt idx="22">
                        <c:v>02/04/2026 15:00</c:v>
                      </c:pt>
                      <c:pt idx="23">
                        <c:v>02/05/2026 15:00</c:v>
                      </c:pt>
                      <c:pt idx="24">
                        <c:v>02/06/2026 15:00</c:v>
                      </c:pt>
                      <c:pt idx="25">
                        <c:v>02/09/2026 15:00</c:v>
                      </c:pt>
                      <c:pt idx="26">
                        <c:v>02/10/2026 15:00</c:v>
                      </c:pt>
                      <c:pt idx="27">
                        <c:v>02/11/2026 15:00</c:v>
                      </c:pt>
                      <c:pt idx="28">
                        <c:v>02/12/2026 15:00</c:v>
                      </c:pt>
                      <c:pt idx="29">
                        <c:v>02/13/2026 15:00</c:v>
                      </c:pt>
                      <c:pt idx="30">
                        <c:v>02/17/2026 15:00</c:v>
                      </c:pt>
                      <c:pt idx="31">
                        <c:v>02/18/2026 15:00</c:v>
                      </c:pt>
                      <c:pt idx="32">
                        <c:v>02/19/2026 15:00</c:v>
                      </c:pt>
                      <c:pt idx="33">
                        <c:v>02/20/2026 15:00</c:v>
                      </c:pt>
                      <c:pt idx="34">
                        <c:v>02/23/2026 15:00</c:v>
                      </c:pt>
                      <c:pt idx="35">
                        <c:v>02/24/2026 15:00</c:v>
                      </c:pt>
                      <c:pt idx="36">
                        <c:v>02/25/2026 15:00</c:v>
                      </c:pt>
                      <c:pt idx="37">
                        <c:v>02/26/2026 15:00</c:v>
                      </c:pt>
                      <c:pt idx="38">
                        <c:v>02/27/2026 15:00</c:v>
                      </c:pt>
                      <c:pt idx="39">
                        <c:v>02/27/2026 19:53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'[1]1'!$E$14:$E$250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AB-483A-ABBE-08A1BD7C4B5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'[1]1'!$F$12:$F$13</c15:sqref>
                        </c15:formulaRef>
                      </c:ext>
                    </c:extLst>
                    <c:strCache>
                      <c:ptCount val="1"/>
                      <c:pt idx="0">
                        <c:v>Short Risk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'VCIT Basis (2)'!$A$14:$A$250</c15:sqref>
                        </c15:formulaRef>
                      </c:ext>
                    </c:extLst>
                    <c:strCache>
                      <c:ptCount val="40"/>
                      <c:pt idx="0">
                        <c:v>01/02/2026 15:00</c:v>
                      </c:pt>
                      <c:pt idx="1">
                        <c:v>01/05/2026 15:00</c:v>
                      </c:pt>
                      <c:pt idx="2">
                        <c:v>01/06/2026 15:00</c:v>
                      </c:pt>
                      <c:pt idx="3">
                        <c:v>01/07/2026 15:00</c:v>
                      </c:pt>
                      <c:pt idx="4">
                        <c:v>01/08/2026 15:00</c:v>
                      </c:pt>
                      <c:pt idx="5">
                        <c:v>01/09/2026 15:00</c:v>
                      </c:pt>
                      <c:pt idx="6">
                        <c:v>01/12/2026 15:00</c:v>
                      </c:pt>
                      <c:pt idx="7">
                        <c:v>01/13/2026 15:00</c:v>
                      </c:pt>
                      <c:pt idx="8">
                        <c:v>01/14/2026 15:00</c:v>
                      </c:pt>
                      <c:pt idx="9">
                        <c:v>01/15/2026 15:00</c:v>
                      </c:pt>
                      <c:pt idx="10">
                        <c:v>01/16/2026 15:00</c:v>
                      </c:pt>
                      <c:pt idx="11">
                        <c:v>01/20/2026 15:00</c:v>
                      </c:pt>
                      <c:pt idx="12">
                        <c:v>01/21/2026 15:00</c:v>
                      </c:pt>
                      <c:pt idx="13">
                        <c:v>01/22/2026 15:00</c:v>
                      </c:pt>
                      <c:pt idx="14">
                        <c:v>01/23/2026 15:00</c:v>
                      </c:pt>
                      <c:pt idx="15">
                        <c:v>01/26/2026 15:00</c:v>
                      </c:pt>
                      <c:pt idx="16">
                        <c:v>01/27/2026 15:00</c:v>
                      </c:pt>
                      <c:pt idx="17">
                        <c:v>01/28/2026 15:00</c:v>
                      </c:pt>
                      <c:pt idx="18">
                        <c:v>01/29/2026 15:00</c:v>
                      </c:pt>
                      <c:pt idx="19">
                        <c:v>01/30/2026 15:00</c:v>
                      </c:pt>
                      <c:pt idx="20">
                        <c:v>02/02/2026 15:00</c:v>
                      </c:pt>
                      <c:pt idx="21">
                        <c:v>02/03/2026 15:00</c:v>
                      </c:pt>
                      <c:pt idx="22">
                        <c:v>02/04/2026 15:00</c:v>
                      </c:pt>
                      <c:pt idx="23">
                        <c:v>02/05/2026 15:00</c:v>
                      </c:pt>
                      <c:pt idx="24">
                        <c:v>02/06/2026 15:00</c:v>
                      </c:pt>
                      <c:pt idx="25">
                        <c:v>02/09/2026 15:00</c:v>
                      </c:pt>
                      <c:pt idx="26">
                        <c:v>02/10/2026 15:00</c:v>
                      </c:pt>
                      <c:pt idx="27">
                        <c:v>02/11/2026 15:00</c:v>
                      </c:pt>
                      <c:pt idx="28">
                        <c:v>02/12/2026 15:00</c:v>
                      </c:pt>
                      <c:pt idx="29">
                        <c:v>02/13/2026 15:00</c:v>
                      </c:pt>
                      <c:pt idx="30">
                        <c:v>02/17/2026 15:00</c:v>
                      </c:pt>
                      <c:pt idx="31">
                        <c:v>02/18/2026 15:00</c:v>
                      </c:pt>
                      <c:pt idx="32">
                        <c:v>02/19/2026 15:00</c:v>
                      </c:pt>
                      <c:pt idx="33">
                        <c:v>02/20/2026 15:00</c:v>
                      </c:pt>
                      <c:pt idx="34">
                        <c:v>02/23/2026 15:00</c:v>
                      </c:pt>
                      <c:pt idx="35">
                        <c:v>02/24/2026 15:00</c:v>
                      </c:pt>
                      <c:pt idx="36">
                        <c:v>02/25/2026 15:00</c:v>
                      </c:pt>
                      <c:pt idx="37">
                        <c:v>02/26/2026 15:00</c:v>
                      </c:pt>
                      <c:pt idx="38">
                        <c:v>02/27/2026 15:00</c:v>
                      </c:pt>
                      <c:pt idx="39">
                        <c:v>02/27/2026 19:53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7AB-483A-ABBE-08A1BD7C4B5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'[1]1'!$G$12:$G$13</c15:sqref>
                        </c15:formulaRef>
                      </c:ext>
                    </c:extLst>
                    <c:strCache>
                      <c:ptCount val="1"/>
                      <c:pt idx="0">
                        <c:v>Short Risk 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'VCIT Basis (2)'!$A$14:$A$250</c15:sqref>
                        </c15:formulaRef>
                      </c:ext>
                    </c:extLst>
                    <c:strCache>
                      <c:ptCount val="40"/>
                      <c:pt idx="0">
                        <c:v>01/02/2026 15:00</c:v>
                      </c:pt>
                      <c:pt idx="1">
                        <c:v>01/05/2026 15:00</c:v>
                      </c:pt>
                      <c:pt idx="2">
                        <c:v>01/06/2026 15:00</c:v>
                      </c:pt>
                      <c:pt idx="3">
                        <c:v>01/07/2026 15:00</c:v>
                      </c:pt>
                      <c:pt idx="4">
                        <c:v>01/08/2026 15:00</c:v>
                      </c:pt>
                      <c:pt idx="5">
                        <c:v>01/09/2026 15:00</c:v>
                      </c:pt>
                      <c:pt idx="6">
                        <c:v>01/12/2026 15:00</c:v>
                      </c:pt>
                      <c:pt idx="7">
                        <c:v>01/13/2026 15:00</c:v>
                      </c:pt>
                      <c:pt idx="8">
                        <c:v>01/14/2026 15:00</c:v>
                      </c:pt>
                      <c:pt idx="9">
                        <c:v>01/15/2026 15:00</c:v>
                      </c:pt>
                      <c:pt idx="10">
                        <c:v>01/16/2026 15:00</c:v>
                      </c:pt>
                      <c:pt idx="11">
                        <c:v>01/20/2026 15:00</c:v>
                      </c:pt>
                      <c:pt idx="12">
                        <c:v>01/21/2026 15:00</c:v>
                      </c:pt>
                      <c:pt idx="13">
                        <c:v>01/22/2026 15:00</c:v>
                      </c:pt>
                      <c:pt idx="14">
                        <c:v>01/23/2026 15:00</c:v>
                      </c:pt>
                      <c:pt idx="15">
                        <c:v>01/26/2026 15:00</c:v>
                      </c:pt>
                      <c:pt idx="16">
                        <c:v>01/27/2026 15:00</c:v>
                      </c:pt>
                      <c:pt idx="17">
                        <c:v>01/28/2026 15:00</c:v>
                      </c:pt>
                      <c:pt idx="18">
                        <c:v>01/29/2026 15:00</c:v>
                      </c:pt>
                      <c:pt idx="19">
                        <c:v>01/30/2026 15:00</c:v>
                      </c:pt>
                      <c:pt idx="20">
                        <c:v>02/02/2026 15:00</c:v>
                      </c:pt>
                      <c:pt idx="21">
                        <c:v>02/03/2026 15:00</c:v>
                      </c:pt>
                      <c:pt idx="22">
                        <c:v>02/04/2026 15:00</c:v>
                      </c:pt>
                      <c:pt idx="23">
                        <c:v>02/05/2026 15:00</c:v>
                      </c:pt>
                      <c:pt idx="24">
                        <c:v>02/06/2026 15:00</c:v>
                      </c:pt>
                      <c:pt idx="25">
                        <c:v>02/09/2026 15:00</c:v>
                      </c:pt>
                      <c:pt idx="26">
                        <c:v>02/10/2026 15:00</c:v>
                      </c:pt>
                      <c:pt idx="27">
                        <c:v>02/11/2026 15:00</c:v>
                      </c:pt>
                      <c:pt idx="28">
                        <c:v>02/12/2026 15:00</c:v>
                      </c:pt>
                      <c:pt idx="29">
                        <c:v>02/13/2026 15:00</c:v>
                      </c:pt>
                      <c:pt idx="30">
                        <c:v>02/17/2026 15:00</c:v>
                      </c:pt>
                      <c:pt idx="31">
                        <c:v>02/18/2026 15:00</c:v>
                      </c:pt>
                      <c:pt idx="32">
                        <c:v>02/19/2026 15:00</c:v>
                      </c:pt>
                      <c:pt idx="33">
                        <c:v>02/20/2026 15:00</c:v>
                      </c:pt>
                      <c:pt idx="34">
                        <c:v>02/23/2026 15:00</c:v>
                      </c:pt>
                      <c:pt idx="35">
                        <c:v>02/24/2026 15:00</c:v>
                      </c:pt>
                      <c:pt idx="36">
                        <c:v>02/25/2026 15:00</c:v>
                      </c:pt>
                      <c:pt idx="37">
                        <c:v>02/26/2026 15:00</c:v>
                      </c:pt>
                      <c:pt idx="38">
                        <c:v>02/27/2026 15:00</c:v>
                      </c:pt>
                      <c:pt idx="39">
                        <c:v>02/27/2026 19:53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'[1]1'!$G$14:$G$250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AB-483A-ABBE-08A1BD7C4B5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'[1]1'!$H$12:$H$13</c15:sqref>
                        </c15:formulaRef>
                      </c:ext>
                    </c:extLst>
                    <c:strCache>
                      <c:ptCount val="1"/>
                      <c:pt idx="0">
                        <c:v>Short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'VCIT Basis (2)'!$A$14:$A$250</c15:sqref>
                        </c15:formulaRef>
                      </c:ext>
                    </c:extLst>
                    <c:strCache>
                      <c:ptCount val="40"/>
                      <c:pt idx="0">
                        <c:v>01/02/2026 15:00</c:v>
                      </c:pt>
                      <c:pt idx="1">
                        <c:v>01/05/2026 15:00</c:v>
                      </c:pt>
                      <c:pt idx="2">
                        <c:v>01/06/2026 15:00</c:v>
                      </c:pt>
                      <c:pt idx="3">
                        <c:v>01/07/2026 15:00</c:v>
                      </c:pt>
                      <c:pt idx="4">
                        <c:v>01/08/2026 15:00</c:v>
                      </c:pt>
                      <c:pt idx="5">
                        <c:v>01/09/2026 15:00</c:v>
                      </c:pt>
                      <c:pt idx="6">
                        <c:v>01/12/2026 15:00</c:v>
                      </c:pt>
                      <c:pt idx="7">
                        <c:v>01/13/2026 15:00</c:v>
                      </c:pt>
                      <c:pt idx="8">
                        <c:v>01/14/2026 15:00</c:v>
                      </c:pt>
                      <c:pt idx="9">
                        <c:v>01/15/2026 15:00</c:v>
                      </c:pt>
                      <c:pt idx="10">
                        <c:v>01/16/2026 15:00</c:v>
                      </c:pt>
                      <c:pt idx="11">
                        <c:v>01/20/2026 15:00</c:v>
                      </c:pt>
                      <c:pt idx="12">
                        <c:v>01/21/2026 15:00</c:v>
                      </c:pt>
                      <c:pt idx="13">
                        <c:v>01/22/2026 15:00</c:v>
                      </c:pt>
                      <c:pt idx="14">
                        <c:v>01/23/2026 15:00</c:v>
                      </c:pt>
                      <c:pt idx="15">
                        <c:v>01/26/2026 15:00</c:v>
                      </c:pt>
                      <c:pt idx="16">
                        <c:v>01/27/2026 15:00</c:v>
                      </c:pt>
                      <c:pt idx="17">
                        <c:v>01/28/2026 15:00</c:v>
                      </c:pt>
                      <c:pt idx="18">
                        <c:v>01/29/2026 15:00</c:v>
                      </c:pt>
                      <c:pt idx="19">
                        <c:v>01/30/2026 15:00</c:v>
                      </c:pt>
                      <c:pt idx="20">
                        <c:v>02/02/2026 15:00</c:v>
                      </c:pt>
                      <c:pt idx="21">
                        <c:v>02/03/2026 15:00</c:v>
                      </c:pt>
                      <c:pt idx="22">
                        <c:v>02/04/2026 15:00</c:v>
                      </c:pt>
                      <c:pt idx="23">
                        <c:v>02/05/2026 15:00</c:v>
                      </c:pt>
                      <c:pt idx="24">
                        <c:v>02/06/2026 15:00</c:v>
                      </c:pt>
                      <c:pt idx="25">
                        <c:v>02/09/2026 15:00</c:v>
                      </c:pt>
                      <c:pt idx="26">
                        <c:v>02/10/2026 15:00</c:v>
                      </c:pt>
                      <c:pt idx="27">
                        <c:v>02/11/2026 15:00</c:v>
                      </c:pt>
                      <c:pt idx="28">
                        <c:v>02/12/2026 15:00</c:v>
                      </c:pt>
                      <c:pt idx="29">
                        <c:v>02/13/2026 15:00</c:v>
                      </c:pt>
                      <c:pt idx="30">
                        <c:v>02/17/2026 15:00</c:v>
                      </c:pt>
                      <c:pt idx="31">
                        <c:v>02/18/2026 15:00</c:v>
                      </c:pt>
                      <c:pt idx="32">
                        <c:v>02/19/2026 15:00</c:v>
                      </c:pt>
                      <c:pt idx="33">
                        <c:v>02/20/2026 15:00</c:v>
                      </c:pt>
                      <c:pt idx="34">
                        <c:v>02/23/2026 15:00</c:v>
                      </c:pt>
                      <c:pt idx="35">
                        <c:v>02/24/2026 15:00</c:v>
                      </c:pt>
                      <c:pt idx="36">
                        <c:v>02/25/2026 15:00</c:v>
                      </c:pt>
                      <c:pt idx="37">
                        <c:v>02/26/2026 15:00</c:v>
                      </c:pt>
                      <c:pt idx="38">
                        <c:v>02/27/2026 15:00</c:v>
                      </c:pt>
                      <c:pt idx="39">
                        <c:v>02/27/2026 19:53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'[1]1'!$H$14:$H$250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7AB-483A-ABBE-08A1BD7C4B54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Final!$L$12:$L$13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Final!$A$14:$A$250</c:f>
              <c:strCache>
                <c:ptCount val="40"/>
                <c:pt idx="0">
                  <c:v>01/02/2026 15:00</c:v>
                </c:pt>
                <c:pt idx="1">
                  <c:v>01/05/2026 15:00</c:v>
                </c:pt>
                <c:pt idx="2">
                  <c:v>01/06/2026 15:00</c:v>
                </c:pt>
                <c:pt idx="3">
                  <c:v>01/07/2026 15:00</c:v>
                </c:pt>
                <c:pt idx="4">
                  <c:v>01/08/2026 15:00</c:v>
                </c:pt>
                <c:pt idx="5">
                  <c:v>01/09/2026 15:00</c:v>
                </c:pt>
                <c:pt idx="6">
                  <c:v>01/12/2026 15:00</c:v>
                </c:pt>
                <c:pt idx="7">
                  <c:v>01/13/2026 15:00</c:v>
                </c:pt>
                <c:pt idx="8">
                  <c:v>01/14/2026 15:00</c:v>
                </c:pt>
                <c:pt idx="9">
                  <c:v>01/15/2026 15:00</c:v>
                </c:pt>
                <c:pt idx="10">
                  <c:v>01/16/2026 15:00</c:v>
                </c:pt>
                <c:pt idx="11">
                  <c:v>01/20/2026 15:00</c:v>
                </c:pt>
                <c:pt idx="12">
                  <c:v>01/21/2026 15:00</c:v>
                </c:pt>
                <c:pt idx="13">
                  <c:v>01/22/2026 15:00</c:v>
                </c:pt>
                <c:pt idx="14">
                  <c:v>01/23/2026 15:00</c:v>
                </c:pt>
                <c:pt idx="15">
                  <c:v>01/26/2026 15:00</c:v>
                </c:pt>
                <c:pt idx="16">
                  <c:v>01/27/2026 15:00</c:v>
                </c:pt>
                <c:pt idx="17">
                  <c:v>01/28/2026 15:00</c:v>
                </c:pt>
                <c:pt idx="18">
                  <c:v>01/29/2026 15:00</c:v>
                </c:pt>
                <c:pt idx="19">
                  <c:v>01/30/2026 15:00</c:v>
                </c:pt>
                <c:pt idx="20">
                  <c:v>02/02/2026 15:00</c:v>
                </c:pt>
                <c:pt idx="21">
                  <c:v>02/03/2026 15:00</c:v>
                </c:pt>
                <c:pt idx="22">
                  <c:v>02/04/2026 15:00</c:v>
                </c:pt>
                <c:pt idx="23">
                  <c:v>02/05/2026 15:00</c:v>
                </c:pt>
                <c:pt idx="24">
                  <c:v>02/06/2026 15:00</c:v>
                </c:pt>
                <c:pt idx="25">
                  <c:v>02/09/2026 15:00</c:v>
                </c:pt>
                <c:pt idx="26">
                  <c:v>02/10/2026 15:00</c:v>
                </c:pt>
                <c:pt idx="27">
                  <c:v>02/11/2026 15:00</c:v>
                </c:pt>
                <c:pt idx="28">
                  <c:v>02/12/2026 15:00</c:v>
                </c:pt>
                <c:pt idx="29">
                  <c:v>02/13/2026 15:00</c:v>
                </c:pt>
                <c:pt idx="30">
                  <c:v>02/17/2026 15:00</c:v>
                </c:pt>
                <c:pt idx="31">
                  <c:v>02/18/2026 15:00</c:v>
                </c:pt>
                <c:pt idx="32">
                  <c:v>02/19/2026 15:00</c:v>
                </c:pt>
                <c:pt idx="33">
                  <c:v>02/20/2026 15:00</c:v>
                </c:pt>
                <c:pt idx="34">
                  <c:v>02/23/2026 15:00</c:v>
                </c:pt>
                <c:pt idx="35">
                  <c:v>02/24/2026 15:00</c:v>
                </c:pt>
                <c:pt idx="36">
                  <c:v>02/25/2026 15:00</c:v>
                </c:pt>
                <c:pt idx="37">
                  <c:v>02/26/2026 15:00</c:v>
                </c:pt>
                <c:pt idx="38">
                  <c:v>02/27/2026 15:00</c:v>
                </c:pt>
                <c:pt idx="39">
                  <c:v>02/27/2026 19:53</c:v>
                </c:pt>
              </c:strCache>
            </c:strRef>
          </c:cat>
          <c:val>
            <c:numRef>
              <c:f>Final!$L$14:$L$250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4041.0584420038399</c:v>
                </c:pt>
                <c:pt idx="2">
                  <c:v>4637.1251056987985</c:v>
                </c:pt>
                <c:pt idx="3">
                  <c:v>5557.0803984841532</c:v>
                </c:pt>
                <c:pt idx="4">
                  <c:v>7033.6960148899134</c:v>
                </c:pt>
                <c:pt idx="5">
                  <c:v>3625.0147585942345</c:v>
                </c:pt>
                <c:pt idx="6">
                  <c:v>6878.9035569394364</c:v>
                </c:pt>
                <c:pt idx="7">
                  <c:v>2482.8427842836909</c:v>
                </c:pt>
                <c:pt idx="8">
                  <c:v>2111.1904152584598</c:v>
                </c:pt>
                <c:pt idx="9">
                  <c:v>3497.0525153041112</c:v>
                </c:pt>
                <c:pt idx="10">
                  <c:v>4708.7833898899162</c:v>
                </c:pt>
                <c:pt idx="11">
                  <c:v>3990.5569500905476</c:v>
                </c:pt>
                <c:pt idx="12">
                  <c:v>3030.6941119944531</c:v>
                </c:pt>
                <c:pt idx="13">
                  <c:v>3018.9167756894121</c:v>
                </c:pt>
                <c:pt idx="14">
                  <c:v>2314.0309230243047</c:v>
                </c:pt>
                <c:pt idx="15">
                  <c:v>3294.6846559291271</c:v>
                </c:pt>
                <c:pt idx="16">
                  <c:v>1678.4432068945234</c:v>
                </c:pt>
                <c:pt idx="17">
                  <c:v>3131.9782742192556</c:v>
                </c:pt>
                <c:pt idx="18">
                  <c:v>3434.8990506445034</c:v>
                </c:pt>
                <c:pt idx="19">
                  <c:v>2659.0106016091559</c:v>
                </c:pt>
                <c:pt idx="20">
                  <c:v>7306.4926581345007</c:v>
                </c:pt>
                <c:pt idx="21">
                  <c:v>4959.9403218290663</c:v>
                </c:pt>
                <c:pt idx="22">
                  <c:v>4407.9781309741429</c:v>
                </c:pt>
                <c:pt idx="23">
                  <c:v>-1884.0547071223082</c:v>
                </c:pt>
                <c:pt idx="24">
                  <c:v>2065.1723274829983</c:v>
                </c:pt>
                <c:pt idx="25">
                  <c:v>5283.6372058375546</c:v>
                </c:pt>
                <c:pt idx="26">
                  <c:v>6238.7809495418933</c:v>
                </c:pt>
                <c:pt idx="27">
                  <c:v>4085.253275048186</c:v>
                </c:pt>
                <c:pt idx="28">
                  <c:v>894.21584058188455</c:v>
                </c:pt>
                <c:pt idx="29">
                  <c:v>-2385.6382229740975</c:v>
                </c:pt>
                <c:pt idx="30">
                  <c:v>-4759.3980518349199</c:v>
                </c:pt>
                <c:pt idx="31">
                  <c:v>-2571.2607263293939</c:v>
                </c:pt>
                <c:pt idx="32">
                  <c:v>-3683.3945789945246</c:v>
                </c:pt>
                <c:pt idx="33">
                  <c:v>-2522.0119153003434</c:v>
                </c:pt>
                <c:pt idx="34">
                  <c:v>-2373.6408442053289</c:v>
                </c:pt>
                <c:pt idx="35">
                  <c:v>-1525.6498896101493</c:v>
                </c:pt>
                <c:pt idx="36">
                  <c:v>-529.77945137505958</c:v>
                </c:pt>
                <c:pt idx="37">
                  <c:v>-1964.9761913106358</c:v>
                </c:pt>
                <c:pt idx="38">
                  <c:v>-4230.1377857957068</c:v>
                </c:pt>
                <c:pt idx="39">
                  <c:v>-1179.0494457957266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38-478E-B3B0-AD5718037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'[1]1'!$B$12:$B$13</c15:sqref>
                        </c15:formulaRef>
                      </c:ext>
                    </c:extLst>
                    <c:strCache>
                      <c:ptCount val="1"/>
                      <c:pt idx="0">
                        <c:v>Long Risk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Final!$A$14:$A$250</c15:sqref>
                        </c15:formulaRef>
                      </c:ext>
                    </c:extLst>
                    <c:strCache>
                      <c:ptCount val="40"/>
                      <c:pt idx="0">
                        <c:v>01/02/2026 15:00</c:v>
                      </c:pt>
                      <c:pt idx="1">
                        <c:v>01/05/2026 15:00</c:v>
                      </c:pt>
                      <c:pt idx="2">
                        <c:v>01/06/2026 15:00</c:v>
                      </c:pt>
                      <c:pt idx="3">
                        <c:v>01/07/2026 15:00</c:v>
                      </c:pt>
                      <c:pt idx="4">
                        <c:v>01/08/2026 15:00</c:v>
                      </c:pt>
                      <c:pt idx="5">
                        <c:v>01/09/2026 15:00</c:v>
                      </c:pt>
                      <c:pt idx="6">
                        <c:v>01/12/2026 15:00</c:v>
                      </c:pt>
                      <c:pt idx="7">
                        <c:v>01/13/2026 15:00</c:v>
                      </c:pt>
                      <c:pt idx="8">
                        <c:v>01/14/2026 15:00</c:v>
                      </c:pt>
                      <c:pt idx="9">
                        <c:v>01/15/2026 15:00</c:v>
                      </c:pt>
                      <c:pt idx="10">
                        <c:v>01/16/2026 15:00</c:v>
                      </c:pt>
                      <c:pt idx="11">
                        <c:v>01/20/2026 15:00</c:v>
                      </c:pt>
                      <c:pt idx="12">
                        <c:v>01/21/2026 15:00</c:v>
                      </c:pt>
                      <c:pt idx="13">
                        <c:v>01/22/2026 15:00</c:v>
                      </c:pt>
                      <c:pt idx="14">
                        <c:v>01/23/2026 15:00</c:v>
                      </c:pt>
                      <c:pt idx="15">
                        <c:v>01/26/2026 15:00</c:v>
                      </c:pt>
                      <c:pt idx="16">
                        <c:v>01/27/2026 15:00</c:v>
                      </c:pt>
                      <c:pt idx="17">
                        <c:v>01/28/2026 15:00</c:v>
                      </c:pt>
                      <c:pt idx="18">
                        <c:v>01/29/2026 15:00</c:v>
                      </c:pt>
                      <c:pt idx="19">
                        <c:v>01/30/2026 15:00</c:v>
                      </c:pt>
                      <c:pt idx="20">
                        <c:v>02/02/2026 15:00</c:v>
                      </c:pt>
                      <c:pt idx="21">
                        <c:v>02/03/2026 15:00</c:v>
                      </c:pt>
                      <c:pt idx="22">
                        <c:v>02/04/2026 15:00</c:v>
                      </c:pt>
                      <c:pt idx="23">
                        <c:v>02/05/2026 15:00</c:v>
                      </c:pt>
                      <c:pt idx="24">
                        <c:v>02/06/2026 15:00</c:v>
                      </c:pt>
                      <c:pt idx="25">
                        <c:v>02/09/2026 15:00</c:v>
                      </c:pt>
                      <c:pt idx="26">
                        <c:v>02/10/2026 15:00</c:v>
                      </c:pt>
                      <c:pt idx="27">
                        <c:v>02/11/2026 15:00</c:v>
                      </c:pt>
                      <c:pt idx="28">
                        <c:v>02/12/2026 15:00</c:v>
                      </c:pt>
                      <c:pt idx="29">
                        <c:v>02/13/2026 15:00</c:v>
                      </c:pt>
                      <c:pt idx="30">
                        <c:v>02/17/2026 15:00</c:v>
                      </c:pt>
                      <c:pt idx="31">
                        <c:v>02/18/2026 15:00</c:v>
                      </c:pt>
                      <c:pt idx="32">
                        <c:v>02/19/2026 15:00</c:v>
                      </c:pt>
                      <c:pt idx="33">
                        <c:v>02/20/2026 15:00</c:v>
                      </c:pt>
                      <c:pt idx="34">
                        <c:v>02/23/2026 15:00</c:v>
                      </c:pt>
                      <c:pt idx="35">
                        <c:v>02/24/2026 15:00</c:v>
                      </c:pt>
                      <c:pt idx="36">
                        <c:v>02/25/2026 15:00</c:v>
                      </c:pt>
                      <c:pt idx="37">
                        <c:v>02/26/2026 15:00</c:v>
                      </c:pt>
                      <c:pt idx="38">
                        <c:v>02/27/2026 15:00</c:v>
                      </c:pt>
                      <c:pt idx="39">
                        <c:v>02/27/2026 19:53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104.553</c:v>
                      </c:pt>
                      <c:pt idx="2">
                        <c:v>101.04600000000001</c:v>
                      </c:pt>
                      <c:pt idx="3">
                        <c:v>100.447</c:v>
                      </c:pt>
                      <c:pt idx="4">
                        <c:v>104.029</c:v>
                      </c:pt>
                      <c:pt idx="5">
                        <c:v>101.164</c:v>
                      </c:pt>
                      <c:pt idx="6">
                        <c:v>94.63</c:v>
                      </c:pt>
                      <c:pt idx="7">
                        <c:v>90.936999999999998</c:v>
                      </c:pt>
                      <c:pt idx="8">
                        <c:v>90.266000000000005</c:v>
                      </c:pt>
                      <c:pt idx="9">
                        <c:v>89.93</c:v>
                      </c:pt>
                      <c:pt idx="10">
                        <c:v>85.751000000000005</c:v>
                      </c:pt>
                      <c:pt idx="11">
                        <c:v>86.3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138-478E-B3B0-AD5718037CF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'[1]1'!$C$12:$C$13</c15:sqref>
                        </c15:formulaRef>
                      </c:ext>
                    </c:extLst>
                    <c:strCache>
                      <c:ptCount val="1"/>
                      <c:pt idx="0">
                        <c:v>Long Risk 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Final!$A$14:$A$250</c15:sqref>
                        </c15:formulaRef>
                      </c:ext>
                    </c:extLst>
                    <c:strCache>
                      <c:ptCount val="40"/>
                      <c:pt idx="0">
                        <c:v>01/02/2026 15:00</c:v>
                      </c:pt>
                      <c:pt idx="1">
                        <c:v>01/05/2026 15:00</c:v>
                      </c:pt>
                      <c:pt idx="2">
                        <c:v>01/06/2026 15:00</c:v>
                      </c:pt>
                      <c:pt idx="3">
                        <c:v>01/07/2026 15:00</c:v>
                      </c:pt>
                      <c:pt idx="4">
                        <c:v>01/08/2026 15:00</c:v>
                      </c:pt>
                      <c:pt idx="5">
                        <c:v>01/09/2026 15:00</c:v>
                      </c:pt>
                      <c:pt idx="6">
                        <c:v>01/12/2026 15:00</c:v>
                      </c:pt>
                      <c:pt idx="7">
                        <c:v>01/13/2026 15:00</c:v>
                      </c:pt>
                      <c:pt idx="8">
                        <c:v>01/14/2026 15:00</c:v>
                      </c:pt>
                      <c:pt idx="9">
                        <c:v>01/15/2026 15:00</c:v>
                      </c:pt>
                      <c:pt idx="10">
                        <c:v>01/16/2026 15:00</c:v>
                      </c:pt>
                      <c:pt idx="11">
                        <c:v>01/20/2026 15:00</c:v>
                      </c:pt>
                      <c:pt idx="12">
                        <c:v>01/21/2026 15:00</c:v>
                      </c:pt>
                      <c:pt idx="13">
                        <c:v>01/22/2026 15:00</c:v>
                      </c:pt>
                      <c:pt idx="14">
                        <c:v>01/23/2026 15:00</c:v>
                      </c:pt>
                      <c:pt idx="15">
                        <c:v>01/26/2026 15:00</c:v>
                      </c:pt>
                      <c:pt idx="16">
                        <c:v>01/27/2026 15:00</c:v>
                      </c:pt>
                      <c:pt idx="17">
                        <c:v>01/28/2026 15:00</c:v>
                      </c:pt>
                      <c:pt idx="18">
                        <c:v>01/29/2026 15:00</c:v>
                      </c:pt>
                      <c:pt idx="19">
                        <c:v>01/30/2026 15:00</c:v>
                      </c:pt>
                      <c:pt idx="20">
                        <c:v>02/02/2026 15:00</c:v>
                      </c:pt>
                      <c:pt idx="21">
                        <c:v>02/03/2026 15:00</c:v>
                      </c:pt>
                      <c:pt idx="22">
                        <c:v>02/04/2026 15:00</c:v>
                      </c:pt>
                      <c:pt idx="23">
                        <c:v>02/05/2026 15:00</c:v>
                      </c:pt>
                      <c:pt idx="24">
                        <c:v>02/06/2026 15:00</c:v>
                      </c:pt>
                      <c:pt idx="25">
                        <c:v>02/09/2026 15:00</c:v>
                      </c:pt>
                      <c:pt idx="26">
                        <c:v>02/10/2026 15:00</c:v>
                      </c:pt>
                      <c:pt idx="27">
                        <c:v>02/11/2026 15:00</c:v>
                      </c:pt>
                      <c:pt idx="28">
                        <c:v>02/12/2026 15:00</c:v>
                      </c:pt>
                      <c:pt idx="29">
                        <c:v>02/13/2026 15:00</c:v>
                      </c:pt>
                      <c:pt idx="30">
                        <c:v>02/17/2026 15:00</c:v>
                      </c:pt>
                      <c:pt idx="31">
                        <c:v>02/18/2026 15:00</c:v>
                      </c:pt>
                      <c:pt idx="32">
                        <c:v>02/19/2026 15:00</c:v>
                      </c:pt>
                      <c:pt idx="33">
                        <c:v>02/20/2026 15:00</c:v>
                      </c:pt>
                      <c:pt idx="34">
                        <c:v>02/23/2026 15:00</c:v>
                      </c:pt>
                      <c:pt idx="35">
                        <c:v>02/24/2026 15:00</c:v>
                      </c:pt>
                      <c:pt idx="36">
                        <c:v>02/25/2026 15:00</c:v>
                      </c:pt>
                      <c:pt idx="37">
                        <c:v>02/26/2026 15:00</c:v>
                      </c:pt>
                      <c:pt idx="38">
                        <c:v>02/27/2026 15:00</c:v>
                      </c:pt>
                      <c:pt idx="39">
                        <c:v>02/27/2026 19:53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138-478E-B3B0-AD5718037CF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'[1]1'!$D$12:$D$13</c15:sqref>
                        </c15:formulaRef>
                      </c:ext>
                    </c:extLst>
                    <c:strCache>
                      <c:ptCount val="1"/>
                      <c:pt idx="0">
                        <c:v>Long Risk 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Final!$A$14:$A$250</c15:sqref>
                        </c15:formulaRef>
                      </c:ext>
                    </c:extLst>
                    <c:strCache>
                      <c:ptCount val="40"/>
                      <c:pt idx="0">
                        <c:v>01/02/2026 15:00</c:v>
                      </c:pt>
                      <c:pt idx="1">
                        <c:v>01/05/2026 15:00</c:v>
                      </c:pt>
                      <c:pt idx="2">
                        <c:v>01/06/2026 15:00</c:v>
                      </c:pt>
                      <c:pt idx="3">
                        <c:v>01/07/2026 15:00</c:v>
                      </c:pt>
                      <c:pt idx="4">
                        <c:v>01/08/2026 15:00</c:v>
                      </c:pt>
                      <c:pt idx="5">
                        <c:v>01/09/2026 15:00</c:v>
                      </c:pt>
                      <c:pt idx="6">
                        <c:v>01/12/2026 15:00</c:v>
                      </c:pt>
                      <c:pt idx="7">
                        <c:v>01/13/2026 15:00</c:v>
                      </c:pt>
                      <c:pt idx="8">
                        <c:v>01/14/2026 15:00</c:v>
                      </c:pt>
                      <c:pt idx="9">
                        <c:v>01/15/2026 15:00</c:v>
                      </c:pt>
                      <c:pt idx="10">
                        <c:v>01/16/2026 15:00</c:v>
                      </c:pt>
                      <c:pt idx="11">
                        <c:v>01/20/2026 15:00</c:v>
                      </c:pt>
                      <c:pt idx="12">
                        <c:v>01/21/2026 15:00</c:v>
                      </c:pt>
                      <c:pt idx="13">
                        <c:v>01/22/2026 15:00</c:v>
                      </c:pt>
                      <c:pt idx="14">
                        <c:v>01/23/2026 15:00</c:v>
                      </c:pt>
                      <c:pt idx="15">
                        <c:v>01/26/2026 15:00</c:v>
                      </c:pt>
                      <c:pt idx="16">
                        <c:v>01/27/2026 15:00</c:v>
                      </c:pt>
                      <c:pt idx="17">
                        <c:v>01/28/2026 15:00</c:v>
                      </c:pt>
                      <c:pt idx="18">
                        <c:v>01/29/2026 15:00</c:v>
                      </c:pt>
                      <c:pt idx="19">
                        <c:v>01/30/2026 15:00</c:v>
                      </c:pt>
                      <c:pt idx="20">
                        <c:v>02/02/2026 15:00</c:v>
                      </c:pt>
                      <c:pt idx="21">
                        <c:v>02/03/2026 15:00</c:v>
                      </c:pt>
                      <c:pt idx="22">
                        <c:v>02/04/2026 15:00</c:v>
                      </c:pt>
                      <c:pt idx="23">
                        <c:v>02/05/2026 15:00</c:v>
                      </c:pt>
                      <c:pt idx="24">
                        <c:v>02/06/2026 15:00</c:v>
                      </c:pt>
                      <c:pt idx="25">
                        <c:v>02/09/2026 15:00</c:v>
                      </c:pt>
                      <c:pt idx="26">
                        <c:v>02/10/2026 15:00</c:v>
                      </c:pt>
                      <c:pt idx="27">
                        <c:v>02/11/2026 15:00</c:v>
                      </c:pt>
                      <c:pt idx="28">
                        <c:v>02/12/2026 15:00</c:v>
                      </c:pt>
                      <c:pt idx="29">
                        <c:v>02/13/2026 15:00</c:v>
                      </c:pt>
                      <c:pt idx="30">
                        <c:v>02/17/2026 15:00</c:v>
                      </c:pt>
                      <c:pt idx="31">
                        <c:v>02/18/2026 15:00</c:v>
                      </c:pt>
                      <c:pt idx="32">
                        <c:v>02/19/2026 15:00</c:v>
                      </c:pt>
                      <c:pt idx="33">
                        <c:v>02/20/2026 15:00</c:v>
                      </c:pt>
                      <c:pt idx="34">
                        <c:v>02/23/2026 15:00</c:v>
                      </c:pt>
                      <c:pt idx="35">
                        <c:v>02/24/2026 15:00</c:v>
                      </c:pt>
                      <c:pt idx="36">
                        <c:v>02/25/2026 15:00</c:v>
                      </c:pt>
                      <c:pt idx="37">
                        <c:v>02/26/2026 15:00</c:v>
                      </c:pt>
                      <c:pt idx="38">
                        <c:v>02/27/2026 15:00</c:v>
                      </c:pt>
                      <c:pt idx="39">
                        <c:v>02/27/2026 19:53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'[1]1'!$D$14:$D$250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138-478E-B3B0-AD5718037CF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'[1]1'!$E$12:$E$13</c15:sqref>
                        </c15:formulaRef>
                      </c:ext>
                    </c:extLst>
                    <c:strCache>
                      <c:ptCount val="1"/>
                      <c:pt idx="0">
                        <c:v>Long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Final!$A$14:$A$250</c15:sqref>
                        </c15:formulaRef>
                      </c:ext>
                    </c:extLst>
                    <c:strCache>
                      <c:ptCount val="40"/>
                      <c:pt idx="0">
                        <c:v>01/02/2026 15:00</c:v>
                      </c:pt>
                      <c:pt idx="1">
                        <c:v>01/05/2026 15:00</c:v>
                      </c:pt>
                      <c:pt idx="2">
                        <c:v>01/06/2026 15:00</c:v>
                      </c:pt>
                      <c:pt idx="3">
                        <c:v>01/07/2026 15:00</c:v>
                      </c:pt>
                      <c:pt idx="4">
                        <c:v>01/08/2026 15:00</c:v>
                      </c:pt>
                      <c:pt idx="5">
                        <c:v>01/09/2026 15:00</c:v>
                      </c:pt>
                      <c:pt idx="6">
                        <c:v>01/12/2026 15:00</c:v>
                      </c:pt>
                      <c:pt idx="7">
                        <c:v>01/13/2026 15:00</c:v>
                      </c:pt>
                      <c:pt idx="8">
                        <c:v>01/14/2026 15:00</c:v>
                      </c:pt>
                      <c:pt idx="9">
                        <c:v>01/15/2026 15:00</c:v>
                      </c:pt>
                      <c:pt idx="10">
                        <c:v>01/16/2026 15:00</c:v>
                      </c:pt>
                      <c:pt idx="11">
                        <c:v>01/20/2026 15:00</c:v>
                      </c:pt>
                      <c:pt idx="12">
                        <c:v>01/21/2026 15:00</c:v>
                      </c:pt>
                      <c:pt idx="13">
                        <c:v>01/22/2026 15:00</c:v>
                      </c:pt>
                      <c:pt idx="14">
                        <c:v>01/23/2026 15:00</c:v>
                      </c:pt>
                      <c:pt idx="15">
                        <c:v>01/26/2026 15:00</c:v>
                      </c:pt>
                      <c:pt idx="16">
                        <c:v>01/27/2026 15:00</c:v>
                      </c:pt>
                      <c:pt idx="17">
                        <c:v>01/28/2026 15:00</c:v>
                      </c:pt>
                      <c:pt idx="18">
                        <c:v>01/29/2026 15:00</c:v>
                      </c:pt>
                      <c:pt idx="19">
                        <c:v>01/30/2026 15:00</c:v>
                      </c:pt>
                      <c:pt idx="20">
                        <c:v>02/02/2026 15:00</c:v>
                      </c:pt>
                      <c:pt idx="21">
                        <c:v>02/03/2026 15:00</c:v>
                      </c:pt>
                      <c:pt idx="22">
                        <c:v>02/04/2026 15:00</c:v>
                      </c:pt>
                      <c:pt idx="23">
                        <c:v>02/05/2026 15:00</c:v>
                      </c:pt>
                      <c:pt idx="24">
                        <c:v>02/06/2026 15:00</c:v>
                      </c:pt>
                      <c:pt idx="25">
                        <c:v>02/09/2026 15:00</c:v>
                      </c:pt>
                      <c:pt idx="26">
                        <c:v>02/10/2026 15:00</c:v>
                      </c:pt>
                      <c:pt idx="27">
                        <c:v>02/11/2026 15:00</c:v>
                      </c:pt>
                      <c:pt idx="28">
                        <c:v>02/12/2026 15:00</c:v>
                      </c:pt>
                      <c:pt idx="29">
                        <c:v>02/13/2026 15:00</c:v>
                      </c:pt>
                      <c:pt idx="30">
                        <c:v>02/17/2026 15:00</c:v>
                      </c:pt>
                      <c:pt idx="31">
                        <c:v>02/18/2026 15:00</c:v>
                      </c:pt>
                      <c:pt idx="32">
                        <c:v>02/19/2026 15:00</c:v>
                      </c:pt>
                      <c:pt idx="33">
                        <c:v>02/20/2026 15:00</c:v>
                      </c:pt>
                      <c:pt idx="34">
                        <c:v>02/23/2026 15:00</c:v>
                      </c:pt>
                      <c:pt idx="35">
                        <c:v>02/24/2026 15:00</c:v>
                      </c:pt>
                      <c:pt idx="36">
                        <c:v>02/25/2026 15:00</c:v>
                      </c:pt>
                      <c:pt idx="37">
                        <c:v>02/26/2026 15:00</c:v>
                      </c:pt>
                      <c:pt idx="38">
                        <c:v>02/27/2026 15:00</c:v>
                      </c:pt>
                      <c:pt idx="39">
                        <c:v>02/27/2026 19:53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'[1]1'!$E$14:$E$250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19444.444444444445</c:v>
                      </c:pt>
                      <c:pt idx="2">
                        <c:v>38194.444444444445</c:v>
                      </c:pt>
                      <c:pt idx="3">
                        <c:v>39583.333333333336</c:v>
                      </c:pt>
                      <c:pt idx="4">
                        <c:v>52777.777777777781</c:v>
                      </c:pt>
                      <c:pt idx="5">
                        <c:v>54166.666666666664</c:v>
                      </c:pt>
                      <c:pt idx="6">
                        <c:v>63194.444444444438</c:v>
                      </c:pt>
                      <c:pt idx="7">
                        <c:v>69444.444444444453</c:v>
                      </c:pt>
                      <c:pt idx="8">
                        <c:v>72222.222222222234</c:v>
                      </c:pt>
                      <c:pt idx="9">
                        <c:v>72916.666666666672</c:v>
                      </c:pt>
                      <c:pt idx="10">
                        <c:v>86805.555555555547</c:v>
                      </c:pt>
                      <c:pt idx="11">
                        <c:v>88194.444444444438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138-478E-B3B0-AD5718037CF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'[1]1'!$F$12:$F$13</c15:sqref>
                        </c15:formulaRef>
                      </c:ext>
                    </c:extLst>
                    <c:strCache>
                      <c:ptCount val="1"/>
                      <c:pt idx="0">
                        <c:v>Short Risk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Final!$A$14:$A$250</c15:sqref>
                        </c15:formulaRef>
                      </c:ext>
                    </c:extLst>
                    <c:strCache>
                      <c:ptCount val="40"/>
                      <c:pt idx="0">
                        <c:v>01/02/2026 15:00</c:v>
                      </c:pt>
                      <c:pt idx="1">
                        <c:v>01/05/2026 15:00</c:v>
                      </c:pt>
                      <c:pt idx="2">
                        <c:v>01/06/2026 15:00</c:v>
                      </c:pt>
                      <c:pt idx="3">
                        <c:v>01/07/2026 15:00</c:v>
                      </c:pt>
                      <c:pt idx="4">
                        <c:v>01/08/2026 15:00</c:v>
                      </c:pt>
                      <c:pt idx="5">
                        <c:v>01/09/2026 15:00</c:v>
                      </c:pt>
                      <c:pt idx="6">
                        <c:v>01/12/2026 15:00</c:v>
                      </c:pt>
                      <c:pt idx="7">
                        <c:v>01/13/2026 15:00</c:v>
                      </c:pt>
                      <c:pt idx="8">
                        <c:v>01/14/2026 15:00</c:v>
                      </c:pt>
                      <c:pt idx="9">
                        <c:v>01/15/2026 15:00</c:v>
                      </c:pt>
                      <c:pt idx="10">
                        <c:v>01/16/2026 15:00</c:v>
                      </c:pt>
                      <c:pt idx="11">
                        <c:v>01/20/2026 15:00</c:v>
                      </c:pt>
                      <c:pt idx="12">
                        <c:v>01/21/2026 15:00</c:v>
                      </c:pt>
                      <c:pt idx="13">
                        <c:v>01/22/2026 15:00</c:v>
                      </c:pt>
                      <c:pt idx="14">
                        <c:v>01/23/2026 15:00</c:v>
                      </c:pt>
                      <c:pt idx="15">
                        <c:v>01/26/2026 15:00</c:v>
                      </c:pt>
                      <c:pt idx="16">
                        <c:v>01/27/2026 15:00</c:v>
                      </c:pt>
                      <c:pt idx="17">
                        <c:v>01/28/2026 15:00</c:v>
                      </c:pt>
                      <c:pt idx="18">
                        <c:v>01/29/2026 15:00</c:v>
                      </c:pt>
                      <c:pt idx="19">
                        <c:v>01/30/2026 15:00</c:v>
                      </c:pt>
                      <c:pt idx="20">
                        <c:v>02/02/2026 15:00</c:v>
                      </c:pt>
                      <c:pt idx="21">
                        <c:v>02/03/2026 15:00</c:v>
                      </c:pt>
                      <c:pt idx="22">
                        <c:v>02/04/2026 15:00</c:v>
                      </c:pt>
                      <c:pt idx="23">
                        <c:v>02/05/2026 15:00</c:v>
                      </c:pt>
                      <c:pt idx="24">
                        <c:v>02/06/2026 15:00</c:v>
                      </c:pt>
                      <c:pt idx="25">
                        <c:v>02/09/2026 15:00</c:v>
                      </c:pt>
                      <c:pt idx="26">
                        <c:v>02/10/2026 15:00</c:v>
                      </c:pt>
                      <c:pt idx="27">
                        <c:v>02/11/2026 15:00</c:v>
                      </c:pt>
                      <c:pt idx="28">
                        <c:v>02/12/2026 15:00</c:v>
                      </c:pt>
                      <c:pt idx="29">
                        <c:v>02/13/2026 15:00</c:v>
                      </c:pt>
                      <c:pt idx="30">
                        <c:v>02/17/2026 15:00</c:v>
                      </c:pt>
                      <c:pt idx="31">
                        <c:v>02/18/2026 15:00</c:v>
                      </c:pt>
                      <c:pt idx="32">
                        <c:v>02/19/2026 15:00</c:v>
                      </c:pt>
                      <c:pt idx="33">
                        <c:v>02/20/2026 15:00</c:v>
                      </c:pt>
                      <c:pt idx="34">
                        <c:v>02/23/2026 15:00</c:v>
                      </c:pt>
                      <c:pt idx="35">
                        <c:v>02/24/2026 15:00</c:v>
                      </c:pt>
                      <c:pt idx="36">
                        <c:v>02/25/2026 15:00</c:v>
                      </c:pt>
                      <c:pt idx="37">
                        <c:v>02/26/2026 15:00</c:v>
                      </c:pt>
                      <c:pt idx="38">
                        <c:v>02/27/2026 15:00</c:v>
                      </c:pt>
                      <c:pt idx="39">
                        <c:v>02/27/2026 19:53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100.705</c:v>
                      </c:pt>
                      <c:pt idx="2">
                        <c:v>101.47499999999999</c:v>
                      </c:pt>
                      <c:pt idx="3">
                        <c:v>101.26</c:v>
                      </c:pt>
                      <c:pt idx="4">
                        <c:v>100.04</c:v>
                      </c:pt>
                      <c:pt idx="5">
                        <c:v>100.3</c:v>
                      </c:pt>
                      <c:pt idx="6">
                        <c:v>101.377</c:v>
                      </c:pt>
                      <c:pt idx="7">
                        <c:v>101.52500000000001</c:v>
                      </c:pt>
                      <c:pt idx="8">
                        <c:v>101.623</c:v>
                      </c:pt>
                      <c:pt idx="9">
                        <c:v>101.33</c:v>
                      </c:pt>
                      <c:pt idx="10">
                        <c:v>101.97499999999999</c:v>
                      </c:pt>
                      <c:pt idx="11">
                        <c:v>102.38800000000001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138-478E-B3B0-AD5718037CF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'[1]1'!$G$12:$G$13</c15:sqref>
                        </c15:formulaRef>
                      </c:ext>
                    </c:extLst>
                    <c:strCache>
                      <c:ptCount val="1"/>
                      <c:pt idx="0">
                        <c:v>Short Risk 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Final!$A$14:$A$250</c15:sqref>
                        </c15:formulaRef>
                      </c:ext>
                    </c:extLst>
                    <c:strCache>
                      <c:ptCount val="40"/>
                      <c:pt idx="0">
                        <c:v>01/02/2026 15:00</c:v>
                      </c:pt>
                      <c:pt idx="1">
                        <c:v>01/05/2026 15:00</c:v>
                      </c:pt>
                      <c:pt idx="2">
                        <c:v>01/06/2026 15:00</c:v>
                      </c:pt>
                      <c:pt idx="3">
                        <c:v>01/07/2026 15:00</c:v>
                      </c:pt>
                      <c:pt idx="4">
                        <c:v>01/08/2026 15:00</c:v>
                      </c:pt>
                      <c:pt idx="5">
                        <c:v>01/09/2026 15:00</c:v>
                      </c:pt>
                      <c:pt idx="6">
                        <c:v>01/12/2026 15:00</c:v>
                      </c:pt>
                      <c:pt idx="7">
                        <c:v>01/13/2026 15:00</c:v>
                      </c:pt>
                      <c:pt idx="8">
                        <c:v>01/14/2026 15:00</c:v>
                      </c:pt>
                      <c:pt idx="9">
                        <c:v>01/15/2026 15:00</c:v>
                      </c:pt>
                      <c:pt idx="10">
                        <c:v>01/16/2026 15:00</c:v>
                      </c:pt>
                      <c:pt idx="11">
                        <c:v>01/20/2026 15:00</c:v>
                      </c:pt>
                      <c:pt idx="12">
                        <c:v>01/21/2026 15:00</c:v>
                      </c:pt>
                      <c:pt idx="13">
                        <c:v>01/22/2026 15:00</c:v>
                      </c:pt>
                      <c:pt idx="14">
                        <c:v>01/23/2026 15:00</c:v>
                      </c:pt>
                      <c:pt idx="15">
                        <c:v>01/26/2026 15:00</c:v>
                      </c:pt>
                      <c:pt idx="16">
                        <c:v>01/27/2026 15:00</c:v>
                      </c:pt>
                      <c:pt idx="17">
                        <c:v>01/28/2026 15:00</c:v>
                      </c:pt>
                      <c:pt idx="18">
                        <c:v>01/29/2026 15:00</c:v>
                      </c:pt>
                      <c:pt idx="19">
                        <c:v>01/30/2026 15:00</c:v>
                      </c:pt>
                      <c:pt idx="20">
                        <c:v>02/02/2026 15:00</c:v>
                      </c:pt>
                      <c:pt idx="21">
                        <c:v>02/03/2026 15:00</c:v>
                      </c:pt>
                      <c:pt idx="22">
                        <c:v>02/04/2026 15:00</c:v>
                      </c:pt>
                      <c:pt idx="23">
                        <c:v>02/05/2026 15:00</c:v>
                      </c:pt>
                      <c:pt idx="24">
                        <c:v>02/06/2026 15:00</c:v>
                      </c:pt>
                      <c:pt idx="25">
                        <c:v>02/09/2026 15:00</c:v>
                      </c:pt>
                      <c:pt idx="26">
                        <c:v>02/10/2026 15:00</c:v>
                      </c:pt>
                      <c:pt idx="27">
                        <c:v>02/11/2026 15:00</c:v>
                      </c:pt>
                      <c:pt idx="28">
                        <c:v>02/12/2026 15:00</c:v>
                      </c:pt>
                      <c:pt idx="29">
                        <c:v>02/13/2026 15:00</c:v>
                      </c:pt>
                      <c:pt idx="30">
                        <c:v>02/17/2026 15:00</c:v>
                      </c:pt>
                      <c:pt idx="31">
                        <c:v>02/18/2026 15:00</c:v>
                      </c:pt>
                      <c:pt idx="32">
                        <c:v>02/19/2026 15:00</c:v>
                      </c:pt>
                      <c:pt idx="33">
                        <c:v>02/20/2026 15:00</c:v>
                      </c:pt>
                      <c:pt idx="34">
                        <c:v>02/23/2026 15:00</c:v>
                      </c:pt>
                      <c:pt idx="35">
                        <c:v>02/24/2026 15:00</c:v>
                      </c:pt>
                      <c:pt idx="36">
                        <c:v>02/25/2026 15:00</c:v>
                      </c:pt>
                      <c:pt idx="37">
                        <c:v>02/26/2026 15:00</c:v>
                      </c:pt>
                      <c:pt idx="38">
                        <c:v>02/27/2026 15:00</c:v>
                      </c:pt>
                      <c:pt idx="39">
                        <c:v>02/27/2026 19:53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'[1]1'!$G$14:$G$250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137249.99999999988</c:v>
                      </c:pt>
                      <c:pt idx="2">
                        <c:v>194999.99999999956</c:v>
                      </c:pt>
                      <c:pt idx="3">
                        <c:v>178875.00000000038</c:v>
                      </c:pt>
                      <c:pt idx="4">
                        <c:v>87375.00000000048</c:v>
                      </c:pt>
                      <c:pt idx="5">
                        <c:v>106874.99999999978</c:v>
                      </c:pt>
                      <c:pt idx="6">
                        <c:v>187649.99999999965</c:v>
                      </c:pt>
                      <c:pt idx="7">
                        <c:v>198750.00000000044</c:v>
                      </c:pt>
                      <c:pt idx="8">
                        <c:v>206100.00000000035</c:v>
                      </c:pt>
                      <c:pt idx="9">
                        <c:v>184124.99999999985</c:v>
                      </c:pt>
                      <c:pt idx="10">
                        <c:v>232499.99999999959</c:v>
                      </c:pt>
                      <c:pt idx="11">
                        <c:v>263475.00000000035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138-478E-B3B0-AD5718037CF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'[1]1'!$H$12:$H$13</c15:sqref>
                        </c15:formulaRef>
                      </c:ext>
                    </c:extLst>
                    <c:strCache>
                      <c:ptCount val="1"/>
                      <c:pt idx="0">
                        <c:v>Short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Final!$A$14:$A$250</c15:sqref>
                        </c15:formulaRef>
                      </c:ext>
                    </c:extLst>
                    <c:strCache>
                      <c:ptCount val="40"/>
                      <c:pt idx="0">
                        <c:v>01/02/2026 15:00</c:v>
                      </c:pt>
                      <c:pt idx="1">
                        <c:v>01/05/2026 15:00</c:v>
                      </c:pt>
                      <c:pt idx="2">
                        <c:v>01/06/2026 15:00</c:v>
                      </c:pt>
                      <c:pt idx="3">
                        <c:v>01/07/2026 15:00</c:v>
                      </c:pt>
                      <c:pt idx="4">
                        <c:v>01/08/2026 15:00</c:v>
                      </c:pt>
                      <c:pt idx="5">
                        <c:v>01/09/2026 15:00</c:v>
                      </c:pt>
                      <c:pt idx="6">
                        <c:v>01/12/2026 15:00</c:v>
                      </c:pt>
                      <c:pt idx="7">
                        <c:v>01/13/2026 15:00</c:v>
                      </c:pt>
                      <c:pt idx="8">
                        <c:v>01/14/2026 15:00</c:v>
                      </c:pt>
                      <c:pt idx="9">
                        <c:v>01/15/2026 15:00</c:v>
                      </c:pt>
                      <c:pt idx="10">
                        <c:v>01/16/2026 15:00</c:v>
                      </c:pt>
                      <c:pt idx="11">
                        <c:v>01/20/2026 15:00</c:v>
                      </c:pt>
                      <c:pt idx="12">
                        <c:v>01/21/2026 15:00</c:v>
                      </c:pt>
                      <c:pt idx="13">
                        <c:v>01/22/2026 15:00</c:v>
                      </c:pt>
                      <c:pt idx="14">
                        <c:v>01/23/2026 15:00</c:v>
                      </c:pt>
                      <c:pt idx="15">
                        <c:v>01/26/2026 15:00</c:v>
                      </c:pt>
                      <c:pt idx="16">
                        <c:v>01/27/2026 15:00</c:v>
                      </c:pt>
                      <c:pt idx="17">
                        <c:v>01/28/2026 15:00</c:v>
                      </c:pt>
                      <c:pt idx="18">
                        <c:v>01/29/2026 15:00</c:v>
                      </c:pt>
                      <c:pt idx="19">
                        <c:v>01/30/2026 15:00</c:v>
                      </c:pt>
                      <c:pt idx="20">
                        <c:v>02/02/2026 15:00</c:v>
                      </c:pt>
                      <c:pt idx="21">
                        <c:v>02/03/2026 15:00</c:v>
                      </c:pt>
                      <c:pt idx="22">
                        <c:v>02/04/2026 15:00</c:v>
                      </c:pt>
                      <c:pt idx="23">
                        <c:v>02/05/2026 15:00</c:v>
                      </c:pt>
                      <c:pt idx="24">
                        <c:v>02/06/2026 15:00</c:v>
                      </c:pt>
                      <c:pt idx="25">
                        <c:v>02/09/2026 15:00</c:v>
                      </c:pt>
                      <c:pt idx="26">
                        <c:v>02/10/2026 15:00</c:v>
                      </c:pt>
                      <c:pt idx="27">
                        <c:v>02/11/2026 15:00</c:v>
                      </c:pt>
                      <c:pt idx="28">
                        <c:v>02/12/2026 15:00</c:v>
                      </c:pt>
                      <c:pt idx="29">
                        <c:v>02/13/2026 15:00</c:v>
                      </c:pt>
                      <c:pt idx="30">
                        <c:v>02/17/2026 15:00</c:v>
                      </c:pt>
                      <c:pt idx="31">
                        <c:v>02/18/2026 15:00</c:v>
                      </c:pt>
                      <c:pt idx="32">
                        <c:v>02/19/2026 15:00</c:v>
                      </c:pt>
                      <c:pt idx="33">
                        <c:v>02/20/2026 15:00</c:v>
                      </c:pt>
                      <c:pt idx="34">
                        <c:v>02/23/2026 15:00</c:v>
                      </c:pt>
                      <c:pt idx="35">
                        <c:v>02/24/2026 15:00</c:v>
                      </c:pt>
                      <c:pt idx="36">
                        <c:v>02/25/2026 15:00</c:v>
                      </c:pt>
                      <c:pt idx="37">
                        <c:v>02/26/2026 15:00</c:v>
                      </c:pt>
                      <c:pt idx="38">
                        <c:v>02/27/2026 15:00</c:v>
                      </c:pt>
                      <c:pt idx="39">
                        <c:v>02/27/2026 19:53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'[1]1'!$H$14:$H$250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15435.729166666664</c:v>
                      </c:pt>
                      <c:pt idx="2">
                        <c:v>30320.182291666672</c:v>
                      </c:pt>
                      <c:pt idx="3">
                        <c:v>31422.734374999993</c:v>
                      </c:pt>
                      <c:pt idx="4">
                        <c:v>41896.979166666686</c:v>
                      </c:pt>
                      <c:pt idx="5">
                        <c:v>42999.53125</c:v>
                      </c:pt>
                      <c:pt idx="6">
                        <c:v>50166.119791666686</c:v>
                      </c:pt>
                      <c:pt idx="7">
                        <c:v>55127.604166666657</c:v>
                      </c:pt>
                      <c:pt idx="8">
                        <c:v>57332.708333333343</c:v>
                      </c:pt>
                      <c:pt idx="9">
                        <c:v>57883.984374999985</c:v>
                      </c:pt>
                      <c:pt idx="10">
                        <c:v>68909.505208333343</c:v>
                      </c:pt>
                      <c:pt idx="11">
                        <c:v>70012.057291666657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138-478E-B3B0-AD5718037CF4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666750</xdr:colOff>
      <xdr:row>4</xdr:row>
      <xdr:rowOff>133350</xdr:rowOff>
    </xdr:from>
    <xdr:to>
      <xdr:col>21</xdr:col>
      <xdr:colOff>1000125</xdr:colOff>
      <xdr:row>31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3C5D2C-7DFA-4315-9C45-ABBF5DC2AC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95248</xdr:colOff>
      <xdr:row>4</xdr:row>
      <xdr:rowOff>95248</xdr:rowOff>
    </xdr:from>
    <xdr:to>
      <xdr:col>17</xdr:col>
      <xdr:colOff>976311</xdr:colOff>
      <xdr:row>23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7E5D8B-EED3-47FD-87D2-76917139D0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273842</xdr:colOff>
      <xdr:row>7</xdr:row>
      <xdr:rowOff>190499</xdr:rowOff>
    </xdr:from>
    <xdr:to>
      <xdr:col>19</xdr:col>
      <xdr:colOff>595312</xdr:colOff>
      <xdr:row>27</xdr:row>
      <xdr:rowOff>7144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42F002-4F85-4CDC-9A67-897D9329B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All%20Data\57.%20BNP%20Trades%20Tracker\BNP%202-27-2026%20v1.xlsx" TargetMode="External"/><Relationship Id="rId1" Type="http://schemas.openxmlformats.org/officeDocument/2006/relationships/externalLinkPath" Target="BNP%202-27-2026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ETF Compression"/>
      <sheetName val="EM Basis"/>
      <sheetName val="VCIT Basis"/>
      <sheetName val="1"/>
      <sheetName val="4"/>
      <sheetName val="5"/>
      <sheetName val="6"/>
      <sheetName val="7"/>
      <sheetName val="8"/>
      <sheetName val="9"/>
      <sheetName val="10"/>
      <sheetName val="13"/>
      <sheetName val="14"/>
      <sheetName val="15"/>
      <sheetName val="16"/>
      <sheetName val="17"/>
      <sheetName val="19"/>
      <sheetName val="20"/>
      <sheetName val="23a"/>
      <sheetName val="23b"/>
      <sheetName val="23c"/>
      <sheetName val="24"/>
      <sheetName val="25"/>
      <sheetName val="26"/>
      <sheetName val="27"/>
      <sheetName val="28"/>
      <sheetName val="28a"/>
      <sheetName val="29"/>
      <sheetName val="30"/>
      <sheetName val="31"/>
      <sheetName val="32"/>
      <sheetName val="33"/>
      <sheetName val="2 CDS RV Template"/>
      <sheetName val="3 CDS RV Template"/>
    </sheetNames>
    <sheetDataSet>
      <sheetData sheetId="0" refreshError="1"/>
      <sheetData sheetId="1" refreshError="1"/>
      <sheetData sheetId="2" refreshError="1"/>
      <sheetData sheetId="3">
        <row r="12">
          <cell r="L12" t="str">
            <v>Net P/L</v>
          </cell>
        </row>
        <row r="14">
          <cell r="A14">
            <v>46037.625</v>
          </cell>
          <cell r="L14">
            <v>0</v>
          </cell>
        </row>
        <row r="15">
          <cell r="A15">
            <v>46038.625</v>
          </cell>
          <cell r="L15">
            <v>29645.500127121366</v>
          </cell>
        </row>
        <row r="16">
          <cell r="A16">
            <v>46042.625</v>
          </cell>
          <cell r="L16">
            <v>-7171.6678966171567</v>
          </cell>
        </row>
        <row r="17">
          <cell r="A17">
            <v>46043.625</v>
          </cell>
          <cell r="L17">
            <v>-8835.4106955050775</v>
          </cell>
        </row>
        <row r="18">
          <cell r="A18">
            <v>46044.625</v>
          </cell>
          <cell r="L18">
            <v>-19866.599017070635</v>
          </cell>
        </row>
        <row r="19">
          <cell r="A19">
            <v>46045.625</v>
          </cell>
          <cell r="L19">
            <v>-14817.827787322705</v>
          </cell>
        </row>
        <row r="20">
          <cell r="A20">
            <v>46048.625</v>
          </cell>
          <cell r="L20">
            <v>9482.2320236370797</v>
          </cell>
        </row>
        <row r="21">
          <cell r="A21">
            <v>46049.625</v>
          </cell>
          <cell r="L21">
            <v>-22873.204961413481</v>
          </cell>
        </row>
        <row r="22">
          <cell r="A22">
            <v>46050.625</v>
          </cell>
          <cell r="L22">
            <v>-10036.917497777249</v>
          </cell>
        </row>
        <row r="23">
          <cell r="A23">
            <v>46051.625</v>
          </cell>
          <cell r="L23">
            <v>8801.6848441418406</v>
          </cell>
        </row>
        <row r="24">
          <cell r="A24">
            <v>46052.625</v>
          </cell>
          <cell r="L24">
            <v>-5035.4131409197435</v>
          </cell>
        </row>
        <row r="25">
          <cell r="A25">
            <v>46055.625</v>
          </cell>
          <cell r="L25">
            <v>38823.623689142085</v>
          </cell>
        </row>
        <row r="26">
          <cell r="A26">
            <v>46056.625</v>
          </cell>
          <cell r="L26">
            <v>17690.360367570887</v>
          </cell>
        </row>
        <row r="27">
          <cell r="A27">
            <v>46057.625</v>
          </cell>
          <cell r="L27">
            <v>8140.9936068639217</v>
          </cell>
        </row>
        <row r="28">
          <cell r="A28">
            <v>46058.625</v>
          </cell>
          <cell r="L28">
            <v>-7153.4591920237581</v>
          </cell>
        </row>
        <row r="29">
          <cell r="A29">
            <v>46059.625</v>
          </cell>
          <cell r="L29">
            <v>30088.814374238806</v>
          </cell>
        </row>
        <row r="30">
          <cell r="A30">
            <v>46062.625</v>
          </cell>
          <cell r="L30">
            <v>76797.143746046029</v>
          </cell>
        </row>
        <row r="31">
          <cell r="A31">
            <v>46063.625</v>
          </cell>
          <cell r="L31">
            <v>134045.38519059177</v>
          </cell>
        </row>
        <row r="32">
          <cell r="A32">
            <v>46064.625</v>
          </cell>
          <cell r="L32">
            <v>70991.546878582652</v>
          </cell>
        </row>
        <row r="33">
          <cell r="A33">
            <v>46065.625</v>
          </cell>
          <cell r="L33">
            <v>95765.948864885577</v>
          </cell>
        </row>
        <row r="34">
          <cell r="A34">
            <v>46066.625</v>
          </cell>
          <cell r="L34">
            <v>85791.139739027567</v>
          </cell>
        </row>
        <row r="35">
          <cell r="A35">
            <v>46070.625</v>
          </cell>
          <cell r="L35">
            <v>47079.559901452245</v>
          </cell>
        </row>
        <row r="36">
          <cell r="A36">
            <v>46071.625</v>
          </cell>
          <cell r="L36">
            <v>48061.116589431651</v>
          </cell>
        </row>
        <row r="37">
          <cell r="A37">
            <v>46072.625</v>
          </cell>
          <cell r="L37">
            <v>40221.913819179434</v>
          </cell>
        </row>
        <row r="38">
          <cell r="A38">
            <v>46073.625</v>
          </cell>
          <cell r="L38">
            <v>52035.555497602414</v>
          </cell>
        </row>
        <row r="39">
          <cell r="A39">
            <v>46076.625</v>
          </cell>
          <cell r="L39">
            <v>104883.33629902822</v>
          </cell>
        </row>
        <row r="40">
          <cell r="A40">
            <v>46077.625</v>
          </cell>
          <cell r="L40">
            <v>111912.58509917962</v>
          </cell>
        </row>
        <row r="41">
          <cell r="A41">
            <v>46078.625</v>
          </cell>
          <cell r="L41">
            <v>110517.13745064425</v>
          </cell>
        </row>
        <row r="42">
          <cell r="A42">
            <v>46079.625</v>
          </cell>
          <cell r="L42">
            <v>126788.08234386551</v>
          </cell>
        </row>
        <row r="43">
          <cell r="A43">
            <v>46080.625</v>
          </cell>
          <cell r="L43">
            <v>150898.70879796785</v>
          </cell>
        </row>
        <row r="44">
          <cell r="A44">
            <v>46080.721463425929</v>
          </cell>
          <cell r="L44">
            <v>213344.1072179676</v>
          </cell>
        </row>
        <row r="45">
          <cell r="A45" t="str">
            <v/>
          </cell>
          <cell r="L45" t="str">
            <v/>
          </cell>
        </row>
        <row r="46">
          <cell r="A46" t="str">
            <v/>
          </cell>
          <cell r="L46" t="str">
            <v/>
          </cell>
        </row>
        <row r="47">
          <cell r="A47" t="str">
            <v/>
          </cell>
          <cell r="L47" t="str">
            <v/>
          </cell>
        </row>
        <row r="48">
          <cell r="A48" t="str">
            <v/>
          </cell>
          <cell r="L48" t="str">
            <v/>
          </cell>
        </row>
        <row r="49">
          <cell r="A49" t="str">
            <v/>
          </cell>
          <cell r="L49" t="str">
            <v/>
          </cell>
        </row>
        <row r="50">
          <cell r="A50" t="str">
            <v/>
          </cell>
          <cell r="L50" t="str">
            <v/>
          </cell>
        </row>
        <row r="51">
          <cell r="A51" t="str">
            <v/>
          </cell>
          <cell r="L51" t="str">
            <v/>
          </cell>
        </row>
        <row r="52">
          <cell r="A52" t="str">
            <v/>
          </cell>
          <cell r="L52" t="str">
            <v/>
          </cell>
        </row>
        <row r="53">
          <cell r="A53" t="str">
            <v/>
          </cell>
          <cell r="L53" t="str">
            <v/>
          </cell>
        </row>
        <row r="54">
          <cell r="A54" t="str">
            <v/>
          </cell>
          <cell r="L54" t="str">
            <v/>
          </cell>
        </row>
        <row r="55">
          <cell r="A55" t="str">
            <v/>
          </cell>
          <cell r="L55" t="str">
            <v/>
          </cell>
        </row>
        <row r="56">
          <cell r="A56" t="str">
            <v/>
          </cell>
          <cell r="L56" t="str">
            <v/>
          </cell>
        </row>
        <row r="57">
          <cell r="A57" t="str">
            <v/>
          </cell>
          <cell r="L57" t="str">
            <v/>
          </cell>
        </row>
        <row r="58">
          <cell r="A58" t="str">
            <v/>
          </cell>
          <cell r="L58" t="str">
            <v/>
          </cell>
        </row>
        <row r="59">
          <cell r="A59" t="str">
            <v/>
          </cell>
          <cell r="L59" t="str">
            <v/>
          </cell>
        </row>
        <row r="60">
          <cell r="A60" t="str">
            <v/>
          </cell>
          <cell r="L60" t="str">
            <v/>
          </cell>
        </row>
        <row r="61">
          <cell r="A61" t="str">
            <v/>
          </cell>
          <cell r="L61" t="str">
            <v/>
          </cell>
        </row>
        <row r="62">
          <cell r="A62" t="str">
            <v/>
          </cell>
          <cell r="L62" t="str">
            <v/>
          </cell>
        </row>
        <row r="63">
          <cell r="A63" t="str">
            <v/>
          </cell>
          <cell r="L63" t="str">
            <v/>
          </cell>
        </row>
        <row r="64">
          <cell r="A64" t="str">
            <v/>
          </cell>
          <cell r="L64" t="str">
            <v/>
          </cell>
        </row>
        <row r="65">
          <cell r="A65" t="str">
            <v/>
          </cell>
          <cell r="L65" t="str">
            <v/>
          </cell>
        </row>
        <row r="66">
          <cell r="A66" t="str">
            <v/>
          </cell>
          <cell r="L66" t="str">
            <v/>
          </cell>
        </row>
        <row r="67">
          <cell r="A67" t="str">
            <v/>
          </cell>
          <cell r="L67" t="str">
            <v/>
          </cell>
        </row>
        <row r="68">
          <cell r="A68" t="str">
            <v/>
          </cell>
          <cell r="L68" t="str">
            <v/>
          </cell>
        </row>
        <row r="69">
          <cell r="A69" t="str">
            <v/>
          </cell>
          <cell r="L69" t="str">
            <v/>
          </cell>
        </row>
        <row r="70">
          <cell r="A70" t="str">
            <v/>
          </cell>
          <cell r="L70" t="str">
            <v/>
          </cell>
        </row>
        <row r="71">
          <cell r="A71" t="str">
            <v/>
          </cell>
          <cell r="L71" t="str">
            <v/>
          </cell>
        </row>
        <row r="72">
          <cell r="A72" t="str">
            <v/>
          </cell>
          <cell r="L72" t="str">
            <v/>
          </cell>
        </row>
        <row r="73">
          <cell r="A73" t="str">
            <v/>
          </cell>
          <cell r="L73" t="str">
            <v/>
          </cell>
        </row>
        <row r="74">
          <cell r="A74" t="str">
            <v/>
          </cell>
          <cell r="L74" t="str">
            <v/>
          </cell>
        </row>
        <row r="75">
          <cell r="A75" t="str">
            <v/>
          </cell>
          <cell r="L75" t="str">
            <v/>
          </cell>
        </row>
        <row r="76">
          <cell r="A76" t="str">
            <v/>
          </cell>
          <cell r="L76" t="str">
            <v/>
          </cell>
        </row>
        <row r="77">
          <cell r="A77" t="str">
            <v/>
          </cell>
          <cell r="L77" t="str">
            <v/>
          </cell>
        </row>
        <row r="78">
          <cell r="A78" t="str">
            <v/>
          </cell>
          <cell r="L78" t="str">
            <v/>
          </cell>
        </row>
        <row r="79">
          <cell r="A79" t="str">
            <v/>
          </cell>
          <cell r="L79" t="str">
            <v/>
          </cell>
        </row>
        <row r="80">
          <cell r="A80" t="str">
            <v/>
          </cell>
          <cell r="L80" t="str">
            <v/>
          </cell>
        </row>
        <row r="81">
          <cell r="A81" t="str">
            <v/>
          </cell>
          <cell r="L81" t="str">
            <v/>
          </cell>
        </row>
        <row r="82">
          <cell r="A82" t="str">
            <v/>
          </cell>
          <cell r="L82" t="str">
            <v/>
          </cell>
        </row>
        <row r="83">
          <cell r="A83" t="str">
            <v/>
          </cell>
          <cell r="L83" t="str">
            <v/>
          </cell>
        </row>
        <row r="84">
          <cell r="A84" t="str">
            <v/>
          </cell>
          <cell r="L84" t="str">
            <v/>
          </cell>
        </row>
        <row r="85">
          <cell r="A85" t="str">
            <v/>
          </cell>
          <cell r="L85" t="str">
            <v/>
          </cell>
        </row>
        <row r="86">
          <cell r="A86" t="str">
            <v/>
          </cell>
          <cell r="L86" t="str">
            <v/>
          </cell>
        </row>
        <row r="87">
          <cell r="A87" t="str">
            <v/>
          </cell>
          <cell r="L87" t="str">
            <v/>
          </cell>
        </row>
        <row r="88">
          <cell r="A88" t="str">
            <v/>
          </cell>
          <cell r="L88" t="str">
            <v/>
          </cell>
        </row>
        <row r="89">
          <cell r="A89" t="str">
            <v/>
          </cell>
          <cell r="L89" t="str">
            <v/>
          </cell>
        </row>
        <row r="90">
          <cell r="A90" t="str">
            <v/>
          </cell>
          <cell r="L90" t="str">
            <v/>
          </cell>
        </row>
        <row r="91">
          <cell r="A91" t="str">
            <v/>
          </cell>
          <cell r="L91" t="str">
            <v/>
          </cell>
        </row>
        <row r="92">
          <cell r="A92" t="str">
            <v/>
          </cell>
          <cell r="L92" t="str">
            <v/>
          </cell>
        </row>
        <row r="93">
          <cell r="A93" t="str">
            <v/>
          </cell>
          <cell r="L93" t="str">
            <v/>
          </cell>
        </row>
        <row r="94">
          <cell r="A94" t="str">
            <v/>
          </cell>
          <cell r="L94" t="str">
            <v/>
          </cell>
        </row>
        <row r="95">
          <cell r="A95" t="str">
            <v/>
          </cell>
          <cell r="L95" t="str">
            <v/>
          </cell>
        </row>
        <row r="96">
          <cell r="A96" t="str">
            <v/>
          </cell>
          <cell r="L96" t="str">
            <v/>
          </cell>
        </row>
        <row r="97">
          <cell r="A97" t="str">
            <v/>
          </cell>
          <cell r="L97" t="str">
            <v/>
          </cell>
        </row>
        <row r="98">
          <cell r="A98" t="str">
            <v/>
          </cell>
          <cell r="L98" t="str">
            <v/>
          </cell>
        </row>
        <row r="99">
          <cell r="A99" t="str">
            <v/>
          </cell>
          <cell r="L99" t="str">
            <v/>
          </cell>
        </row>
        <row r="100">
          <cell r="A100" t="str">
            <v/>
          </cell>
          <cell r="L100" t="str">
            <v/>
          </cell>
        </row>
        <row r="101">
          <cell r="A101" t="str">
            <v/>
          </cell>
          <cell r="L101" t="str">
            <v/>
          </cell>
        </row>
        <row r="102">
          <cell r="A102" t="str">
            <v/>
          </cell>
          <cell r="L102" t="str">
            <v/>
          </cell>
        </row>
        <row r="103">
          <cell r="A103" t="str">
            <v/>
          </cell>
          <cell r="L103" t="str">
            <v/>
          </cell>
        </row>
        <row r="104">
          <cell r="A104" t="str">
            <v/>
          </cell>
          <cell r="L104" t="str">
            <v/>
          </cell>
        </row>
        <row r="105">
          <cell r="A105" t="str">
            <v/>
          </cell>
          <cell r="L105" t="str">
            <v/>
          </cell>
        </row>
        <row r="106">
          <cell r="A106" t="str">
            <v/>
          </cell>
          <cell r="L106" t="str">
            <v/>
          </cell>
        </row>
        <row r="107">
          <cell r="A107" t="str">
            <v/>
          </cell>
          <cell r="L107" t="str">
            <v/>
          </cell>
        </row>
        <row r="108">
          <cell r="A108" t="str">
            <v/>
          </cell>
          <cell r="L108" t="str">
            <v/>
          </cell>
        </row>
        <row r="109">
          <cell r="A109" t="str">
            <v/>
          </cell>
          <cell r="L109" t="str">
            <v/>
          </cell>
        </row>
        <row r="110">
          <cell r="A110" t="str">
            <v/>
          </cell>
          <cell r="L110" t="str">
            <v/>
          </cell>
        </row>
        <row r="111">
          <cell r="A111" t="str">
            <v/>
          </cell>
          <cell r="L111" t="str">
            <v/>
          </cell>
        </row>
        <row r="112">
          <cell r="A112" t="str">
            <v/>
          </cell>
          <cell r="L112" t="str">
            <v/>
          </cell>
        </row>
        <row r="113">
          <cell r="A113" t="str">
            <v/>
          </cell>
          <cell r="L113" t="str">
            <v/>
          </cell>
        </row>
        <row r="114">
          <cell r="A114" t="str">
            <v/>
          </cell>
          <cell r="L114" t="str">
            <v/>
          </cell>
        </row>
        <row r="115">
          <cell r="A115" t="str">
            <v/>
          </cell>
          <cell r="L115" t="str">
            <v/>
          </cell>
        </row>
        <row r="116">
          <cell r="A116" t="str">
            <v/>
          </cell>
          <cell r="L116" t="str">
            <v/>
          </cell>
        </row>
        <row r="117">
          <cell r="A117" t="str">
            <v/>
          </cell>
          <cell r="L117" t="str">
            <v/>
          </cell>
        </row>
        <row r="118">
          <cell r="A118" t="str">
            <v/>
          </cell>
          <cell r="L118" t="str">
            <v/>
          </cell>
        </row>
        <row r="119">
          <cell r="A119" t="str">
            <v/>
          </cell>
          <cell r="L119" t="str">
            <v/>
          </cell>
        </row>
        <row r="120">
          <cell r="A120" t="str">
            <v/>
          </cell>
          <cell r="L120" t="str">
            <v/>
          </cell>
        </row>
        <row r="121">
          <cell r="A121" t="str">
            <v/>
          </cell>
          <cell r="L121" t="str">
            <v/>
          </cell>
        </row>
        <row r="122">
          <cell r="A122" t="str">
            <v/>
          </cell>
          <cell r="L122" t="str">
            <v/>
          </cell>
        </row>
        <row r="123">
          <cell r="A123" t="str">
            <v/>
          </cell>
          <cell r="L123" t="str">
            <v/>
          </cell>
        </row>
        <row r="124">
          <cell r="A124" t="str">
            <v/>
          </cell>
          <cell r="L124" t="str">
            <v/>
          </cell>
        </row>
      </sheetData>
      <sheetData sheetId="4">
        <row r="12">
          <cell r="B12" t="str">
            <v>Long Risk</v>
          </cell>
          <cell r="F12" t="str">
            <v>Short Risk</v>
          </cell>
        </row>
        <row r="13">
          <cell r="B13" t="str">
            <v>Sprd</v>
          </cell>
          <cell r="C13" t="str">
            <v>Roll Adj Sprd</v>
          </cell>
          <cell r="D13" t="str">
            <v>Sprd P/L</v>
          </cell>
          <cell r="E13" t="str">
            <v>Carry P/L</v>
          </cell>
          <cell r="F13" t="str">
            <v>Price</v>
          </cell>
          <cell r="G13" t="str">
            <v>Price P/L</v>
          </cell>
          <cell r="H13" t="str">
            <v>Carry P/L</v>
          </cell>
        </row>
        <row r="14">
          <cell r="B14">
            <v>106.5</v>
          </cell>
          <cell r="C14">
            <v>106.5</v>
          </cell>
          <cell r="F14">
            <v>98.875</v>
          </cell>
        </row>
        <row r="15">
          <cell r="B15">
            <v>104.553</v>
          </cell>
          <cell r="C15">
            <v>101.988</v>
          </cell>
          <cell r="D15">
            <v>50308.800000000003</v>
          </cell>
          <cell r="E15">
            <v>19444.444444444445</v>
          </cell>
          <cell r="F15">
            <v>100.705</v>
          </cell>
          <cell r="G15">
            <v>137249.99999999988</v>
          </cell>
          <cell r="H15">
            <v>15435.729166666664</v>
          </cell>
        </row>
        <row r="16">
          <cell r="B16">
            <v>101.04600000000001</v>
          </cell>
          <cell r="C16">
            <v>99.507999999999996</v>
          </cell>
          <cell r="D16">
            <v>77960.800000000047</v>
          </cell>
          <cell r="E16">
            <v>38194.444444444445</v>
          </cell>
          <cell r="F16">
            <v>101.47499999999999</v>
          </cell>
          <cell r="G16">
            <v>194999.99999999956</v>
          </cell>
          <cell r="H16">
            <v>30320.182291666672</v>
          </cell>
        </row>
        <row r="17">
          <cell r="B17">
            <v>100.447</v>
          </cell>
          <cell r="C17">
            <v>97.378</v>
          </cell>
          <cell r="D17">
            <v>101710.30000000002</v>
          </cell>
          <cell r="E17">
            <v>39583.333333333336</v>
          </cell>
          <cell r="F17">
            <v>101.26</v>
          </cell>
          <cell r="G17">
            <v>178875.00000000038</v>
          </cell>
          <cell r="H17">
            <v>31422.734374999993</v>
          </cell>
        </row>
        <row r="18">
          <cell r="B18">
            <v>104.029</v>
          </cell>
          <cell r="C18">
            <v>96.828000000000003</v>
          </cell>
          <cell r="D18">
            <v>107842.79999999997</v>
          </cell>
          <cell r="E18">
            <v>52777.777777777781</v>
          </cell>
          <cell r="F18">
            <v>100.04</v>
          </cell>
          <cell r="G18">
            <v>87375.00000000048</v>
          </cell>
          <cell r="H18">
            <v>41896.979166666686</v>
          </cell>
        </row>
        <row r="19">
          <cell r="B19">
            <v>101.164</v>
          </cell>
          <cell r="C19">
            <v>95.448999999999998</v>
          </cell>
          <cell r="D19">
            <v>123218.65000000002</v>
          </cell>
          <cell r="E19">
            <v>54166.666666666664</v>
          </cell>
          <cell r="F19">
            <v>100.3</v>
          </cell>
          <cell r="G19">
            <v>106874.99999999978</v>
          </cell>
          <cell r="H19">
            <v>42999.53125</v>
          </cell>
        </row>
        <row r="20">
          <cell r="B20">
            <v>94.63</v>
          </cell>
          <cell r="C20">
            <v>92.872</v>
          </cell>
          <cell r="D20">
            <v>151952.20000000001</v>
          </cell>
          <cell r="E20">
            <v>63194.444444444438</v>
          </cell>
          <cell r="F20">
            <v>101.377</v>
          </cell>
          <cell r="G20">
            <v>187649.99999999965</v>
          </cell>
          <cell r="H20">
            <v>50166.119791666686</v>
          </cell>
        </row>
        <row r="21">
          <cell r="B21">
            <v>90.936999999999998</v>
          </cell>
          <cell r="C21">
            <v>92.445999999999998</v>
          </cell>
          <cell r="D21">
            <v>156702.10000000003</v>
          </cell>
          <cell r="E21">
            <v>69444.444444444453</v>
          </cell>
          <cell r="F21">
            <v>101.52500000000001</v>
          </cell>
          <cell r="G21">
            <v>198750.00000000044</v>
          </cell>
          <cell r="H21">
            <v>55127.604166666657</v>
          </cell>
        </row>
        <row r="22">
          <cell r="B22">
            <v>90.266000000000005</v>
          </cell>
          <cell r="C22">
            <v>91.334000000000003</v>
          </cell>
          <cell r="D22">
            <v>169100.89999999997</v>
          </cell>
          <cell r="E22">
            <v>72222.222222222234</v>
          </cell>
          <cell r="F22">
            <v>101.623</v>
          </cell>
          <cell r="G22">
            <v>206100.00000000035</v>
          </cell>
          <cell r="H22">
            <v>57332.708333333343</v>
          </cell>
        </row>
        <row r="23">
          <cell r="B23">
            <v>89.93</v>
          </cell>
          <cell r="C23">
            <v>91.960999999999999</v>
          </cell>
          <cell r="D23">
            <v>162109.85000000003</v>
          </cell>
          <cell r="E23">
            <v>72916.666666666672</v>
          </cell>
          <cell r="F23">
            <v>101.33</v>
          </cell>
          <cell r="G23">
            <v>184124.99999999985</v>
          </cell>
          <cell r="H23">
            <v>57883.984374999985</v>
          </cell>
        </row>
        <row r="24">
          <cell r="B24">
            <v>85.751000000000005</v>
          </cell>
          <cell r="C24">
            <v>92.38</v>
          </cell>
          <cell r="D24">
            <v>157438.00000000006</v>
          </cell>
          <cell r="E24">
            <v>86805.555555555547</v>
          </cell>
          <cell r="F24">
            <v>101.97499999999999</v>
          </cell>
          <cell r="G24">
            <v>232499.99999999959</v>
          </cell>
          <cell r="H24">
            <v>68909.505208333343</v>
          </cell>
        </row>
        <row r="25">
          <cell r="B25">
            <v>86.3</v>
          </cell>
          <cell r="C25">
            <v>91.418000000000006</v>
          </cell>
          <cell r="D25">
            <v>168164.29999999993</v>
          </cell>
          <cell r="E25">
            <v>88194.444444444438</v>
          </cell>
          <cell r="F25">
            <v>102.38800000000001</v>
          </cell>
          <cell r="G25">
            <v>263475.00000000035</v>
          </cell>
          <cell r="H25">
            <v>70012.057291666657</v>
          </cell>
        </row>
        <row r="26">
          <cell r="B26" t="str">
            <v/>
          </cell>
          <cell r="C26">
            <v>91.418000000000006</v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</row>
        <row r="27"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</row>
        <row r="28"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</row>
        <row r="40"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</row>
        <row r="41"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</row>
        <row r="42"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</row>
        <row r="43"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</row>
        <row r="44"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</row>
        <row r="45"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</row>
        <row r="46"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</row>
        <row r="57"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</row>
        <row r="58"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</row>
        <row r="59"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</row>
        <row r="73"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</row>
        <row r="74"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</row>
        <row r="75"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</row>
        <row r="76"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</row>
        <row r="77"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</row>
        <row r="78"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</row>
        <row r="79"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</row>
        <row r="80"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</row>
        <row r="81"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</row>
        <row r="82"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</row>
        <row r="83"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</row>
        <row r="84"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</row>
        <row r="85"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</row>
        <row r="86"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</row>
        <row r="87"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</row>
        <row r="88"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</row>
        <row r="89"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</row>
        <row r="90"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</row>
        <row r="91"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</row>
        <row r="92"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</row>
        <row r="93"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</row>
        <row r="94"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</row>
        <row r="95"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</row>
        <row r="96"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</row>
        <row r="97"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</row>
        <row r="98"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</row>
        <row r="99"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</row>
        <row r="100"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</row>
        <row r="101">
          <cell r="B101" t="str">
            <v/>
          </cell>
          <cell r="C101" t="str">
            <v/>
          </cell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</row>
        <row r="102">
          <cell r="B102" t="str">
            <v/>
          </cell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</row>
        <row r="103">
          <cell r="B103" t="str">
            <v/>
          </cell>
          <cell r="C103" t="str">
            <v/>
          </cell>
          <cell r="D103" t="str">
            <v/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</row>
        <row r="104">
          <cell r="B104" t="str">
            <v/>
          </cell>
          <cell r="C104" t="str">
            <v/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</row>
        <row r="105">
          <cell r="B105" t="str">
            <v/>
          </cell>
          <cell r="C105" t="str">
            <v/>
          </cell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</row>
        <row r="106">
          <cell r="B106" t="str">
            <v/>
          </cell>
          <cell r="C106" t="str">
            <v/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</row>
        <row r="107">
          <cell r="B107" t="str">
            <v/>
          </cell>
          <cell r="C107" t="str">
            <v/>
          </cell>
          <cell r="D107" t="str">
            <v/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</row>
        <row r="108">
          <cell r="B108" t="str">
            <v/>
          </cell>
          <cell r="C108" t="str">
            <v/>
          </cell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</row>
        <row r="109">
          <cell r="B109" t="str">
            <v/>
          </cell>
          <cell r="C109" t="str">
            <v/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</row>
        <row r="110">
          <cell r="B110" t="str">
            <v/>
          </cell>
          <cell r="C110" t="str">
            <v/>
          </cell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</row>
        <row r="111">
          <cell r="B111" t="str">
            <v/>
          </cell>
          <cell r="C111" t="str">
            <v/>
          </cell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</row>
        <row r="112">
          <cell r="B112" t="str">
            <v/>
          </cell>
          <cell r="C112" t="str">
            <v/>
          </cell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</row>
        <row r="113">
          <cell r="B113" t="str">
            <v/>
          </cell>
          <cell r="C113" t="str">
            <v/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</row>
        <row r="114">
          <cell r="B114" t="str">
            <v/>
          </cell>
          <cell r="C114" t="str">
            <v/>
          </cell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</row>
        <row r="115">
          <cell r="B115" t="str">
            <v/>
          </cell>
          <cell r="C115" t="str">
            <v/>
          </cell>
          <cell r="D115" t="str">
            <v/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</row>
        <row r="116">
          <cell r="B116" t="str">
            <v/>
          </cell>
          <cell r="C116" t="str">
            <v/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</row>
        <row r="117">
          <cell r="B117" t="str">
            <v/>
          </cell>
          <cell r="C117" t="str">
            <v/>
          </cell>
          <cell r="D117" t="str">
            <v/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</row>
        <row r="118">
          <cell r="B118" t="str">
            <v/>
          </cell>
          <cell r="C118" t="str">
            <v/>
          </cell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</row>
        <row r="119">
          <cell r="B119" t="str">
            <v/>
          </cell>
          <cell r="C119" t="str">
            <v/>
          </cell>
          <cell r="D119" t="str">
            <v/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</row>
        <row r="120">
          <cell r="B120" t="str">
            <v/>
          </cell>
          <cell r="C120" t="str">
            <v/>
          </cell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</row>
        <row r="121">
          <cell r="B121" t="str">
            <v/>
          </cell>
          <cell r="C121" t="str">
            <v/>
          </cell>
          <cell r="D121" t="str">
            <v/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</row>
        <row r="122">
          <cell r="B122" t="str">
            <v/>
          </cell>
          <cell r="C122" t="str">
            <v/>
          </cell>
          <cell r="D122" t="str">
            <v/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</row>
        <row r="123">
          <cell r="B123" t="str">
            <v/>
          </cell>
          <cell r="C123" t="str">
            <v/>
          </cell>
          <cell r="D123" t="str">
            <v/>
          </cell>
          <cell r="E123" t="str">
            <v/>
          </cell>
          <cell r="F123" t="str">
            <v/>
          </cell>
          <cell r="G123" t="str">
            <v/>
          </cell>
          <cell r="H123" t="str">
            <v/>
          </cell>
        </row>
        <row r="124">
          <cell r="B124" t="str">
            <v/>
          </cell>
          <cell r="C124" t="str">
            <v/>
          </cell>
          <cell r="D124" t="str">
            <v/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</row>
        <row r="125">
          <cell r="B125" t="str">
            <v/>
          </cell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</row>
        <row r="126">
          <cell r="B126" t="str">
            <v/>
          </cell>
          <cell r="C126" t="str">
            <v/>
          </cell>
          <cell r="D126" t="str">
            <v/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</row>
        <row r="127">
          <cell r="B127" t="str">
            <v/>
          </cell>
          <cell r="C127" t="str">
            <v/>
          </cell>
          <cell r="D127" t="str">
            <v/>
          </cell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</row>
        <row r="128">
          <cell r="B128" t="str">
            <v/>
          </cell>
          <cell r="C128" t="str">
            <v/>
          </cell>
          <cell r="D128" t="str">
            <v/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</row>
        <row r="129">
          <cell r="B129" t="str">
            <v/>
          </cell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</row>
        <row r="130">
          <cell r="B130" t="str">
            <v/>
          </cell>
          <cell r="C130" t="str">
            <v/>
          </cell>
          <cell r="D130" t="str">
            <v/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</row>
        <row r="131">
          <cell r="B131" t="str">
            <v/>
          </cell>
          <cell r="C131" t="str">
            <v/>
          </cell>
          <cell r="D131" t="str">
            <v/>
          </cell>
          <cell r="E131" t="str">
            <v/>
          </cell>
          <cell r="F131" t="str">
            <v/>
          </cell>
          <cell r="G131" t="str">
            <v/>
          </cell>
          <cell r="H131" t="str">
            <v/>
          </cell>
        </row>
        <row r="132">
          <cell r="B132" t="str">
            <v/>
          </cell>
          <cell r="C132" t="str">
            <v/>
          </cell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</row>
        <row r="133">
          <cell r="B133" t="str">
            <v/>
          </cell>
          <cell r="C133" t="str">
            <v/>
          </cell>
          <cell r="D133" t="str">
            <v/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</row>
        <row r="134">
          <cell r="B134" t="str">
            <v/>
          </cell>
          <cell r="C134" t="str">
            <v/>
          </cell>
          <cell r="D134" t="str">
            <v/>
          </cell>
          <cell r="E134" t="str">
            <v/>
          </cell>
          <cell r="F134" t="str">
            <v/>
          </cell>
          <cell r="G134" t="str">
            <v/>
          </cell>
          <cell r="H134" t="str">
            <v/>
          </cell>
        </row>
        <row r="135">
          <cell r="B135" t="str">
            <v/>
          </cell>
          <cell r="C135" t="str">
            <v/>
          </cell>
          <cell r="D135" t="str">
            <v/>
          </cell>
          <cell r="E135" t="str">
            <v/>
          </cell>
          <cell r="F135" t="str">
            <v/>
          </cell>
          <cell r="G135" t="str">
            <v/>
          </cell>
          <cell r="H135" t="str">
            <v/>
          </cell>
        </row>
        <row r="136">
          <cell r="B136" t="str">
            <v/>
          </cell>
          <cell r="C136" t="str">
            <v/>
          </cell>
          <cell r="D136" t="str">
            <v/>
          </cell>
          <cell r="E136" t="str">
            <v/>
          </cell>
          <cell r="F136" t="str">
            <v/>
          </cell>
          <cell r="G136" t="str">
            <v/>
          </cell>
          <cell r="H136" t="str">
            <v/>
          </cell>
        </row>
        <row r="137">
          <cell r="B137" t="str">
            <v/>
          </cell>
          <cell r="C137" t="str">
            <v/>
          </cell>
          <cell r="D137" t="str">
            <v/>
          </cell>
          <cell r="E137" t="str">
            <v/>
          </cell>
          <cell r="F137" t="str">
            <v/>
          </cell>
          <cell r="G137" t="str">
            <v/>
          </cell>
          <cell r="H137" t="str">
            <v/>
          </cell>
        </row>
        <row r="138">
          <cell r="B138" t="str">
            <v/>
          </cell>
          <cell r="C138" t="str">
            <v/>
          </cell>
          <cell r="D138" t="str">
            <v/>
          </cell>
          <cell r="E138" t="str">
            <v/>
          </cell>
          <cell r="F138" t="str">
            <v/>
          </cell>
          <cell r="G138" t="str">
            <v/>
          </cell>
          <cell r="H138" t="str">
            <v/>
          </cell>
        </row>
        <row r="139">
          <cell r="B139" t="str">
            <v/>
          </cell>
          <cell r="C139" t="str">
            <v/>
          </cell>
          <cell r="D139" t="str">
            <v/>
          </cell>
          <cell r="E139" t="str">
            <v/>
          </cell>
          <cell r="F139" t="str">
            <v/>
          </cell>
          <cell r="G139" t="str">
            <v/>
          </cell>
          <cell r="H139" t="str">
            <v/>
          </cell>
        </row>
        <row r="140">
          <cell r="B140" t="str">
            <v/>
          </cell>
          <cell r="C140" t="str">
            <v/>
          </cell>
          <cell r="D140" t="str">
            <v/>
          </cell>
          <cell r="E140" t="str">
            <v/>
          </cell>
          <cell r="F140" t="str">
            <v/>
          </cell>
          <cell r="G140" t="str">
            <v/>
          </cell>
          <cell r="H140" t="str">
            <v/>
          </cell>
        </row>
        <row r="141">
          <cell r="B141" t="str">
            <v/>
          </cell>
          <cell r="C141" t="str">
            <v/>
          </cell>
          <cell r="D141" t="str">
            <v/>
          </cell>
          <cell r="E141" t="str">
            <v/>
          </cell>
          <cell r="F141" t="str">
            <v/>
          </cell>
          <cell r="G141" t="str">
            <v/>
          </cell>
          <cell r="H141" t="str">
            <v/>
          </cell>
        </row>
        <row r="142">
          <cell r="B142" t="str">
            <v/>
          </cell>
          <cell r="C142" t="str">
            <v/>
          </cell>
          <cell r="D142" t="str">
            <v/>
          </cell>
          <cell r="E142" t="str">
            <v/>
          </cell>
          <cell r="F142" t="str">
            <v/>
          </cell>
          <cell r="G142" t="str">
            <v/>
          </cell>
          <cell r="H142" t="str">
            <v/>
          </cell>
        </row>
        <row r="143">
          <cell r="B143" t="str">
            <v/>
          </cell>
          <cell r="C143" t="str">
            <v/>
          </cell>
          <cell r="D143" t="str">
            <v/>
          </cell>
          <cell r="E143" t="str">
            <v/>
          </cell>
          <cell r="F143" t="str">
            <v/>
          </cell>
          <cell r="G143" t="str">
            <v/>
          </cell>
          <cell r="H143" t="str">
            <v/>
          </cell>
        </row>
        <row r="144">
          <cell r="B144" t="str">
            <v/>
          </cell>
          <cell r="C144" t="str">
            <v/>
          </cell>
          <cell r="D144" t="str">
            <v/>
          </cell>
          <cell r="E144" t="str">
            <v/>
          </cell>
          <cell r="F144" t="str">
            <v/>
          </cell>
          <cell r="G144" t="str">
            <v/>
          </cell>
          <cell r="H144" t="str">
            <v/>
          </cell>
        </row>
        <row r="145">
          <cell r="B145" t="str">
            <v/>
          </cell>
          <cell r="C145" t="str">
            <v/>
          </cell>
          <cell r="D145" t="str">
            <v/>
          </cell>
          <cell r="E145" t="str">
            <v/>
          </cell>
          <cell r="F145" t="str">
            <v/>
          </cell>
          <cell r="G145" t="str">
            <v/>
          </cell>
          <cell r="H145" t="str">
            <v/>
          </cell>
        </row>
        <row r="146">
          <cell r="B146" t="str">
            <v/>
          </cell>
          <cell r="C146" t="str">
            <v/>
          </cell>
          <cell r="D146" t="str">
            <v/>
          </cell>
          <cell r="E146" t="str">
            <v/>
          </cell>
          <cell r="F146" t="str">
            <v/>
          </cell>
          <cell r="G146" t="str">
            <v/>
          </cell>
          <cell r="H146" t="str">
            <v/>
          </cell>
        </row>
        <row r="147">
          <cell r="B147" t="str">
            <v/>
          </cell>
          <cell r="C147" t="str">
            <v/>
          </cell>
          <cell r="D147" t="str">
            <v/>
          </cell>
          <cell r="E147" t="str">
            <v/>
          </cell>
          <cell r="F147" t="str">
            <v/>
          </cell>
          <cell r="G147" t="str">
            <v/>
          </cell>
          <cell r="H147" t="str">
            <v/>
          </cell>
        </row>
        <row r="148">
          <cell r="B148" t="str">
            <v/>
          </cell>
          <cell r="C148" t="str">
            <v/>
          </cell>
          <cell r="D148" t="str">
            <v/>
          </cell>
          <cell r="E148" t="str">
            <v/>
          </cell>
          <cell r="F148" t="str">
            <v/>
          </cell>
          <cell r="G148" t="str">
            <v/>
          </cell>
          <cell r="H148" t="str">
            <v/>
          </cell>
        </row>
        <row r="149">
          <cell r="B149" t="str">
            <v/>
          </cell>
          <cell r="C149" t="str">
            <v/>
          </cell>
          <cell r="D149" t="str">
            <v/>
          </cell>
          <cell r="E149" t="str">
            <v/>
          </cell>
          <cell r="F149" t="str">
            <v/>
          </cell>
          <cell r="G149" t="str">
            <v/>
          </cell>
          <cell r="H149" t="str">
            <v/>
          </cell>
        </row>
        <row r="150">
          <cell r="B150" t="str">
            <v/>
          </cell>
          <cell r="C150" t="str">
            <v/>
          </cell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</row>
        <row r="151">
          <cell r="B151" t="str">
            <v/>
          </cell>
          <cell r="C151" t="str">
            <v/>
          </cell>
          <cell r="D151" t="str">
            <v/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</row>
        <row r="152">
          <cell r="B152" t="str">
            <v/>
          </cell>
          <cell r="C152" t="str">
            <v/>
          </cell>
          <cell r="D152" t="str">
            <v/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</row>
        <row r="153">
          <cell r="B153" t="str">
            <v/>
          </cell>
          <cell r="C153" t="str">
            <v/>
          </cell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  <cell r="H153" t="str">
            <v/>
          </cell>
        </row>
        <row r="154">
          <cell r="B154" t="str">
            <v/>
          </cell>
          <cell r="C154" t="str">
            <v/>
          </cell>
          <cell r="D154" t="str">
            <v/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</row>
        <row r="155">
          <cell r="B155" t="str">
            <v/>
          </cell>
          <cell r="C155" t="str">
            <v/>
          </cell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</row>
        <row r="156">
          <cell r="B156" t="str">
            <v/>
          </cell>
          <cell r="C156" t="str">
            <v/>
          </cell>
          <cell r="D156" t="str">
            <v/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91282CPQ8@BGN%20Gov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91282CPQ8@BGN%20Govt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91282CPQ8@BGN%20Gov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54CF5-4EB3-4224-B850-F88ACAE70BD3}">
  <dimension ref="A1:AH569"/>
  <sheetViews>
    <sheetView zoomScale="80" zoomScaleNormal="80" workbookViewId="0">
      <selection activeCell="H49" sqref="H49"/>
    </sheetView>
  </sheetViews>
  <sheetFormatPr defaultColWidth="9.140625" defaultRowHeight="15" x14ac:dyDescent="0.25"/>
  <cols>
    <col min="1" max="1" width="16.5703125" style="4" bestFit="1" customWidth="1"/>
    <col min="2" max="2" width="14.5703125" style="5" bestFit="1" customWidth="1"/>
    <col min="3" max="3" width="15.85546875" style="5" bestFit="1" customWidth="1"/>
    <col min="4" max="4" width="14.5703125" style="56" bestFit="1" customWidth="1"/>
    <col min="5" max="5" width="6" style="5" bestFit="1" customWidth="1"/>
    <col min="6" max="6" width="13.7109375" style="5" bestFit="1" customWidth="1"/>
    <col min="7" max="7" width="9.5703125" style="5" bestFit="1" customWidth="1"/>
    <col min="8" max="8" width="7.140625" style="5" bestFit="1" customWidth="1"/>
    <col min="9" max="9" width="8.7109375" style="5" bestFit="1" customWidth="1"/>
    <col min="10" max="10" width="9.140625" style="5" bestFit="1" customWidth="1"/>
    <col min="11" max="11" width="13.42578125" style="12" bestFit="1" customWidth="1"/>
    <col min="12" max="12" width="10.7109375" style="5" bestFit="1" customWidth="1"/>
    <col min="13" max="13" width="12" style="12" bestFit="1" customWidth="1"/>
    <col min="14" max="14" width="17.140625" style="4" bestFit="1" customWidth="1"/>
    <col min="15" max="15" width="7.7109375" style="5" bestFit="1" customWidth="1"/>
    <col min="16" max="16" width="17.140625" style="4" bestFit="1" customWidth="1"/>
    <col min="17" max="17" width="8.7109375" style="5" bestFit="1" customWidth="1"/>
    <col min="18" max="18" width="17.140625" style="4" bestFit="1" customWidth="1"/>
    <col min="19" max="19" width="12" style="5" bestFit="1" customWidth="1"/>
    <col min="20" max="22" width="17.140625" style="4" bestFit="1" customWidth="1"/>
    <col min="23" max="24" width="9.140625" style="4"/>
    <col min="25" max="16384" width="9.140625" style="5"/>
  </cols>
  <sheetData>
    <row r="1" spans="1:22" ht="15.75" thickBot="1" x14ac:dyDescent="0.3">
      <c r="A1" s="1"/>
      <c r="B1" s="1"/>
      <c r="C1" s="1"/>
      <c r="D1" s="2"/>
      <c r="E1" s="1"/>
      <c r="F1" s="1"/>
      <c r="G1" s="1"/>
      <c r="H1" s="1"/>
      <c r="I1" s="1"/>
      <c r="J1" s="1"/>
      <c r="K1" s="3"/>
      <c r="L1" s="1"/>
      <c r="M1" s="1"/>
      <c r="T1" s="4">
        <f>15*10</f>
        <v>150</v>
      </c>
      <c r="V1" s="4" cm="1">
        <f t="array" ref="V1">LOOKUP(2,1/(V:V&lt;&gt;""),V:V)</f>
        <v>46080.625</v>
      </c>
    </row>
    <row r="2" spans="1:22" ht="15.75" thickBot="1" x14ac:dyDescent="0.3">
      <c r="A2" s="6"/>
      <c r="B2" s="7" t="s">
        <v>0</v>
      </c>
      <c r="C2" s="8" t="s">
        <v>1</v>
      </c>
      <c r="D2" s="9" t="s">
        <v>0</v>
      </c>
      <c r="E2" s="1"/>
      <c r="F2" s="10"/>
      <c r="G2" s="11"/>
      <c r="H2" s="1"/>
      <c r="M2" s="5"/>
      <c r="N2" s="13" t="s">
        <v>0</v>
      </c>
      <c r="P2" s="14" t="s">
        <v>1</v>
      </c>
      <c r="R2" s="15" t="s">
        <v>1</v>
      </c>
      <c r="V2" s="5" cm="1">
        <f t="array" ref="V2:V32">_xlfn.UNIQUE(U:U)</f>
        <v>0</v>
      </c>
    </row>
    <row r="3" spans="1:22" x14ac:dyDescent="0.25">
      <c r="A3" s="6" t="s">
        <v>2</v>
      </c>
      <c r="B3" s="16" t="s">
        <v>3</v>
      </c>
      <c r="C3" s="17" t="s">
        <v>4</v>
      </c>
      <c r="D3" s="6" t="s">
        <v>5</v>
      </c>
      <c r="M3" s="5"/>
      <c r="N3" s="4" cm="1">
        <f t="array" ref="N3:O107">_xll.BDH(B4, "LAST_PRICE", "01/01/2025 15:00:00", "01/01/2035 16:00:00", "BarSize=60", "BarType=T", "RecurDaily=True", "TZ=New_York")</f>
        <v>45922.625</v>
      </c>
      <c r="O3" s="5">
        <v>51.533999999999999</v>
      </c>
      <c r="P3" s="4" cm="1">
        <f t="array" ref="P3:Q135">_xll.BDH(C4, "LAST_PRICE", "01/01/2025 15:00:00", "01/01/2035 16:00:00", "BarSize=60", "BarType=T", "RecurDaily=True", "TZ=New_York")</f>
        <v>45884.625</v>
      </c>
      <c r="Q3" s="5">
        <v>83.06</v>
      </c>
      <c r="R3" s="4" cm="1">
        <f t="array" ref="R3:S48">_xll.BDH(D4, "LAST_PRICE", "01/01/2025 15:00:00", "01/01/2035 16:00:00", "BarSize=60", "BarType=T", "RecurDaily=True", "TZ=New_York")</f>
        <v>46016.625</v>
      </c>
      <c r="S3" s="5">
        <v>99.734375</v>
      </c>
      <c r="T3" s="4" t="str">
        <f>IF(COUNTIF(P:P,N3)*COUNTIF(R:R,N3),N3,"")</f>
        <v/>
      </c>
      <c r="U3" s="4" t="str">
        <f t="shared" ref="U3:U66" si="0">IF(T3&gt;$A$14,T3,"")</f>
        <v/>
      </c>
      <c r="V3" s="4" t="str">
        <v/>
      </c>
    </row>
    <row r="4" spans="1:22" ht="30" customHeight="1" thickBot="1" x14ac:dyDescent="0.3">
      <c r="A4" s="16" t="s">
        <v>6</v>
      </c>
      <c r="B4" s="18" t="s">
        <v>7</v>
      </c>
      <c r="C4" s="18" t="s">
        <v>8</v>
      </c>
      <c r="D4" s="19" t="s">
        <v>9</v>
      </c>
      <c r="G4" s="20"/>
      <c r="I4" s="21"/>
      <c r="M4" s="5"/>
      <c r="N4" s="4">
        <v>45923.625</v>
      </c>
      <c r="O4" s="5">
        <v>52.084000000000003</v>
      </c>
      <c r="P4" s="4">
        <v>45887.625</v>
      </c>
      <c r="Q4" s="5">
        <v>82.96</v>
      </c>
      <c r="R4" s="4">
        <v>46017.625</v>
      </c>
      <c r="S4" s="5">
        <v>99.859375</v>
      </c>
      <c r="T4" s="4" t="str">
        <f t="shared" ref="T4:T67" si="1">IF(COUNTIF(P:P,N4)*COUNTIF(R:R,N4),N4,"")</f>
        <v/>
      </c>
      <c r="U4" s="4" t="str">
        <f t="shared" si="0"/>
        <v/>
      </c>
      <c r="V4" s="4">
        <v>46038.625</v>
      </c>
    </row>
    <row r="5" spans="1:22" x14ac:dyDescent="0.25">
      <c r="A5" s="16" t="s">
        <v>10</v>
      </c>
      <c r="B5" s="61">
        <f>10*10^6</f>
        <v>10000000</v>
      </c>
      <c r="C5" s="62">
        <f>3.4*10^6</f>
        <v>3400000</v>
      </c>
      <c r="D5" s="62">
        <f>2.6*10^6</f>
        <v>2600000</v>
      </c>
      <c r="F5" s="22" t="s">
        <v>11</v>
      </c>
      <c r="G5" s="23"/>
      <c r="M5" s="5"/>
      <c r="N5" s="4">
        <v>45924.625</v>
      </c>
      <c r="O5" s="5">
        <v>52.649000000000001</v>
      </c>
      <c r="P5" s="4">
        <v>45888.625</v>
      </c>
      <c r="Q5" s="5">
        <v>83.08</v>
      </c>
      <c r="R5" s="4">
        <v>46020.625</v>
      </c>
      <c r="S5" s="5">
        <v>100</v>
      </c>
      <c r="T5" s="4" t="str">
        <f t="shared" si="1"/>
        <v/>
      </c>
      <c r="U5" s="4" t="str">
        <f t="shared" si="0"/>
        <v/>
      </c>
      <c r="V5" s="4">
        <v>46042.625</v>
      </c>
    </row>
    <row r="6" spans="1:22" x14ac:dyDescent="0.25">
      <c r="A6" s="16" t="s">
        <v>12</v>
      </c>
      <c r="B6" s="24">
        <v>0.01</v>
      </c>
      <c r="C6" s="25">
        <v>0</v>
      </c>
      <c r="D6" s="26">
        <f>(3+7/8)*0.01</f>
        <v>3.875E-2</v>
      </c>
      <c r="F6" s="27">
        <v>46055</v>
      </c>
      <c r="G6" s="28">
        <v>0.33</v>
      </c>
      <c r="M6" s="5"/>
      <c r="N6" s="4">
        <v>45925.625</v>
      </c>
      <c r="O6" s="5">
        <v>53.47</v>
      </c>
      <c r="P6" s="4">
        <v>45889.625</v>
      </c>
      <c r="Q6" s="5">
        <v>83.11</v>
      </c>
      <c r="R6" s="4">
        <v>46021.625</v>
      </c>
      <c r="S6" s="5">
        <v>99.90625</v>
      </c>
      <c r="T6" s="4" t="str">
        <f t="shared" si="1"/>
        <v/>
      </c>
      <c r="U6" s="4" t="str">
        <f t="shared" si="0"/>
        <v/>
      </c>
      <c r="V6" s="4">
        <v>46043.625</v>
      </c>
    </row>
    <row r="7" spans="1:22" ht="15.75" thickBot="1" x14ac:dyDescent="0.3">
      <c r="A7" s="16" t="s">
        <v>13</v>
      </c>
      <c r="B7" s="25">
        <v>0</v>
      </c>
      <c r="C7" s="25">
        <v>3.9699999999999999E-2</v>
      </c>
      <c r="D7" s="26">
        <v>3.9699999999999999E-2</v>
      </c>
      <c r="E7" s="1"/>
      <c r="F7" s="29" t="s">
        <v>14</v>
      </c>
      <c r="G7" s="30">
        <f>C5/E14</f>
        <v>40572.792362768501</v>
      </c>
      <c r="H7" s="1"/>
      <c r="M7" s="5"/>
      <c r="N7" s="4">
        <v>45926.625</v>
      </c>
      <c r="O7" s="5">
        <v>52.851999999999997</v>
      </c>
      <c r="P7" s="4">
        <v>45890.625</v>
      </c>
      <c r="Q7" s="5">
        <v>82.86</v>
      </c>
      <c r="R7" s="4">
        <v>46023.625</v>
      </c>
      <c r="S7" s="5">
        <v>99.609375</v>
      </c>
      <c r="T7" s="4" t="str">
        <f t="shared" si="1"/>
        <v/>
      </c>
      <c r="U7" s="4" t="str">
        <f t="shared" si="0"/>
        <v/>
      </c>
      <c r="V7" s="4">
        <v>46044.625</v>
      </c>
    </row>
    <row r="8" spans="1:22" x14ac:dyDescent="0.25">
      <c r="A8" s="16" t="s">
        <v>15</v>
      </c>
      <c r="B8" s="16">
        <v>4.5590000000000002</v>
      </c>
      <c r="C8" s="17"/>
      <c r="D8" s="16"/>
      <c r="E8" s="1"/>
      <c r="H8" s="1"/>
      <c r="I8" s="1"/>
      <c r="J8" s="1"/>
      <c r="K8" s="3"/>
      <c r="L8" s="1"/>
      <c r="M8" s="1"/>
      <c r="N8" s="4">
        <v>45929.625</v>
      </c>
      <c r="O8" s="5">
        <v>52.11</v>
      </c>
      <c r="P8" s="4">
        <v>45891.625</v>
      </c>
      <c r="Q8" s="5">
        <v>83.38</v>
      </c>
      <c r="R8" s="4">
        <v>46024.625</v>
      </c>
      <c r="S8" s="5">
        <v>99.515625</v>
      </c>
      <c r="T8" s="4" t="str">
        <f t="shared" si="1"/>
        <v/>
      </c>
      <c r="U8" s="4" t="str">
        <f t="shared" si="0"/>
        <v/>
      </c>
      <c r="V8" s="4">
        <v>46045.625</v>
      </c>
    </row>
    <row r="9" spans="1:22" x14ac:dyDescent="0.25">
      <c r="A9" s="16" t="s">
        <v>16</v>
      </c>
      <c r="B9" s="31" cm="1">
        <f t="array" ref="B9">_xll.BDP(B4,"PX_LAST")</f>
        <v>55.950740000000003</v>
      </c>
      <c r="C9" s="31" cm="1">
        <f t="array" ref="C9">_xll.BDP(C4,"PX_LAST")</f>
        <v>84.72</v>
      </c>
      <c r="D9" s="31" cm="1">
        <f t="array" ref="D9">_xll.BDP(D4,"PX_LAST")</f>
        <v>101.140625</v>
      </c>
      <c r="E9" s="1"/>
      <c r="F9" s="1"/>
      <c r="G9" s="1"/>
      <c r="H9" s="1"/>
      <c r="I9" s="1"/>
      <c r="J9" s="1"/>
      <c r="K9" s="3"/>
      <c r="L9" s="1"/>
      <c r="M9" s="1"/>
      <c r="N9" s="4">
        <v>45930.625</v>
      </c>
      <c r="O9" s="5">
        <v>51.91</v>
      </c>
      <c r="P9" s="4">
        <v>45894.625</v>
      </c>
      <c r="Q9" s="5">
        <v>83.23</v>
      </c>
      <c r="R9" s="4">
        <v>46027.625</v>
      </c>
      <c r="S9" s="5">
        <v>99.734375</v>
      </c>
      <c r="T9" s="4" t="str">
        <f t="shared" si="1"/>
        <v/>
      </c>
      <c r="U9" s="4" t="str">
        <f t="shared" si="0"/>
        <v/>
      </c>
      <c r="V9" s="4">
        <v>46048.625</v>
      </c>
    </row>
    <row r="10" spans="1:22" ht="15.75" thickBot="1" x14ac:dyDescent="0.3">
      <c r="A10" s="32"/>
      <c r="B10" s="33"/>
      <c r="C10" s="34"/>
      <c r="D10" s="33"/>
      <c r="E10" s="1"/>
      <c r="F10" s="1"/>
      <c r="G10" s="1"/>
      <c r="H10" s="1"/>
      <c r="I10" s="1"/>
      <c r="J10" s="1"/>
      <c r="K10" s="3"/>
      <c r="L10" s="1"/>
      <c r="M10" s="1"/>
      <c r="N10" s="4">
        <v>45931.625</v>
      </c>
      <c r="O10" s="5">
        <v>52.023000000000003</v>
      </c>
      <c r="P10" s="4">
        <v>45895.625</v>
      </c>
      <c r="Q10" s="5">
        <v>83.36</v>
      </c>
      <c r="R10" s="4">
        <v>46028.625</v>
      </c>
      <c r="S10" s="5">
        <v>99.71875</v>
      </c>
      <c r="T10" s="4" t="str">
        <f t="shared" si="1"/>
        <v/>
      </c>
      <c r="U10" s="4" t="str">
        <f t="shared" si="0"/>
        <v/>
      </c>
      <c r="V10" s="4">
        <v>46049.625</v>
      </c>
    </row>
    <row r="11" spans="1:22" ht="15.75" thickBot="1" x14ac:dyDescent="0.3">
      <c r="A11" s="1"/>
      <c r="B11" s="1"/>
      <c r="C11" s="1"/>
      <c r="D11" s="2"/>
      <c r="E11" s="1"/>
      <c r="F11" s="1"/>
      <c r="G11" s="1"/>
      <c r="H11" s="1"/>
      <c r="I11" s="1"/>
      <c r="J11" s="1"/>
      <c r="K11" s="3"/>
      <c r="L11" s="1"/>
      <c r="M11" s="1"/>
      <c r="N11" s="4">
        <v>45932.625</v>
      </c>
      <c r="O11" s="5">
        <v>51.573</v>
      </c>
      <c r="P11" s="4">
        <v>45896.625</v>
      </c>
      <c r="Q11" s="5">
        <v>83.46</v>
      </c>
      <c r="R11" s="4">
        <v>46029.625</v>
      </c>
      <c r="S11" s="5">
        <v>99.84375</v>
      </c>
      <c r="T11" s="4" t="str">
        <f t="shared" si="1"/>
        <v/>
      </c>
      <c r="U11" s="4" t="str">
        <f t="shared" si="0"/>
        <v/>
      </c>
      <c r="V11" s="4">
        <v>46050.625</v>
      </c>
    </row>
    <row r="12" spans="1:22" ht="15.75" thickBot="1" x14ac:dyDescent="0.3">
      <c r="A12" s="35" t="s">
        <v>17</v>
      </c>
      <c r="B12" s="36" t="s">
        <v>0</v>
      </c>
      <c r="C12" s="37"/>
      <c r="D12" s="38"/>
      <c r="E12" s="39" t="s">
        <v>1</v>
      </c>
      <c r="F12" s="40"/>
      <c r="G12" s="41"/>
      <c r="H12" s="42" t="s">
        <v>0</v>
      </c>
      <c r="I12" s="43"/>
      <c r="J12" s="44"/>
      <c r="K12" s="45" t="s">
        <v>18</v>
      </c>
      <c r="L12" s="35" t="s">
        <v>19</v>
      </c>
      <c r="N12" s="4">
        <v>45933.625</v>
      </c>
      <c r="O12" s="5">
        <v>51.512999999999998</v>
      </c>
      <c r="P12" s="4">
        <v>45897.625</v>
      </c>
      <c r="Q12" s="5">
        <v>83.53</v>
      </c>
      <c r="R12" s="4">
        <v>46030.625</v>
      </c>
      <c r="S12" s="5">
        <v>99.546875</v>
      </c>
      <c r="T12" s="4" t="str">
        <f t="shared" si="1"/>
        <v/>
      </c>
      <c r="U12" s="4" t="str">
        <f t="shared" si="0"/>
        <v/>
      </c>
      <c r="V12" s="4">
        <v>46051.625</v>
      </c>
    </row>
    <row r="13" spans="1:22" ht="15.75" thickBot="1" x14ac:dyDescent="0.3">
      <c r="A13" s="32"/>
      <c r="B13" s="46" t="s">
        <v>20</v>
      </c>
      <c r="C13" s="47" t="s">
        <v>21</v>
      </c>
      <c r="D13" s="48" t="s">
        <v>22</v>
      </c>
      <c r="E13" s="46" t="s">
        <v>20</v>
      </c>
      <c r="F13" s="47" t="s">
        <v>21</v>
      </c>
      <c r="G13" s="48" t="s">
        <v>22</v>
      </c>
      <c r="H13" s="46" t="s">
        <v>20</v>
      </c>
      <c r="I13" s="47" t="s">
        <v>21</v>
      </c>
      <c r="J13" s="48" t="s">
        <v>22</v>
      </c>
      <c r="K13" s="49"/>
      <c r="L13" s="32"/>
      <c r="N13" s="4">
        <v>45936.625</v>
      </c>
      <c r="O13" s="5">
        <v>50.932000000000002</v>
      </c>
      <c r="P13" s="4">
        <v>45898.625</v>
      </c>
      <c r="Q13" s="5">
        <v>83.42</v>
      </c>
      <c r="R13" s="4">
        <v>46031.625</v>
      </c>
      <c r="S13" s="5">
        <v>99.5625</v>
      </c>
      <c r="T13" s="4" t="str">
        <f t="shared" si="1"/>
        <v/>
      </c>
      <c r="U13" s="4" t="str">
        <f t="shared" si="0"/>
        <v/>
      </c>
      <c r="V13" s="4">
        <v>46052.625</v>
      </c>
    </row>
    <row r="14" spans="1:22" x14ac:dyDescent="0.25">
      <c r="A14" s="50">
        <v>46037.625</v>
      </c>
      <c r="B14" s="51">
        <v>49.1</v>
      </c>
      <c r="C14" s="2"/>
      <c r="D14" s="17"/>
      <c r="E14" s="51">
        <v>83.8</v>
      </c>
      <c r="F14" s="1"/>
      <c r="G14" s="17"/>
      <c r="H14" s="51">
        <v>99.1875</v>
      </c>
      <c r="I14" s="1"/>
      <c r="J14" s="17"/>
      <c r="K14" s="52"/>
      <c r="L14" s="53">
        <v>0</v>
      </c>
      <c r="N14" s="4">
        <v>45937.625</v>
      </c>
      <c r="O14" s="5">
        <v>51.51</v>
      </c>
      <c r="P14" s="4">
        <v>45902.625</v>
      </c>
      <c r="Q14" s="5">
        <v>82.9</v>
      </c>
      <c r="R14" s="4">
        <v>46034.625</v>
      </c>
      <c r="S14" s="5">
        <v>99.46875</v>
      </c>
      <c r="T14" s="4" t="str">
        <f t="shared" si="1"/>
        <v/>
      </c>
      <c r="U14" s="4" t="str">
        <f t="shared" si="0"/>
        <v/>
      </c>
      <c r="V14" s="4">
        <v>46055.625</v>
      </c>
    </row>
    <row r="15" spans="1:22" x14ac:dyDescent="0.25">
      <c r="A15" s="50">
        <f ca="1">IF(AND(ISBLANK(V4), A14 = $V$1),NOW(),IF(ISBLANK(V4),"",V4))</f>
        <v>46038.625</v>
      </c>
      <c r="B15" s="51">
        <f ca="1">IF(COUNTIF($V$2:V1000,A15)=1,VLOOKUP(A15,N:O,2), IF(COUNTIF($V$2:V1000,A15)=0,$B$9,""))</f>
        <v>48.69</v>
      </c>
      <c r="C15" s="2">
        <f ca="1">IF(ISERROR(B15-2),"",-1*(B15-$B$14)*10^(-4)*$B$8*$B$5)</f>
        <v>1869.1900000000169</v>
      </c>
      <c r="D15" s="54">
        <f ca="1">IF(ISERROR(B15-2),"",(INT(A15)-INT($A$14))/360*$B$5*$B$6)</f>
        <v>277.77777777777777</v>
      </c>
      <c r="E15" s="51">
        <f ca="1">IF(COUNTIF($V$2:V1000,A15)=1,VLOOKUP(A15,P:Q,2), IF(COUNTIF($V$2:V1000,A15)=0,$C$9,""))</f>
        <v>83.78</v>
      </c>
      <c r="F15" s="2">
        <f ca="1">IF(ISERROR(B15-2),"",(E15/$E$14-1)*$C$5)</f>
        <v>-811.455847255349</v>
      </c>
      <c r="G15" s="54">
        <f ca="1">IF(ISERROR(B15-2),"",(INT(A15)-INT($A$14))/360*$C$6*$C$5-(INT(A15)-INT($A$14))/360*$C$7*$C$5)</f>
        <v>-374.94444444444446</v>
      </c>
      <c r="H15" s="51">
        <f ca="1">IF(COUNTIF($V$2:V1000,A15)=1,VLOOKUP(A15,R:S,2), IF(COUNTIF($V$2:V1000,A15)=0,$D$9,""))</f>
        <v>99.15625</v>
      </c>
      <c r="I15" s="2">
        <f ca="1">IF(ISERROR(B15-2),"",(H15-$H$14)/100*$D$5)</f>
        <v>-812.5</v>
      </c>
      <c r="J15" s="54">
        <f ca="1">IF(ISERROR(B15-2),"",(INT(A15)-INT($A$14))/360*$D$6*$D$5 - (INT(A15)-INT($A$14))/360*$D$7*$D$5*$H$14/100)</f>
        <v>-4.5314930555555861</v>
      </c>
      <c r="K15" s="52"/>
      <c r="L15" s="55">
        <f ca="1">IF(ISERROR(B15-2),"",C15+D15-F15-G15+I15+J15-SUM($K$14:K15))</f>
        <v>2516.3365764220325</v>
      </c>
      <c r="N15" s="4">
        <v>45938.625</v>
      </c>
      <c r="O15" s="5">
        <v>51.826999999999998</v>
      </c>
      <c r="P15" s="4">
        <v>45903.625</v>
      </c>
      <c r="Q15" s="5">
        <v>83.2</v>
      </c>
      <c r="R15" s="4">
        <v>46035.625</v>
      </c>
      <c r="S15" s="5">
        <v>99.578125</v>
      </c>
      <c r="T15" s="4" t="str">
        <f t="shared" si="1"/>
        <v/>
      </c>
      <c r="U15" s="4" t="str">
        <f t="shared" si="0"/>
        <v/>
      </c>
      <c r="V15" s="4">
        <v>46056.625</v>
      </c>
    </row>
    <row r="16" spans="1:22" hidden="1" x14ac:dyDescent="0.25">
      <c r="A16" s="50">
        <f t="shared" ref="A16:A79" ca="1" si="2">IF(AND(ISBLANK(V5), A15 = $V$1),NOW(),IF(ISBLANK(V5),"",V5))</f>
        <v>46042.625</v>
      </c>
      <c r="B16" s="51">
        <f ca="1">IF(COUNTIF($V$2:V1001,A16)=1,VLOOKUP(A16,N:O,2), IF(COUNTIF($V$2:V1001,A16)=0,$B$9,""))</f>
        <v>50.305</v>
      </c>
      <c r="C16" s="2">
        <f t="shared" ref="C16:C79" ca="1" si="3">IF(ISERROR(B16-2),"",-1*(B16-$B$14)*10^(-4)*$B$8*$B$5)</f>
        <v>-5493.594999999993</v>
      </c>
      <c r="D16" s="54">
        <f t="shared" ref="D16:D79" ca="1" si="4">IF(ISERROR(B16-2),"",(INT(A16)-INT($A$14))/360*$B$5*$B$6)</f>
        <v>1388.8888888888887</v>
      </c>
      <c r="E16" s="51">
        <f ca="1">IF(COUNTIF($V$2:V1001,A16)=1,VLOOKUP(A16,P:Q,2), IF(COUNTIF($V$2:V1001,A16)=0,$C$9,""))</f>
        <v>83.48</v>
      </c>
      <c r="F16" s="2">
        <f t="shared" ref="F16:F79" ca="1" si="5">IF(ISERROR(B16-2),"",(E16/$E$14-1)*$C$5)</f>
        <v>-12983.293556085584</v>
      </c>
      <c r="G16" s="54">
        <f t="shared" ref="G16:G79" ca="1" si="6">IF(ISERROR(B16-2),"",(INT(A16)-INT($A$14))/360*$C$6*$C$5-(INT(A16)-INT($A$14))/360*$C$7*$C$5)</f>
        <v>-1874.7222222222219</v>
      </c>
      <c r="H16" s="51">
        <f ca="1">IF(COUNTIF($V$2:V1001,A16)=1,VLOOKUP(A16,R:S,2), IF(COUNTIF($V$2:V1001,A16)=0,$D$9,""))</f>
        <v>98.84375</v>
      </c>
      <c r="I16" s="2">
        <f t="shared" ref="I16:I79" ca="1" si="7">IF(ISERROR(B16-2),"",(H16-$H$14)/100*$D$5)</f>
        <v>-8937.5</v>
      </c>
      <c r="J16" s="54">
        <f t="shared" ref="J16:J79" ca="1" si="8">IF(ISERROR(B16-2),"",(INT(A16)-INT($A$14))/360*$D$6*$D$5 - (INT(A16)-INT($A$14))/360*$D$7*$D$5*$H$14/100)</f>
        <v>-22.657465277777419</v>
      </c>
      <c r="K16" s="52"/>
      <c r="L16" s="55">
        <f ca="1">IF(ISERROR(B16-2),"",C16+D16-F16-G16+I16+J16-SUM($K$14:K16))</f>
        <v>1793.1522019189258</v>
      </c>
      <c r="N16" s="4">
        <v>45939.625</v>
      </c>
      <c r="O16" s="5">
        <v>52.374000000000002</v>
      </c>
      <c r="P16" s="4">
        <v>45904.625</v>
      </c>
      <c r="Q16" s="5">
        <v>83.66</v>
      </c>
      <c r="R16" s="4">
        <v>46036.625</v>
      </c>
      <c r="S16" s="5">
        <v>99.734375</v>
      </c>
      <c r="T16" s="4" t="str">
        <f t="shared" si="1"/>
        <v/>
      </c>
      <c r="U16" s="4" t="str">
        <f t="shared" si="0"/>
        <v/>
      </c>
      <c r="V16" s="4">
        <v>46057.625</v>
      </c>
    </row>
    <row r="17" spans="1:22" hidden="1" x14ac:dyDescent="0.25">
      <c r="A17" s="50">
        <f t="shared" ca="1" si="2"/>
        <v>46043.625</v>
      </c>
      <c r="B17" s="51">
        <f ca="1">IF(COUNTIF($V$2:V1002,A17)=1,VLOOKUP(A17,N:O,2), IF(COUNTIF($V$2:V1002,A17)=0,$B$9,""))</f>
        <v>48.877000000000002</v>
      </c>
      <c r="C17" s="2">
        <f t="shared" ca="1" si="3"/>
        <v>1016.6569999999955</v>
      </c>
      <c r="D17" s="54">
        <f t="shared" ca="1" si="4"/>
        <v>1666.6666666666665</v>
      </c>
      <c r="E17" s="51">
        <f ca="1">IF(COUNTIF($V$2:V1002,A17)=1,VLOOKUP(A17,P:Q,2), IF(COUNTIF($V$2:V1002,A17)=0,$C$9,""))</f>
        <v>83.81</v>
      </c>
      <c r="F17" s="2">
        <f t="shared" ca="1" si="5"/>
        <v>405.7279236276745</v>
      </c>
      <c r="G17" s="54">
        <f t="shared" ca="1" si="6"/>
        <v>-2249.6666666666665</v>
      </c>
      <c r="H17" s="51">
        <f ca="1">IF(COUNTIF($V$2:V1002,A17)=1,VLOOKUP(A17,R:S,2), IF(COUNTIF($V$2:V1002,A17)=0,$D$9,""))</f>
        <v>99.046875</v>
      </c>
      <c r="I17" s="2">
        <f t="shared" ca="1" si="7"/>
        <v>-3656.25</v>
      </c>
      <c r="J17" s="54">
        <f t="shared" ca="1" si="8"/>
        <v>-27.188958333333176</v>
      </c>
      <c r="K17" s="52"/>
      <c r="L17" s="55">
        <f ca="1">IF(ISERROR(B17-2),"",C17+D17-F17-G17+I17+J17-SUM($K$14:K17))</f>
        <v>843.82345137232096</v>
      </c>
      <c r="N17" s="4">
        <v>45940.625</v>
      </c>
      <c r="O17" s="5">
        <v>55.298999999999999</v>
      </c>
      <c r="P17" s="4">
        <v>45905.625</v>
      </c>
      <c r="Q17" s="5">
        <v>83.99</v>
      </c>
      <c r="R17" s="4">
        <v>46037.625</v>
      </c>
      <c r="S17" s="5">
        <v>99.484375</v>
      </c>
      <c r="T17" s="4" t="str">
        <f t="shared" si="1"/>
        <v/>
      </c>
      <c r="U17" s="4" t="str">
        <f t="shared" si="0"/>
        <v/>
      </c>
      <c r="V17" s="4">
        <v>46058.625</v>
      </c>
    </row>
    <row r="18" spans="1:22" hidden="1" x14ac:dyDescent="0.25">
      <c r="A18" s="50">
        <f t="shared" ca="1" si="2"/>
        <v>46044.625</v>
      </c>
      <c r="B18" s="51">
        <f ca="1">IF(COUNTIF($V$2:V1003,A18)=1,VLOOKUP(A18,N:O,2), IF(COUNTIF($V$2:V1003,A18)=0,$B$9,""))</f>
        <v>48.487000000000002</v>
      </c>
      <c r="C18" s="2">
        <f t="shared" ca="1" si="3"/>
        <v>2794.6669999999981</v>
      </c>
      <c r="D18" s="54">
        <f t="shared" ca="1" si="4"/>
        <v>1944.4444444444443</v>
      </c>
      <c r="E18" s="51">
        <f ca="1">IF(COUNTIF($V$2:V1003,A18)=1,VLOOKUP(A18,P:Q,2), IF(COUNTIF($V$2:V1003,A18)=0,$C$9,""))</f>
        <v>83.83</v>
      </c>
      <c r="F18" s="2">
        <f t="shared" ca="1" si="5"/>
        <v>1217.1837708830235</v>
      </c>
      <c r="G18" s="54">
        <f t="shared" ca="1" si="6"/>
        <v>-2624.6111111111113</v>
      </c>
      <c r="H18" s="51">
        <f ca="1">IF(COUNTIF($V$2:V1003,A18)=1,VLOOKUP(A18,R:S,2), IF(COUNTIF($V$2:V1003,A18)=0,$D$9,""))</f>
        <v>98.984375</v>
      </c>
      <c r="I18" s="2">
        <f t="shared" ca="1" si="7"/>
        <v>-5281.25</v>
      </c>
      <c r="J18" s="54">
        <f t="shared" ca="1" si="8"/>
        <v>-31.720451388888932</v>
      </c>
      <c r="K18" s="52"/>
      <c r="L18" s="55">
        <f ca="1">IF(ISERROR(B18-2),"",C18+D18-F18-G18+I18+J18-SUM($K$14:K18))</f>
        <v>833.56833328364178</v>
      </c>
      <c r="N18" s="4">
        <v>45944.625</v>
      </c>
      <c r="O18" s="5">
        <v>53.183</v>
      </c>
      <c r="P18" s="4">
        <v>45908.625</v>
      </c>
      <c r="Q18" s="5">
        <v>84.15</v>
      </c>
      <c r="R18" s="4">
        <v>46038.625</v>
      </c>
      <c r="S18" s="5">
        <v>99.15625</v>
      </c>
      <c r="T18" s="4" t="str">
        <f t="shared" si="1"/>
        <v/>
      </c>
      <c r="U18" s="4" t="str">
        <f t="shared" si="0"/>
        <v/>
      </c>
      <c r="V18" s="4">
        <v>46059.625</v>
      </c>
    </row>
    <row r="19" spans="1:22" hidden="1" x14ac:dyDescent="0.25">
      <c r="A19" s="50">
        <f t="shared" ca="1" si="2"/>
        <v>46045.625</v>
      </c>
      <c r="B19" s="51">
        <f ca="1">IF(COUNTIF($V$2:V1004,A19)=1,VLOOKUP(A19,N:O,2), IF(COUNTIF($V$2:V1004,A19)=0,$B$9,""))</f>
        <v>48.872999999999998</v>
      </c>
      <c r="C19" s="2">
        <f t="shared" ca="1" si="3"/>
        <v>1034.8930000000178</v>
      </c>
      <c r="D19" s="54">
        <f t="shared" ca="1" si="4"/>
        <v>2222.2222222222222</v>
      </c>
      <c r="E19" s="51">
        <f ca="1">IF(COUNTIF($V$2:V1004,A19)=1,VLOOKUP(A19,P:Q,2), IF(COUNTIF($V$2:V1004,A19)=0,$C$9,""))</f>
        <v>83.89</v>
      </c>
      <c r="F19" s="2">
        <f t="shared" ca="1" si="5"/>
        <v>3651.5513126490705</v>
      </c>
      <c r="G19" s="54">
        <f t="shared" ca="1" si="6"/>
        <v>-2999.5555555555557</v>
      </c>
      <c r="H19" s="51">
        <f ca="1">IF(COUNTIF($V$2:V1004,A19)=1,VLOOKUP(A19,R:S,2), IF(COUNTIF($V$2:V1004,A19)=0,$D$9,""))</f>
        <v>99.09375</v>
      </c>
      <c r="I19" s="2">
        <f t="shared" ca="1" si="7"/>
        <v>-2437.5</v>
      </c>
      <c r="J19" s="54">
        <f t="shared" ca="1" si="8"/>
        <v>-36.251944444444689</v>
      </c>
      <c r="K19" s="52"/>
      <c r="L19" s="55">
        <f ca="1">IF(ISERROR(B19-2),"",C19+D19-F19-G19+I19+J19-SUM($K$14:K19))</f>
        <v>131.36752068428041</v>
      </c>
      <c r="N19" s="4">
        <v>45945.625</v>
      </c>
      <c r="O19" s="5">
        <v>52.875</v>
      </c>
      <c r="P19" s="4">
        <v>45909.625</v>
      </c>
      <c r="Q19" s="5">
        <v>84.04</v>
      </c>
      <c r="R19" s="4">
        <v>46041.625</v>
      </c>
      <c r="S19" s="5">
        <v>99.171875</v>
      </c>
      <c r="T19" s="4" t="str">
        <f t="shared" si="1"/>
        <v/>
      </c>
      <c r="U19" s="4" t="str">
        <f t="shared" si="0"/>
        <v/>
      </c>
      <c r="V19" s="4">
        <v>46062.625</v>
      </c>
    </row>
    <row r="20" spans="1:22" hidden="1" x14ac:dyDescent="0.25">
      <c r="A20" s="50">
        <f t="shared" ca="1" si="2"/>
        <v>46048.625</v>
      </c>
      <c r="B20" s="51">
        <f ca="1">IF(COUNTIF($V$2:V1005,A20)=1,VLOOKUP(A20,N:O,2), IF(COUNTIF($V$2:V1005,A20)=0,$B$9,""))</f>
        <v>48.905999999999999</v>
      </c>
      <c r="C20" s="2">
        <f t="shared" ca="1" si="3"/>
        <v>884.44600000001185</v>
      </c>
      <c r="D20" s="54">
        <f t="shared" ca="1" si="4"/>
        <v>3055.5555555555557</v>
      </c>
      <c r="E20" s="51">
        <f ca="1">IF(COUNTIF($V$2:V1005,A20)=1,VLOOKUP(A20,P:Q,2), IF(COUNTIF($V$2:V1005,A20)=0,$C$9,""))</f>
        <v>83.97</v>
      </c>
      <c r="F20" s="2">
        <f t="shared" ca="1" si="5"/>
        <v>6897.3747016704665</v>
      </c>
      <c r="G20" s="54">
        <f t="shared" ca="1" si="6"/>
        <v>-4124.3888888888887</v>
      </c>
      <c r="H20" s="51">
        <f ca="1">IF(COUNTIF($V$2:V1005,A20)=1,VLOOKUP(A20,R:S,2), IF(COUNTIF($V$2:V1005,A20)=0,$D$9,""))</f>
        <v>99.1875</v>
      </c>
      <c r="I20" s="2">
        <f t="shared" ca="1" si="7"/>
        <v>0</v>
      </c>
      <c r="J20" s="54">
        <f t="shared" ca="1" si="8"/>
        <v>-49.846423611110822</v>
      </c>
      <c r="K20" s="52"/>
      <c r="L20" s="55">
        <f ca="1">IF(ISERROR(B20-2),"",C20+D20-F20-G20+I20+J20-SUM($K$14:K20))</f>
        <v>1117.1693191628788</v>
      </c>
      <c r="N20" s="4">
        <v>45946.625</v>
      </c>
      <c r="O20" s="5">
        <v>54.484000000000002</v>
      </c>
      <c r="P20" s="4">
        <v>45910.625</v>
      </c>
      <c r="Q20" s="5">
        <v>84.24</v>
      </c>
      <c r="R20" s="4">
        <v>46042.625</v>
      </c>
      <c r="S20" s="5">
        <v>98.84375</v>
      </c>
      <c r="T20" s="4" t="str">
        <f t="shared" si="1"/>
        <v/>
      </c>
      <c r="U20" s="4" t="str">
        <f t="shared" si="0"/>
        <v/>
      </c>
      <c r="V20" s="4">
        <v>46063.625</v>
      </c>
    </row>
    <row r="21" spans="1:22" hidden="1" x14ac:dyDescent="0.25">
      <c r="A21" s="50">
        <f t="shared" ca="1" si="2"/>
        <v>46049.625</v>
      </c>
      <c r="B21" s="51">
        <f ca="1">IF(COUNTIF($V$2:V1006,A21)=1,VLOOKUP(A21,N:O,2), IF(COUNTIF($V$2:V1006,A21)=0,$B$9,""))</f>
        <v>49.045999999999999</v>
      </c>
      <c r="C21" s="2">
        <f t="shared" ca="1" si="3"/>
        <v>246.18600000000936</v>
      </c>
      <c r="D21" s="54">
        <f t="shared" ca="1" si="4"/>
        <v>3333.333333333333</v>
      </c>
      <c r="E21" s="51">
        <f ca="1">IF(COUNTIF($V$2:V1006,A21)=1,VLOOKUP(A21,P:Q,2), IF(COUNTIF($V$2:V1006,A21)=0,$C$9,""))</f>
        <v>83.96</v>
      </c>
      <c r="F21" s="2">
        <f t="shared" ca="1" si="5"/>
        <v>6491.646778042792</v>
      </c>
      <c r="G21" s="54">
        <f t="shared" ca="1" si="6"/>
        <v>-4499.333333333333</v>
      </c>
      <c r="H21" s="51">
        <f ca="1">IF(COUNTIF($V$2:V1006,A21)=1,VLOOKUP(A21,R:S,2), IF(COUNTIF($V$2:V1006,A21)=0,$D$9,""))</f>
        <v>99.109375</v>
      </c>
      <c r="I21" s="2">
        <f t="shared" ca="1" si="7"/>
        <v>-2031.25</v>
      </c>
      <c r="J21" s="54">
        <f t="shared" ca="1" si="8"/>
        <v>-54.377916666666351</v>
      </c>
      <c r="K21" s="52"/>
      <c r="L21" s="55">
        <f ca="1">IF(ISERROR(B21-2),"",C21+D21-F21-G21+I21+J21-SUM($K$14:K21))</f>
        <v>-498.42202804278304</v>
      </c>
      <c r="N21" s="4">
        <v>45947.625</v>
      </c>
      <c r="O21" s="5">
        <v>53.92</v>
      </c>
      <c r="P21" s="4">
        <v>45911.625</v>
      </c>
      <c r="Q21" s="5">
        <v>84.49</v>
      </c>
      <c r="R21" s="4">
        <v>46043.625</v>
      </c>
      <c r="S21" s="5">
        <v>99.046875</v>
      </c>
      <c r="T21" s="4" t="str">
        <f t="shared" si="1"/>
        <v/>
      </c>
      <c r="U21" s="4" t="str">
        <f t="shared" si="0"/>
        <v/>
      </c>
      <c r="V21" s="4">
        <v>46064.625</v>
      </c>
    </row>
    <row r="22" spans="1:22" hidden="1" x14ac:dyDescent="0.25">
      <c r="A22" s="50">
        <f t="shared" ca="1" si="2"/>
        <v>46050.625</v>
      </c>
      <c r="B22" s="51">
        <f ca="1">IF(COUNTIF($V$2:V1007,A22)=1,VLOOKUP(A22,N:O,2), IF(COUNTIF($V$2:V1007,A22)=0,$B$9,""))</f>
        <v>48.957999999999998</v>
      </c>
      <c r="C22" s="2">
        <f t="shared" ca="1" si="3"/>
        <v>647.37800000001369</v>
      </c>
      <c r="D22" s="54">
        <f t="shared" ca="1" si="4"/>
        <v>3611.1111111111109</v>
      </c>
      <c r="E22" s="51">
        <f ca="1">IF(COUNTIF($V$2:V1007,A22)=1,VLOOKUP(A22,P:Q,2), IF(COUNTIF($V$2:V1007,A22)=0,$C$9,""))</f>
        <v>83.91</v>
      </c>
      <c r="F22" s="2">
        <f t="shared" ca="1" si="5"/>
        <v>4463.0071599044195</v>
      </c>
      <c r="G22" s="54">
        <f t="shared" ca="1" si="6"/>
        <v>-4874.2777777777774</v>
      </c>
      <c r="H22" s="51">
        <f ca="1">IF(COUNTIF($V$2:V1007,A22)=1,VLOOKUP(A22,R:S,2), IF(COUNTIF($V$2:V1007,A22)=0,$D$9,""))</f>
        <v>99.046875</v>
      </c>
      <c r="I22" s="2">
        <f t="shared" ca="1" si="7"/>
        <v>-3656.25</v>
      </c>
      <c r="J22" s="54">
        <f t="shared" ca="1" si="8"/>
        <v>-58.909409722222335</v>
      </c>
      <c r="K22" s="52"/>
      <c r="L22" s="55">
        <f ca="1">IF(ISERROR(B22-2),"",C22+D22-F22-G22+I22+J22-SUM($K$14:K22))</f>
        <v>954.6003192622602</v>
      </c>
      <c r="N22" s="4">
        <v>45950.625</v>
      </c>
      <c r="O22" s="5">
        <v>52.293999999999997</v>
      </c>
      <c r="P22" s="4">
        <v>45912.625</v>
      </c>
      <c r="Q22" s="5">
        <v>84.34</v>
      </c>
      <c r="R22" s="4">
        <v>46044.625</v>
      </c>
      <c r="S22" s="5">
        <v>98.984375</v>
      </c>
      <c r="T22" s="4" t="str">
        <f t="shared" si="1"/>
        <v/>
      </c>
      <c r="U22" s="4" t="str">
        <f t="shared" si="0"/>
        <v/>
      </c>
      <c r="V22" s="4">
        <v>46065.625</v>
      </c>
    </row>
    <row r="23" spans="1:22" ht="14.45" hidden="1" customHeight="1" x14ac:dyDescent="0.25">
      <c r="A23" s="50">
        <f t="shared" ca="1" si="2"/>
        <v>46051.625</v>
      </c>
      <c r="B23" s="51">
        <f ca="1">IF(COUNTIF($V$2:V1008,A23)=1,VLOOKUP(A23,N:O,2), IF(COUNTIF($V$2:V1008,A23)=0,$B$9,""))</f>
        <v>49.212000000000003</v>
      </c>
      <c r="C23" s="2">
        <f t="shared" ca="1" si="3"/>
        <v>-510.60800000000859</v>
      </c>
      <c r="D23" s="54">
        <f t="shared" ca="1" si="4"/>
        <v>3888.8888888888887</v>
      </c>
      <c r="E23" s="51">
        <f ca="1">IF(COUNTIF($V$2:V1008,A23)=1,VLOOKUP(A23,P:Q,2), IF(COUNTIF($V$2:V1008,A23)=0,$C$9,""))</f>
        <v>83.96</v>
      </c>
      <c r="F23" s="2">
        <f t="shared" ca="1" si="5"/>
        <v>6491.646778042792</v>
      </c>
      <c r="G23" s="54">
        <f t="shared" ca="1" si="6"/>
        <v>-5249.2222222222226</v>
      </c>
      <c r="H23" s="51">
        <f ca="1">IF(COUNTIF($V$2:V1008,A23)=1,VLOOKUP(A23,R:S,2), IF(COUNTIF($V$2:V1008,A23)=0,$D$9,""))</f>
        <v>99.15625</v>
      </c>
      <c r="I23" s="2">
        <f t="shared" ca="1" si="7"/>
        <v>-812.5</v>
      </c>
      <c r="J23" s="54">
        <f t="shared" ca="1" si="8"/>
        <v>-63.440902777777865</v>
      </c>
      <c r="K23" s="52"/>
      <c r="L23" s="55">
        <f ca="1">IF(ISERROR(B23-2),"",C23+D23-F23-G23+I23+J23-SUM($K$14:K23))</f>
        <v>1259.9154302905331</v>
      </c>
      <c r="N23" s="4">
        <v>45951.625</v>
      </c>
      <c r="O23" s="5">
        <v>52.637</v>
      </c>
      <c r="P23" s="4">
        <v>45915.625</v>
      </c>
      <c r="Q23" s="5">
        <v>84.54</v>
      </c>
      <c r="R23" s="4">
        <v>46045.625</v>
      </c>
      <c r="S23" s="5">
        <v>99.09375</v>
      </c>
      <c r="T23" s="4" t="str">
        <f t="shared" si="1"/>
        <v/>
      </c>
      <c r="U23" s="4" t="str">
        <f t="shared" si="0"/>
        <v/>
      </c>
      <c r="V23" s="4">
        <v>46066.625</v>
      </c>
    </row>
    <row r="24" spans="1:22" ht="14.45" hidden="1" customHeight="1" x14ac:dyDescent="0.25">
      <c r="A24" s="50">
        <f t="shared" ca="1" si="2"/>
        <v>46052.625</v>
      </c>
      <c r="B24" s="51">
        <f ca="1">IF(COUNTIF($V$2:V1009,A24)=1,VLOOKUP(A24,N:O,2), IF(COUNTIF($V$2:V1009,A24)=0,$B$9,""))</f>
        <v>49.435000000000002</v>
      </c>
      <c r="C24" s="2">
        <f t="shared" ca="1" si="3"/>
        <v>-1527.2650000000042</v>
      </c>
      <c r="D24" s="54">
        <f t="shared" ca="1" si="4"/>
        <v>4166.6666666666661</v>
      </c>
      <c r="E24" s="51">
        <f ca="1">IF(COUNTIF($V$2:V1009,A24)=1,VLOOKUP(A24,P:Q,2), IF(COUNTIF($V$2:V1009,A24)=0,$C$9,""))</f>
        <v>83.95</v>
      </c>
      <c r="F24" s="2">
        <f t="shared" ca="1" si="5"/>
        <v>6085.9188544158724</v>
      </c>
      <c r="G24" s="54">
        <f t="shared" ca="1" si="6"/>
        <v>-5624.166666666667</v>
      </c>
      <c r="H24" s="51">
        <f ca="1">IF(COUNTIF($V$2:V1009,A24)=1,VLOOKUP(A24,R:S,2), IF(COUNTIF($V$2:V1009,A24)=0,$D$9,""))</f>
        <v>99.125</v>
      </c>
      <c r="I24" s="2">
        <f t="shared" ca="1" si="7"/>
        <v>-1625</v>
      </c>
      <c r="J24" s="54">
        <f t="shared" ca="1" si="8"/>
        <v>-67.972395833332484</v>
      </c>
      <c r="K24" s="52"/>
      <c r="L24" s="55">
        <f ca="1">IF(ISERROR(B24-2),"",C24+D24-F24-G24+I24+J24-SUM($K$14:K24))</f>
        <v>484.67708308412421</v>
      </c>
      <c r="N24" s="4">
        <v>45952.625</v>
      </c>
      <c r="O24" s="5">
        <v>53.167999999999999</v>
      </c>
      <c r="P24" s="4">
        <v>45916.625</v>
      </c>
      <c r="Q24" s="5">
        <v>84.53</v>
      </c>
      <c r="R24" s="4">
        <v>46048.625</v>
      </c>
      <c r="S24" s="5">
        <v>99.1875</v>
      </c>
      <c r="T24" s="4" t="str">
        <f t="shared" si="1"/>
        <v/>
      </c>
      <c r="U24" s="4" t="str">
        <f t="shared" si="0"/>
        <v/>
      </c>
      <c r="V24" s="4">
        <v>46070.625</v>
      </c>
    </row>
    <row r="25" spans="1:22" ht="14.45" hidden="1" customHeight="1" x14ac:dyDescent="0.25">
      <c r="A25" s="50">
        <f t="shared" ca="1" si="2"/>
        <v>46055.625</v>
      </c>
      <c r="B25" s="51">
        <f ca="1">IF(COUNTIF($V$2:V1010,A25)=1,VLOOKUP(A25,N:O,2), IF(COUNTIF($V$2:V1010,A25)=0,$B$9,""))</f>
        <v>48.841000000000001</v>
      </c>
      <c r="C25" s="2">
        <f t="shared" ca="1" si="3"/>
        <v>1180.7810000000018</v>
      </c>
      <c r="D25" s="54">
        <f t="shared" ca="1" si="4"/>
        <v>5000</v>
      </c>
      <c r="E25" s="51">
        <f ca="1">IF(COUNTIF($V$2:V1010,A25)=1,VLOOKUP(A25,P:Q,2), IF(COUNTIF($V$2:V1010,A25)=0,$C$9,""))</f>
        <v>83.52</v>
      </c>
      <c r="F25" s="2">
        <f t="shared" ca="1" si="5"/>
        <v>-11360.381861575264</v>
      </c>
      <c r="G25" s="54">
        <f t="shared" ca="1" si="6"/>
        <v>-6749.0000000000009</v>
      </c>
      <c r="H25" s="51">
        <f ca="1">IF(COUNTIF($V$2:V1010,A25)=1,VLOOKUP(A25,R:S,2), IF(COUNTIF($V$2:V1010,A25)=0,$D$9,""))</f>
        <v>98.96875</v>
      </c>
      <c r="I25" s="2">
        <f t="shared" ca="1" si="7"/>
        <v>-5687.5000000000009</v>
      </c>
      <c r="J25" s="54">
        <f t="shared" ca="1" si="8"/>
        <v>-81.566875000001346</v>
      </c>
      <c r="K25" s="52">
        <f>G6*G7</f>
        <v>13389.021479713607</v>
      </c>
      <c r="L25" s="55">
        <f ca="1">IF(ISERROR(B25-2),"",C25+D25-F25-G25+I25+J25-SUM($K$14:K25))</f>
        <v>5132.0745068616598</v>
      </c>
      <c r="N25" s="4">
        <v>45953.625</v>
      </c>
      <c r="O25" s="5">
        <v>52.180999999999997</v>
      </c>
      <c r="P25" s="4">
        <v>45917.625</v>
      </c>
      <c r="Q25" s="5">
        <v>84.37</v>
      </c>
      <c r="R25" s="4">
        <v>46049.625</v>
      </c>
      <c r="S25" s="5">
        <v>99.109375</v>
      </c>
      <c r="T25" s="4" t="str">
        <f t="shared" si="1"/>
        <v/>
      </c>
      <c r="U25" s="4" t="str">
        <f t="shared" si="0"/>
        <v/>
      </c>
      <c r="V25" s="4">
        <v>46071.625</v>
      </c>
    </row>
    <row r="26" spans="1:22" ht="14.45" hidden="1" customHeight="1" x14ac:dyDescent="0.25">
      <c r="A26" s="50">
        <f t="shared" ca="1" si="2"/>
        <v>46056.625</v>
      </c>
      <c r="B26" s="51">
        <f ca="1">IF(COUNTIF($V$2:V1011,A26)=1,VLOOKUP(A26,N:O,2), IF(COUNTIF($V$2:V1011,A26)=0,$B$9,""))</f>
        <v>49.676000000000002</v>
      </c>
      <c r="C26" s="2">
        <f t="shared" ca="1" si="3"/>
        <v>-2625.9840000000027</v>
      </c>
      <c r="D26" s="54">
        <f t="shared" ca="1" si="4"/>
        <v>5277.7777777777774</v>
      </c>
      <c r="E26" s="51">
        <f ca="1">IF(COUNTIF($V$2:V1011,A26)=1,VLOOKUP(A26,P:Q,2), IF(COUNTIF($V$2:V1011,A26)=0,$C$9,""))</f>
        <v>83.54</v>
      </c>
      <c r="F26" s="2">
        <f t="shared" ca="1" si="5"/>
        <v>-10548.926014319537</v>
      </c>
      <c r="G26" s="54">
        <f t="shared" ca="1" si="6"/>
        <v>-7123.9444444444453</v>
      </c>
      <c r="H26" s="51">
        <f ca="1">IF(COUNTIF($V$2:V1011,A26)=1,VLOOKUP(A26,R:S,2), IF(COUNTIF($V$2:V1011,A26)=0,$D$9,""))</f>
        <v>99.03125</v>
      </c>
      <c r="I26" s="2">
        <f t="shared" ca="1" si="7"/>
        <v>-4062.5</v>
      </c>
      <c r="J26" s="54">
        <f t="shared" ca="1" si="8"/>
        <v>-86.098368055556421</v>
      </c>
      <c r="K26" s="52"/>
      <c r="L26" s="55">
        <f ca="1">IF(ISERROR(B26-2),"",C26+D26-F26-G26+I26+J26-SUM($K$14:K26))</f>
        <v>2787.0443887725942</v>
      </c>
      <c r="N26" s="4">
        <v>45954.625</v>
      </c>
      <c r="O26" s="5">
        <v>51.527000000000001</v>
      </c>
      <c r="P26" s="4">
        <v>45918.625</v>
      </c>
      <c r="Q26" s="5">
        <v>84.295000000000002</v>
      </c>
      <c r="R26" s="4">
        <v>46050.625</v>
      </c>
      <c r="S26" s="5">
        <v>99.046875</v>
      </c>
      <c r="T26" s="4" t="str">
        <f t="shared" si="1"/>
        <v/>
      </c>
      <c r="U26" s="4" t="str">
        <f t="shared" si="0"/>
        <v/>
      </c>
      <c r="V26" s="4">
        <v>46072.625</v>
      </c>
    </row>
    <row r="27" spans="1:22" ht="14.45" hidden="1" customHeight="1" x14ac:dyDescent="0.25">
      <c r="A27" s="50">
        <f t="shared" ca="1" si="2"/>
        <v>46057.625</v>
      </c>
      <c r="B27" s="51">
        <f ca="1">IF(COUNTIF($V$2:V1012,A27)=1,VLOOKUP(A27,N:O,2), IF(COUNTIF($V$2:V1012,A27)=0,$B$9,""))</f>
        <v>50.027999999999999</v>
      </c>
      <c r="C27" s="2">
        <f t="shared" ca="1" si="3"/>
        <v>-4230.7519999999877</v>
      </c>
      <c r="D27" s="54">
        <f t="shared" ca="1" si="4"/>
        <v>5555.5555555555547</v>
      </c>
      <c r="E27" s="51">
        <f ca="1">IF(COUNTIF($V$2:V1012,A27)=1,VLOOKUP(A27,P:Q,2), IF(COUNTIF($V$2:V1012,A27)=0,$C$9,""))</f>
        <v>83.51</v>
      </c>
      <c r="F27" s="2">
        <f t="shared" ca="1" si="5"/>
        <v>-11766.109785202561</v>
      </c>
      <c r="G27" s="54">
        <f t="shared" ca="1" si="6"/>
        <v>-7498.8888888888878</v>
      </c>
      <c r="H27" s="51">
        <f ca="1">IF(COUNTIF($V$2:V1012,A27)=1,VLOOKUP(A27,R:S,2), IF(COUNTIF($V$2:V1012,A27)=0,$D$9,""))</f>
        <v>99</v>
      </c>
      <c r="I27" s="2">
        <f t="shared" ca="1" si="7"/>
        <v>-4875</v>
      </c>
      <c r="J27" s="54">
        <f t="shared" ca="1" si="8"/>
        <v>-90.629861111109676</v>
      </c>
      <c r="K27" s="52"/>
      <c r="L27" s="55">
        <f ca="1">IF(ISERROR(B27-2),"",C27+D27-F27-G27+I27+J27-SUM($K$14:K27))</f>
        <v>2235.1508888222997</v>
      </c>
      <c r="N27" s="4">
        <v>45957.625</v>
      </c>
      <c r="O27" s="5">
        <v>50.18</v>
      </c>
      <c r="P27" s="4">
        <v>45919.625</v>
      </c>
      <c r="Q27" s="5">
        <v>84.29</v>
      </c>
      <c r="R27" s="4">
        <v>46051.625</v>
      </c>
      <c r="S27" s="5">
        <v>99.15625</v>
      </c>
      <c r="T27" s="4" t="str">
        <f t="shared" si="1"/>
        <v/>
      </c>
      <c r="U27" s="4" t="str">
        <f t="shared" si="0"/>
        <v/>
      </c>
      <c r="V27" s="4">
        <v>46073.625</v>
      </c>
    </row>
    <row r="28" spans="1:22" ht="14.45" hidden="1" customHeight="1" x14ac:dyDescent="0.25">
      <c r="A28" s="50">
        <f t="shared" ca="1" si="2"/>
        <v>46058.625</v>
      </c>
      <c r="B28" s="51">
        <f ca="1">IF(COUNTIF($V$2:V1013,A28)=1,VLOOKUP(A28,N:O,2), IF(COUNTIF($V$2:V1013,A28)=0,$B$9,""))</f>
        <v>51.73</v>
      </c>
      <c r="C28" s="2">
        <f t="shared" ca="1" si="3"/>
        <v>-11990.16999999998</v>
      </c>
      <c r="D28" s="54">
        <f t="shared" ca="1" si="4"/>
        <v>5833.3333333333339</v>
      </c>
      <c r="E28" s="51">
        <f ca="1">IF(COUNTIF($V$2:V1013,A28)=1,VLOOKUP(A28,P:Q,2), IF(COUNTIF($V$2:V1013,A28)=0,$C$9,""))</f>
        <v>83.84</v>
      </c>
      <c r="F28" s="2">
        <f t="shared" ca="1" si="5"/>
        <v>1622.911694510698</v>
      </c>
      <c r="G28" s="54">
        <f t="shared" ca="1" si="6"/>
        <v>-7873.833333333333</v>
      </c>
      <c r="H28" s="51">
        <f ca="1">IF(COUNTIF($V$2:V1013,A28)=1,VLOOKUP(A28,R:S,2), IF(COUNTIF($V$2:V1013,A28)=0,$D$9,""))</f>
        <v>99.546875</v>
      </c>
      <c r="I28" s="2">
        <f t="shared" ca="1" si="7"/>
        <v>9343.75</v>
      </c>
      <c r="J28" s="54">
        <f t="shared" ca="1" si="8"/>
        <v>-95.16135416666657</v>
      </c>
      <c r="K28" s="52"/>
      <c r="L28" s="55">
        <f ca="1">IF(ISERROR(B28-2),"",C28+D28-F28-G28+I28+J28-SUM($K$14:K28))</f>
        <v>-4046.3478617242836</v>
      </c>
      <c r="N28" s="4">
        <v>45958.625</v>
      </c>
      <c r="O28" s="5">
        <v>50.65</v>
      </c>
      <c r="P28" s="4">
        <v>45922.625</v>
      </c>
      <c r="Q28" s="5">
        <v>84.154300000000006</v>
      </c>
      <c r="R28" s="4">
        <v>46052.625</v>
      </c>
      <c r="S28" s="5">
        <v>99.125</v>
      </c>
      <c r="T28" s="4" t="str">
        <f t="shared" si="1"/>
        <v/>
      </c>
      <c r="U28" s="4" t="str">
        <f t="shared" si="0"/>
        <v/>
      </c>
      <c r="V28" s="4">
        <v>46076.625</v>
      </c>
    </row>
    <row r="29" spans="1:22" ht="14.45" hidden="1" customHeight="1" x14ac:dyDescent="0.25">
      <c r="A29" s="50">
        <f t="shared" ca="1" si="2"/>
        <v>46059.625</v>
      </c>
      <c r="B29" s="51">
        <f ca="1">IF(COUNTIF($V$2:V1014,A29)=1,VLOOKUP(A29,N:O,2), IF(COUNTIF($V$2:V1014,A29)=0,$B$9,""))</f>
        <v>50.292999999999999</v>
      </c>
      <c r="C29" s="2">
        <f t="shared" ca="1" si="3"/>
        <v>-5438.8869999999915</v>
      </c>
      <c r="D29" s="54">
        <f t="shared" ca="1" si="4"/>
        <v>6111.1111111111113</v>
      </c>
      <c r="E29" s="51">
        <f ca="1">IF(COUNTIF($V$2:V1014,A29)=1,VLOOKUP(A29,P:Q,2), IF(COUNTIF($V$2:V1014,A29)=0,$C$9,""))</f>
        <v>83.87</v>
      </c>
      <c r="F29" s="2">
        <f t="shared" ca="1" si="5"/>
        <v>2840.0954653937215</v>
      </c>
      <c r="G29" s="54">
        <f t="shared" ca="1" si="6"/>
        <v>-8248.7777777777774</v>
      </c>
      <c r="H29" s="51">
        <f ca="1">IF(COUNTIF($V$2:V1014,A29)=1,VLOOKUP(A29,R:S,2), IF(COUNTIF($V$2:V1014,A29)=0,$D$9,""))</f>
        <v>99.46875</v>
      </c>
      <c r="I29" s="2">
        <f t="shared" ca="1" si="7"/>
        <v>7312.5</v>
      </c>
      <c r="J29" s="54">
        <f t="shared" ca="1" si="8"/>
        <v>-99.692847222221644</v>
      </c>
      <c r="K29" s="52"/>
      <c r="L29" s="55">
        <f ca="1">IF(ISERROR(B29-2),"",C29+D29-F29-G29+I29+J29-SUM($K$14:K29))</f>
        <v>-95.307903440650989</v>
      </c>
      <c r="N29" s="4">
        <v>45959.625</v>
      </c>
      <c r="O29" s="5">
        <v>51.055</v>
      </c>
      <c r="P29" s="4">
        <v>45923.625</v>
      </c>
      <c r="Q29" s="5">
        <v>84.29</v>
      </c>
      <c r="R29" s="4">
        <v>46055.625</v>
      </c>
      <c r="S29" s="5">
        <v>98.96875</v>
      </c>
      <c r="T29" s="4" t="str">
        <f t="shared" si="1"/>
        <v/>
      </c>
      <c r="U29" s="4" t="str">
        <f t="shared" si="0"/>
        <v/>
      </c>
      <c r="V29" s="4">
        <v>46077.625</v>
      </c>
    </row>
    <row r="30" spans="1:22" ht="14.45" hidden="1" customHeight="1" x14ac:dyDescent="0.25">
      <c r="A30" s="50">
        <f t="shared" ca="1" si="2"/>
        <v>46062.625</v>
      </c>
      <c r="B30" s="51">
        <f ca="1">IF(COUNTIF($V$2:V1015,A30)=1,VLOOKUP(A30,N:O,2), IF(COUNTIF($V$2:V1015,A30)=0,$B$9,""))</f>
        <v>49.923999999999999</v>
      </c>
      <c r="C30" s="2">
        <f t="shared" ca="1" si="3"/>
        <v>-3756.6159999999913</v>
      </c>
      <c r="D30" s="54">
        <f t="shared" ca="1" si="4"/>
        <v>6944.4444444444453</v>
      </c>
      <c r="E30" s="51">
        <f ca="1">IF(COUNTIF($V$2:V1015,A30)=1,VLOOKUP(A30,P:Q,2), IF(COUNTIF($V$2:V1015,A30)=0,$C$9,""))</f>
        <v>83.9</v>
      </c>
      <c r="F30" s="2">
        <f t="shared" ca="1" si="5"/>
        <v>4057.2792362774999</v>
      </c>
      <c r="G30" s="54">
        <f t="shared" ca="1" si="6"/>
        <v>-9373.6111111111113</v>
      </c>
      <c r="H30" s="51">
        <f ca="1">IF(COUNTIF($V$2:V1015,A30)=1,VLOOKUP(A30,R:S,2), IF(COUNTIF($V$2:V1015,A30)=0,$D$9,""))</f>
        <v>99.5</v>
      </c>
      <c r="I30" s="2">
        <f t="shared" ca="1" si="7"/>
        <v>8125</v>
      </c>
      <c r="J30" s="54">
        <f t="shared" ca="1" si="8"/>
        <v>-113.28732638889051</v>
      </c>
      <c r="K30" s="52"/>
      <c r="L30" s="55">
        <f ca="1">IF(ISERROR(B30-2),"",C30+D30-F30-G30+I30+J30-SUM($K$14:K30))</f>
        <v>3126.8515131755703</v>
      </c>
      <c r="N30" s="4">
        <v>45960.625</v>
      </c>
      <c r="O30" s="5">
        <v>52.241999999999997</v>
      </c>
      <c r="P30" s="4">
        <v>45924.625</v>
      </c>
      <c r="Q30" s="5">
        <v>84.05</v>
      </c>
      <c r="R30" s="4">
        <v>46056.625</v>
      </c>
      <c r="S30" s="5">
        <v>99.03125</v>
      </c>
      <c r="T30" s="4" t="str">
        <f t="shared" si="1"/>
        <v/>
      </c>
      <c r="U30" s="4" t="str">
        <f t="shared" si="0"/>
        <v/>
      </c>
      <c r="V30" s="4">
        <v>46078.625</v>
      </c>
    </row>
    <row r="31" spans="1:22" ht="14.45" hidden="1" customHeight="1" x14ac:dyDescent="0.25">
      <c r="A31" s="50">
        <f t="shared" ca="1" si="2"/>
        <v>46063.625</v>
      </c>
      <c r="B31" s="51">
        <f ca="1">IF(COUNTIF($V$2:V1016,A31)=1,VLOOKUP(A31,N:O,2), IF(COUNTIF($V$2:V1016,A31)=0,$B$9,""))</f>
        <v>50.57</v>
      </c>
      <c r="C31" s="2">
        <f t="shared" ca="1" si="3"/>
        <v>-6701.729999999995</v>
      </c>
      <c r="D31" s="54">
        <f t="shared" ca="1" si="4"/>
        <v>7222.2222222222217</v>
      </c>
      <c r="E31" s="51">
        <f ca="1">IF(COUNTIF($V$2:V1016,A31)=1,VLOOKUP(A31,P:Q,2), IF(COUNTIF($V$2:V1016,A31)=0,$C$9,""))</f>
        <v>84.03</v>
      </c>
      <c r="F31" s="2">
        <f t="shared" ca="1" si="5"/>
        <v>9331.7422434372693</v>
      </c>
      <c r="G31" s="54">
        <f t="shared" ca="1" si="6"/>
        <v>-9748.5555555555547</v>
      </c>
      <c r="H31" s="51">
        <f ca="1">IF(COUNTIF($V$2:V1016,A31)=1,VLOOKUP(A31,R:S,2), IF(COUNTIF($V$2:V1016,A31)=0,$D$9,""))</f>
        <v>99.828125</v>
      </c>
      <c r="I31" s="2">
        <f t="shared" ca="1" si="7"/>
        <v>16656.25</v>
      </c>
      <c r="J31" s="54">
        <f t="shared" ca="1" si="8"/>
        <v>-117.81881944444467</v>
      </c>
      <c r="K31" s="52"/>
      <c r="L31" s="55">
        <f ca="1">IF(ISERROR(B31-2),"",C31+D31-F31-G31+I31+J31-SUM($K$14:K31))</f>
        <v>4086.7152351824625</v>
      </c>
      <c r="N31" s="4">
        <v>45961.625</v>
      </c>
      <c r="O31" s="5">
        <v>52.654000000000003</v>
      </c>
      <c r="P31" s="4">
        <v>45925.625</v>
      </c>
      <c r="Q31" s="5">
        <v>83.87</v>
      </c>
      <c r="R31" s="4">
        <v>46057.625</v>
      </c>
      <c r="S31" s="5">
        <v>99</v>
      </c>
      <c r="T31" s="4" t="str">
        <f t="shared" si="1"/>
        <v/>
      </c>
      <c r="U31" s="4" t="str">
        <f t="shared" si="0"/>
        <v/>
      </c>
      <c r="V31" s="4">
        <v>46079.625</v>
      </c>
    </row>
    <row r="32" spans="1:22" ht="14.45" hidden="1" customHeight="1" x14ac:dyDescent="0.25">
      <c r="A32" s="50">
        <f t="shared" ca="1" si="2"/>
        <v>46064.625</v>
      </c>
      <c r="B32" s="51">
        <f ca="1">IF(COUNTIF($V$2:V1017,A32)=1,VLOOKUP(A32,N:O,2), IF(COUNTIF($V$2:V1017,A32)=0,$B$9,""))</f>
        <v>50.381999999999998</v>
      </c>
      <c r="C32" s="2">
        <f t="shared" ca="1" si="3"/>
        <v>-5844.6379999999845</v>
      </c>
      <c r="D32" s="54">
        <f t="shared" ca="1" si="4"/>
        <v>7500</v>
      </c>
      <c r="E32" s="51">
        <f ca="1">IF(COUNTIF($V$2:V1017,A32)=1,VLOOKUP(A32,P:Q,2), IF(COUNTIF($V$2:V1017,A32)=0,$C$9,""))</f>
        <v>83.96</v>
      </c>
      <c r="F32" s="2">
        <f t="shared" ca="1" si="5"/>
        <v>6491.646778042792</v>
      </c>
      <c r="G32" s="54">
        <f t="shared" ca="1" si="6"/>
        <v>-10123.499999999998</v>
      </c>
      <c r="H32" s="51">
        <f ca="1">IF(COUNTIF($V$2:V1017,A32)=1,VLOOKUP(A32,R:S,2), IF(COUNTIF($V$2:V1017,A32)=0,$D$9,""))</f>
        <v>99.578125</v>
      </c>
      <c r="I32" s="2">
        <f t="shared" ca="1" si="7"/>
        <v>10156.25</v>
      </c>
      <c r="J32" s="54">
        <f t="shared" ca="1" si="8"/>
        <v>-122.35031249999884</v>
      </c>
      <c r="K32" s="52"/>
      <c r="L32" s="55">
        <f ca="1">IF(ISERROR(B32-2),"",C32+D32-F32-G32+I32+J32-SUM($K$14:K32))</f>
        <v>1932.0934297436161</v>
      </c>
      <c r="N32" s="4">
        <v>45964.625</v>
      </c>
      <c r="O32" s="5">
        <v>53.234000000000002</v>
      </c>
      <c r="P32" s="4">
        <v>45926.625</v>
      </c>
      <c r="Q32" s="5">
        <v>83.93</v>
      </c>
      <c r="R32" s="4">
        <v>46058.625</v>
      </c>
      <c r="S32" s="5">
        <v>99.546875</v>
      </c>
      <c r="T32" s="4" t="str">
        <f t="shared" si="1"/>
        <v/>
      </c>
      <c r="U32" s="4" t="str">
        <f t="shared" si="0"/>
        <v/>
      </c>
      <c r="V32" s="4">
        <v>46080.625</v>
      </c>
    </row>
    <row r="33" spans="1:21" ht="14.45" hidden="1" customHeight="1" x14ac:dyDescent="0.25">
      <c r="A33" s="50">
        <f t="shared" ca="1" si="2"/>
        <v>46065.625</v>
      </c>
      <c r="B33" s="51">
        <f ca="1">IF(COUNTIF($V$2:V1018,A33)=1,VLOOKUP(A33,N:O,2), IF(COUNTIF($V$2:V1018,A33)=0,$B$9,""))</f>
        <v>51.848999999999997</v>
      </c>
      <c r="C33" s="2">
        <f t="shared" ca="1" si="3"/>
        <v>-12532.690999999979</v>
      </c>
      <c r="D33" s="54">
        <f t="shared" ca="1" si="4"/>
        <v>7777.7777777777774</v>
      </c>
      <c r="E33" s="51">
        <f ca="1">IF(COUNTIF($V$2:V1018,A33)=1,VLOOKUP(A33,P:Q,2), IF(COUNTIF($V$2:V1018,A33)=0,$C$9,""))</f>
        <v>84.22</v>
      </c>
      <c r="F33" s="2">
        <f t="shared" ca="1" si="5"/>
        <v>17040.572792363084</v>
      </c>
      <c r="G33" s="54">
        <f t="shared" ca="1" si="6"/>
        <v>-10498.444444444445</v>
      </c>
      <c r="H33" s="51">
        <f ca="1">IF(COUNTIF($V$2:V1018,A33)=1,VLOOKUP(A33,R:S,2), IF(COUNTIF($V$2:V1018,A33)=0,$D$9,""))</f>
        <v>100.09375</v>
      </c>
      <c r="I33" s="2">
        <f t="shared" ca="1" si="7"/>
        <v>23562.5</v>
      </c>
      <c r="J33" s="54">
        <f t="shared" ca="1" si="8"/>
        <v>-126.88180555555573</v>
      </c>
      <c r="K33" s="52"/>
      <c r="L33" s="55">
        <f ca="1">IF(ISERROR(B33-2),"",C33+D33-F33-G33+I33+J33-SUM($K$14:K33))</f>
        <v>-1250.4448554100054</v>
      </c>
      <c r="N33" s="4">
        <v>45965.625</v>
      </c>
      <c r="O33" s="5">
        <v>53.936</v>
      </c>
      <c r="P33" s="4">
        <v>45929.625</v>
      </c>
      <c r="Q33" s="5">
        <v>84.11</v>
      </c>
      <c r="R33" s="4">
        <v>46059.625</v>
      </c>
      <c r="S33" s="5">
        <v>99.46875</v>
      </c>
      <c r="T33" s="4" t="str">
        <f t="shared" si="1"/>
        <v/>
      </c>
      <c r="U33" s="4" t="str">
        <f t="shared" si="0"/>
        <v/>
      </c>
    </row>
    <row r="34" spans="1:21" ht="14.45" hidden="1" customHeight="1" x14ac:dyDescent="0.25">
      <c r="A34" s="50">
        <f t="shared" ca="1" si="2"/>
        <v>46066.625</v>
      </c>
      <c r="B34" s="51">
        <f ca="1">IF(COUNTIF($V$2:V1019,A34)=1,VLOOKUP(A34,N:O,2), IF(COUNTIF($V$2:V1019,A34)=0,$B$9,""))</f>
        <v>52.088000000000001</v>
      </c>
      <c r="C34" s="2">
        <f t="shared" ca="1" si="3"/>
        <v>-13622.291999999998</v>
      </c>
      <c r="D34" s="54">
        <f t="shared" ca="1" si="4"/>
        <v>8055.5555555555566</v>
      </c>
      <c r="E34" s="51">
        <f ca="1">IF(COUNTIF($V$2:V1019,A34)=1,VLOOKUP(A34,P:Q,2), IF(COUNTIF($V$2:V1019,A34)=0,$C$9,""))</f>
        <v>84.49</v>
      </c>
      <c r="F34" s="2">
        <f t="shared" ca="1" si="5"/>
        <v>27995.226730310296</v>
      </c>
      <c r="G34" s="54">
        <f t="shared" ca="1" si="6"/>
        <v>-10873.388888888889</v>
      </c>
      <c r="H34" s="51">
        <f ca="1">IF(COUNTIF($V$2:V1019,A34)=1,VLOOKUP(A34,R:S,2), IF(COUNTIF($V$2:V1019,A34)=0,$D$9,""))</f>
        <v>100.40625</v>
      </c>
      <c r="I34" s="2">
        <f t="shared" ca="1" si="7"/>
        <v>31687.5</v>
      </c>
      <c r="J34" s="54">
        <f t="shared" ca="1" si="8"/>
        <v>-131.41329861111171</v>
      </c>
      <c r="K34" s="52"/>
      <c r="L34" s="55">
        <f ca="1">IF(ISERROR(B34-2),"",C34+D34-F34-G34+I34+J34-SUM($K$14:K34))</f>
        <v>-4521.5090641905663</v>
      </c>
      <c r="N34" s="4">
        <v>45966.625</v>
      </c>
      <c r="O34" s="5">
        <v>52.872</v>
      </c>
      <c r="P34" s="4">
        <v>45930.625</v>
      </c>
      <c r="Q34" s="5">
        <v>84.11</v>
      </c>
      <c r="R34" s="4">
        <v>46062.625</v>
      </c>
      <c r="S34" s="5">
        <v>99.5</v>
      </c>
      <c r="T34" s="4" t="str">
        <f t="shared" si="1"/>
        <v/>
      </c>
      <c r="U34" s="4" t="str">
        <f t="shared" si="0"/>
        <v/>
      </c>
    </row>
    <row r="35" spans="1:21" ht="14.45" hidden="1" customHeight="1" x14ac:dyDescent="0.25">
      <c r="A35" s="50">
        <f t="shared" ca="1" si="2"/>
        <v>46070.625</v>
      </c>
      <c r="B35" s="51">
        <f ca="1">IF(COUNTIF($V$2:V1020,A35)=1,VLOOKUP(A35,N:O,2), IF(COUNTIF($V$2:V1020,A35)=0,$B$9,""))</f>
        <v>52.552999999999997</v>
      </c>
      <c r="C35" s="2">
        <f t="shared" ca="1" si="3"/>
        <v>-15742.226999999983</v>
      </c>
      <c r="D35" s="54">
        <f t="shared" ca="1" si="4"/>
        <v>9166.6666666666661</v>
      </c>
      <c r="E35" s="51">
        <f ca="1">IF(COUNTIF($V$2:V1020,A35)=1,VLOOKUP(A35,P:Q,2), IF(COUNTIF($V$2:V1020,A35)=0,$C$9,""))</f>
        <v>84.53</v>
      </c>
      <c r="F35" s="2">
        <f t="shared" ca="1" si="5"/>
        <v>29618.138424820994</v>
      </c>
      <c r="G35" s="54">
        <f t="shared" ca="1" si="6"/>
        <v>-12373.166666666666</v>
      </c>
      <c r="H35" s="51">
        <f ca="1">IF(COUNTIF($V$2:V1020,A35)=1,VLOOKUP(A35,R:S,2), IF(COUNTIF($V$2:V1020,A35)=0,$D$9,""))</f>
        <v>100.359375</v>
      </c>
      <c r="I35" s="2">
        <f t="shared" ca="1" si="7"/>
        <v>30468.75</v>
      </c>
      <c r="J35" s="54">
        <f t="shared" ca="1" si="8"/>
        <v>-149.53927083333292</v>
      </c>
      <c r="K35" s="52"/>
      <c r="L35" s="55">
        <f ca="1">IF(ISERROR(B35-2),"",C35+D35-F35-G35+I35+J35-SUM($K$14:K35))</f>
        <v>-6890.3428420345826</v>
      </c>
      <c r="N35" s="4">
        <v>45967.625</v>
      </c>
      <c r="O35" s="5">
        <v>53.744999999999997</v>
      </c>
      <c r="P35" s="4">
        <v>45931.625</v>
      </c>
      <c r="Q35" s="5">
        <v>84.07</v>
      </c>
      <c r="R35" s="4">
        <v>46063.625</v>
      </c>
      <c r="S35" s="5">
        <v>99.828125</v>
      </c>
      <c r="T35" s="4" t="str">
        <f t="shared" si="1"/>
        <v/>
      </c>
      <c r="U35" s="4" t="str">
        <f t="shared" si="0"/>
        <v/>
      </c>
    </row>
    <row r="36" spans="1:21" ht="14.45" hidden="1" customHeight="1" x14ac:dyDescent="0.25">
      <c r="A36" s="50">
        <f t="shared" ca="1" si="2"/>
        <v>46071.625</v>
      </c>
      <c r="B36" s="51">
        <f ca="1">IF(COUNTIF($V$2:V1021,A36)=1,VLOOKUP(A36,N:O,2), IF(COUNTIF($V$2:V1021,A36)=0,$B$9,""))</f>
        <v>51.68</v>
      </c>
      <c r="C36" s="2">
        <f t="shared" ca="1" si="3"/>
        <v>-11762.219999999992</v>
      </c>
      <c r="D36" s="54">
        <f t="shared" ca="1" si="4"/>
        <v>9444.4444444444434</v>
      </c>
      <c r="E36" s="51">
        <f ca="1">IF(COUNTIF($V$2:V1021,A36)=1,VLOOKUP(A36,P:Q,2), IF(COUNTIF($V$2:V1021,A36)=0,$C$9,""))</f>
        <v>84.46</v>
      </c>
      <c r="F36" s="2">
        <f t="shared" ca="1" si="5"/>
        <v>26778.042959427272</v>
      </c>
      <c r="G36" s="54">
        <f t="shared" ca="1" si="6"/>
        <v>-12748.111111111109</v>
      </c>
      <c r="H36" s="51">
        <f ca="1">IF(COUNTIF($V$2:V1021,A36)=1,VLOOKUP(A36,R:S,2), IF(COUNTIF($V$2:V1021,A36)=0,$D$9,""))</f>
        <v>100.15625</v>
      </c>
      <c r="I36" s="2">
        <f t="shared" ca="1" si="7"/>
        <v>25187.5</v>
      </c>
      <c r="J36" s="54">
        <f t="shared" ca="1" si="8"/>
        <v>-154.07076388888891</v>
      </c>
      <c r="K36" s="52"/>
      <c r="L36" s="55">
        <f ca="1">IF(ISERROR(B36-2),"",C36+D36-F36-G36+I36+J36-SUM($K$14:K36))</f>
        <v>-4703.2996474742067</v>
      </c>
      <c r="N36" s="4">
        <v>45968.625</v>
      </c>
      <c r="O36" s="5">
        <v>53.613999999999997</v>
      </c>
      <c r="P36" s="4">
        <v>45932.625</v>
      </c>
      <c r="Q36" s="5">
        <v>84.16</v>
      </c>
      <c r="R36" s="4">
        <v>46064.625</v>
      </c>
      <c r="S36" s="5">
        <v>99.578125</v>
      </c>
      <c r="T36" s="4" t="str">
        <f t="shared" si="1"/>
        <v/>
      </c>
      <c r="U36" s="4" t="str">
        <f t="shared" si="0"/>
        <v/>
      </c>
    </row>
    <row r="37" spans="1:21" hidden="1" x14ac:dyDescent="0.25">
      <c r="A37" s="50">
        <f t="shared" ca="1" si="2"/>
        <v>46072.625</v>
      </c>
      <c r="B37" s="51">
        <f ca="1">IF(COUNTIF($V$2:V1022,A37)=1,VLOOKUP(A37,N:O,2), IF(COUNTIF($V$2:V1022,A37)=0,$B$9,""))</f>
        <v>51.887999999999998</v>
      </c>
      <c r="C37" s="2">
        <f t="shared" ca="1" si="3"/>
        <v>-12710.491999999986</v>
      </c>
      <c r="D37" s="54">
        <f t="shared" ca="1" si="4"/>
        <v>9722.2222222222226</v>
      </c>
      <c r="E37" s="51">
        <f ca="1">IF(COUNTIF($V$2:V1022,A37)=1,VLOOKUP(A37,P:Q,2), IF(COUNTIF($V$2:V1022,A37)=0,$C$9,""))</f>
        <v>84.52</v>
      </c>
      <c r="F37" s="2">
        <f t="shared" ca="1" si="5"/>
        <v>29212.410501193321</v>
      </c>
      <c r="G37" s="54">
        <f t="shared" ca="1" si="6"/>
        <v>-13123.055555555557</v>
      </c>
      <c r="H37" s="51">
        <f ca="1">IF(COUNTIF($V$2:V1022,A37)=1,VLOOKUP(A37,R:S,2), IF(COUNTIF($V$2:V1022,A37)=0,$D$9,""))</f>
        <v>100.21875</v>
      </c>
      <c r="I37" s="2">
        <f t="shared" ca="1" si="7"/>
        <v>26812.5</v>
      </c>
      <c r="J37" s="54">
        <f t="shared" ca="1" si="8"/>
        <v>-158.60225694444307</v>
      </c>
      <c r="K37" s="52"/>
      <c r="L37" s="55">
        <f ca="1">IF(ISERROR(B37-2),"",C37+D37-F37-G37+I37+J37-SUM($K$14:K37))</f>
        <v>-5812.7484600735806</v>
      </c>
      <c r="N37" s="4">
        <v>45971.625</v>
      </c>
      <c r="O37" s="5">
        <v>51.887</v>
      </c>
      <c r="P37" s="4">
        <v>45933.625</v>
      </c>
      <c r="Q37" s="5">
        <v>84.06</v>
      </c>
      <c r="R37" s="4">
        <v>46065.625</v>
      </c>
      <c r="S37" s="5">
        <v>100.09375</v>
      </c>
      <c r="T37" s="4" t="str">
        <f t="shared" si="1"/>
        <v/>
      </c>
      <c r="U37" s="4" t="str">
        <f t="shared" si="0"/>
        <v/>
      </c>
    </row>
    <row r="38" spans="1:21" hidden="1" x14ac:dyDescent="0.25">
      <c r="A38" s="50">
        <f t="shared" ca="1" si="2"/>
        <v>46073.625</v>
      </c>
      <c r="B38" s="51">
        <f ca="1">IF(COUNTIF($V$2:V1023,A38)=1,VLOOKUP(A38,N:O,2), IF(COUNTIF($V$2:V1023,A38)=0,$B$9,""))</f>
        <v>51.508000000000003</v>
      </c>
      <c r="C38" s="2">
        <f t="shared" ca="1" si="3"/>
        <v>-10978.072000000006</v>
      </c>
      <c r="D38" s="54">
        <f t="shared" ca="1" si="4"/>
        <v>10000</v>
      </c>
      <c r="E38" s="51">
        <f ca="1">IF(COUNTIF($V$2:V1023,A38)=1,VLOOKUP(A38,P:Q,2), IF(COUNTIF($V$2:V1023,A38)=0,$C$9,""))</f>
        <v>84.54</v>
      </c>
      <c r="F38" s="2">
        <f t="shared" ca="1" si="5"/>
        <v>30023.866348449425</v>
      </c>
      <c r="G38" s="54">
        <f t="shared" ca="1" si="6"/>
        <v>-13498.000000000002</v>
      </c>
      <c r="H38" s="51">
        <f ca="1">IF(COUNTIF($V$2:V1023,A38)=1,VLOOKUP(A38,R:S,2), IF(COUNTIF($V$2:V1023,A38)=0,$D$9,""))</f>
        <v>100.203125</v>
      </c>
      <c r="I38" s="2">
        <f t="shared" ca="1" si="7"/>
        <v>26406.25</v>
      </c>
      <c r="J38" s="54">
        <f t="shared" ca="1" si="8"/>
        <v>-163.13375000000269</v>
      </c>
      <c r="K38" s="52"/>
      <c r="L38" s="55">
        <f ca="1">IF(ISERROR(B38-2),"",C38+D38-F38-G38+I38+J38-SUM($K$14:K38))</f>
        <v>-4649.8435781630415</v>
      </c>
      <c r="N38" s="4">
        <v>45973.625</v>
      </c>
      <c r="O38" s="5">
        <v>52.323</v>
      </c>
      <c r="P38" s="4">
        <v>45936.625</v>
      </c>
      <c r="Q38" s="5">
        <v>83.89</v>
      </c>
      <c r="R38" s="4">
        <v>46066.625</v>
      </c>
      <c r="S38" s="5">
        <v>100.40625</v>
      </c>
      <c r="T38" s="4" t="str">
        <f t="shared" si="1"/>
        <v/>
      </c>
      <c r="U38" s="4" t="str">
        <f t="shared" si="0"/>
        <v/>
      </c>
    </row>
    <row r="39" spans="1:21" hidden="1" x14ac:dyDescent="0.25">
      <c r="A39" s="50">
        <f t="shared" ca="1" si="2"/>
        <v>46076.625</v>
      </c>
      <c r="B39" s="51">
        <f ca="1">IF(COUNTIF($V$2:V1024,A39)=1,VLOOKUP(A39,N:O,2), IF(COUNTIF($V$2:V1024,A39)=0,$B$9,""))</f>
        <v>52.526000000000003</v>
      </c>
      <c r="C39" s="2">
        <f t="shared" ca="1" si="3"/>
        <v>-15619.134000000009</v>
      </c>
      <c r="D39" s="54">
        <f t="shared" ca="1" si="4"/>
        <v>10833.333333333332</v>
      </c>
      <c r="E39" s="51">
        <f ca="1">IF(COUNTIF($V$2:V1024,A39)=1,VLOOKUP(A39,P:Q,2), IF(COUNTIF($V$2:V1024,A39)=0,$C$9,""))</f>
        <v>84.71</v>
      </c>
      <c r="F39" s="2">
        <f t="shared" ca="1" si="5"/>
        <v>36921.241050119133</v>
      </c>
      <c r="G39" s="54">
        <f t="shared" ca="1" si="6"/>
        <v>-14622.833333333334</v>
      </c>
      <c r="H39" s="51">
        <f ca="1">IF(COUNTIF($V$2:V1024,A39)=1,VLOOKUP(A39,R:S,2), IF(COUNTIF($V$2:V1024,A39)=0,$D$9,""))</f>
        <v>100.578125</v>
      </c>
      <c r="I39" s="2">
        <f t="shared" ca="1" si="7"/>
        <v>36156.25</v>
      </c>
      <c r="J39" s="54">
        <f t="shared" ca="1" si="8"/>
        <v>-176.72822916666883</v>
      </c>
      <c r="K39" s="52"/>
      <c r="L39" s="55">
        <f ca="1">IF(ISERROR(B39-2),"",C39+D39-F39-G39+I39+J39-SUM($K$14:K39))</f>
        <v>-4493.7080923327503</v>
      </c>
      <c r="N39" s="4">
        <v>45974.625</v>
      </c>
      <c r="O39" s="5">
        <v>53.618000000000002</v>
      </c>
      <c r="P39" s="4">
        <v>45937.625</v>
      </c>
      <c r="Q39" s="5">
        <v>84</v>
      </c>
      <c r="R39" s="4">
        <v>46069.625</v>
      </c>
      <c r="S39" s="5">
        <v>100.421875</v>
      </c>
      <c r="T39" s="4" t="str">
        <f t="shared" si="1"/>
        <v/>
      </c>
      <c r="U39" s="4" t="str">
        <f t="shared" si="0"/>
        <v/>
      </c>
    </row>
    <row r="40" spans="1:21" hidden="1" x14ac:dyDescent="0.25">
      <c r="A40" s="50">
        <f t="shared" ca="1" si="2"/>
        <v>46077.625</v>
      </c>
      <c r="B40" s="51">
        <f ca="1">IF(COUNTIF($V$2:V1025,A40)=1,VLOOKUP(A40,N:O,2), IF(COUNTIF($V$2:V1025,A40)=0,$B$9,""))</f>
        <v>52.838000000000001</v>
      </c>
      <c r="C40" s="2">
        <f t="shared" ca="1" si="3"/>
        <v>-17041.541999999998</v>
      </c>
      <c r="D40" s="54">
        <f t="shared" ca="1" si="4"/>
        <v>11111.111111111109</v>
      </c>
      <c r="E40" s="51">
        <f ca="1">IF(COUNTIF($V$2:V1025,A40)=1,VLOOKUP(A40,P:Q,2), IF(COUNTIF($V$2:V1025,A40)=0,$C$9,""))</f>
        <v>84.63</v>
      </c>
      <c r="F40" s="2">
        <f t="shared" ca="1" si="5"/>
        <v>33675.417661097737</v>
      </c>
      <c r="G40" s="54">
        <f t="shared" ca="1" si="6"/>
        <v>-14997.777777777776</v>
      </c>
      <c r="H40" s="51">
        <f ca="1">IF(COUNTIF($V$2:V1025,A40)=1,VLOOKUP(A40,R:S,2), IF(COUNTIF($V$2:V1025,A40)=0,$D$9,""))</f>
        <v>100.515625</v>
      </c>
      <c r="I40" s="2">
        <f t="shared" ca="1" si="7"/>
        <v>34531.25</v>
      </c>
      <c r="J40" s="54">
        <f t="shared" ca="1" si="8"/>
        <v>-181.25972222221935</v>
      </c>
      <c r="K40" s="52"/>
      <c r="L40" s="55">
        <f ca="1">IF(ISERROR(B40-2),"",C40+D40-F40-G40+I40+J40-SUM($K$14:K40))</f>
        <v>-3647.1019741446744</v>
      </c>
      <c r="N40" s="4">
        <v>45975.625</v>
      </c>
      <c r="O40" s="5">
        <v>53.448</v>
      </c>
      <c r="P40" s="4">
        <v>45938.625</v>
      </c>
      <c r="Q40" s="5">
        <v>83.91</v>
      </c>
      <c r="R40" s="4">
        <v>46070.625</v>
      </c>
      <c r="S40" s="5">
        <v>100.359375</v>
      </c>
      <c r="T40" s="4" t="str">
        <f t="shared" si="1"/>
        <v/>
      </c>
      <c r="U40" s="4" t="str">
        <f t="shared" si="0"/>
        <v/>
      </c>
    </row>
    <row r="41" spans="1:21" x14ac:dyDescent="0.25">
      <c r="A41" s="50">
        <f t="shared" ca="1" si="2"/>
        <v>46078.625</v>
      </c>
      <c r="B41" s="51">
        <f ca="1">IF(COUNTIF($V$2:V1026,A41)=1,VLOOKUP(A41,N:O,2), IF(COUNTIF($V$2:V1026,A41)=0,$B$9,""))</f>
        <v>52.494</v>
      </c>
      <c r="C41" s="2">
        <f t="shared" ca="1" si="3"/>
        <v>-15473.245999999994</v>
      </c>
      <c r="D41" s="54">
        <f t="shared" ca="1" si="4"/>
        <v>11388.888888888889</v>
      </c>
      <c r="E41" s="51">
        <f ca="1">IF(COUNTIF($V$2:V1026,A41)=1,VLOOKUP(A41,P:Q,2), IF(COUNTIF($V$2:V1026,A41)=0,$C$9,""))</f>
        <v>84.59</v>
      </c>
      <c r="F41" s="2">
        <f t="shared" ca="1" si="5"/>
        <v>32052.505966587043</v>
      </c>
      <c r="G41" s="54">
        <f t="shared" ca="1" si="6"/>
        <v>-15372.722222222223</v>
      </c>
      <c r="H41" s="51">
        <f ca="1">IF(COUNTIF($V$2:V1026,A41)=1,VLOOKUP(A41,R:S,2), IF(COUNTIF($V$2:V1026,A41)=0,$D$9,""))</f>
        <v>100.40625</v>
      </c>
      <c r="I41" s="2">
        <f t="shared" ca="1" si="7"/>
        <v>31687.5</v>
      </c>
      <c r="J41" s="54">
        <f t="shared" ca="1" si="8"/>
        <v>-185.79121527777716</v>
      </c>
      <c r="K41" s="52"/>
      <c r="L41" s="55">
        <f ca="1">IF(ISERROR(B41-2),"",C41+D41-F41-G41+I41+J41-SUM($K$14:K41))</f>
        <v>-2651.4535504673058</v>
      </c>
      <c r="N41" s="4">
        <v>45978.625</v>
      </c>
      <c r="O41" s="5">
        <v>54.393999999999998</v>
      </c>
      <c r="P41" s="4">
        <v>45939.625</v>
      </c>
      <c r="Q41" s="5">
        <v>83.78</v>
      </c>
      <c r="R41" s="4">
        <v>46071.625</v>
      </c>
      <c r="S41" s="5">
        <v>100.15625</v>
      </c>
      <c r="T41" s="4" t="str">
        <f t="shared" si="1"/>
        <v/>
      </c>
      <c r="U41" s="4" t="str">
        <f t="shared" si="0"/>
        <v/>
      </c>
    </row>
    <row r="42" spans="1:21" x14ac:dyDescent="0.25">
      <c r="A42" s="50">
        <f t="shared" ca="1" si="2"/>
        <v>46079.625</v>
      </c>
      <c r="B42" s="51">
        <f ca="1">IF(COUNTIF($V$2:V1027,A42)=1,VLOOKUP(A42,N:O,2), IF(COUNTIF($V$2:V1027,A42)=0,$B$9,""))</f>
        <v>53.575000000000003</v>
      </c>
      <c r="C42" s="2">
        <f t="shared" ca="1" si="3"/>
        <v>-20401.525000000005</v>
      </c>
      <c r="D42" s="54">
        <f t="shared" ca="1" si="4"/>
        <v>11666.666666666668</v>
      </c>
      <c r="E42" s="51">
        <f ca="1">IF(COUNTIF($V$2:V1027,A42)=1,VLOOKUP(A42,P:Q,2), IF(COUNTIF($V$2:V1027,A42)=0,$C$9,""))</f>
        <v>84.68</v>
      </c>
      <c r="F42" s="2">
        <f t="shared" ca="1" si="5"/>
        <v>35704.057279236869</v>
      </c>
      <c r="G42" s="54">
        <f t="shared" ca="1" si="6"/>
        <v>-15747.666666666666</v>
      </c>
      <c r="H42" s="51">
        <f ca="1">IF(COUNTIF($V$2:V1027,A42)=1,VLOOKUP(A42,R:S,2), IF(COUNTIF($V$2:V1027,A42)=0,$D$9,""))</f>
        <v>100.65625</v>
      </c>
      <c r="I42" s="2">
        <f t="shared" ca="1" si="7"/>
        <v>38187.5</v>
      </c>
      <c r="J42" s="54">
        <f t="shared" ca="1" si="8"/>
        <v>-190.32270833333314</v>
      </c>
      <c r="K42" s="52"/>
      <c r="L42" s="55">
        <f ca="1">IF(ISERROR(B42-2),"",C42+D42-F42-G42+I42+J42-SUM($K$14:K42))</f>
        <v>-4083.0931339504823</v>
      </c>
      <c r="N42" s="4">
        <v>45979.625</v>
      </c>
      <c r="O42" s="5">
        <v>55.21</v>
      </c>
      <c r="P42" s="4">
        <v>45940.625</v>
      </c>
      <c r="Q42" s="5">
        <v>83.94</v>
      </c>
      <c r="R42" s="4">
        <v>46072.625</v>
      </c>
      <c r="S42" s="5">
        <v>100.21875</v>
      </c>
      <c r="T42" s="4" t="str">
        <f t="shared" si="1"/>
        <v/>
      </c>
      <c r="U42" s="4" t="str">
        <f t="shared" si="0"/>
        <v/>
      </c>
    </row>
    <row r="43" spans="1:21" x14ac:dyDescent="0.25">
      <c r="A43" s="50">
        <f t="shared" ca="1" si="2"/>
        <v>46080.625</v>
      </c>
      <c r="B43" s="51">
        <f ca="1">IF(COUNTIF($V$2:V1028,A43)=1,VLOOKUP(A43,N:O,2), IF(COUNTIF($V$2:V1028,A43)=0,$B$9,""))</f>
        <v>55.817999999999998</v>
      </c>
      <c r="C43" s="2">
        <f t="shared" ca="1" si="3"/>
        <v>-30627.361999999983</v>
      </c>
      <c r="D43" s="54">
        <f t="shared" ca="1" si="4"/>
        <v>11944.444444444445</v>
      </c>
      <c r="E43" s="51">
        <f ca="1">IF(COUNTIF($V$2:V1028,A43)=1,VLOOKUP(A43,P:Q,2), IF(COUNTIF($V$2:V1028,A43)=0,$C$9,""))</f>
        <v>84.72</v>
      </c>
      <c r="F43" s="2">
        <f t="shared" ca="1" si="5"/>
        <v>37326.968973746807</v>
      </c>
      <c r="G43" s="54">
        <f t="shared" ca="1" si="6"/>
        <v>-16122.611111111111</v>
      </c>
      <c r="H43" s="51">
        <f ca="1">IF(COUNTIF($V$2:V1028,A43)=1,VLOOKUP(A43,R:S,2), IF(COUNTIF($V$2:V1028,A43)=0,$D$9,""))</f>
        <v>101</v>
      </c>
      <c r="I43" s="2">
        <f t="shared" ca="1" si="7"/>
        <v>47125</v>
      </c>
      <c r="J43" s="54">
        <f t="shared" ca="1" si="8"/>
        <v>-194.8542013888873</v>
      </c>
      <c r="K43" s="52"/>
      <c r="L43" s="55">
        <f ca="1">IF(ISERROR(B43-2),"",C43+D43-F43-G43+I43+J43-SUM($K$14:K43))</f>
        <v>-6346.1510992937256</v>
      </c>
      <c r="N43" s="4">
        <v>45980.625</v>
      </c>
      <c r="O43" s="5">
        <v>54.734999999999999</v>
      </c>
      <c r="P43" s="4">
        <v>45943.625</v>
      </c>
      <c r="Q43" s="5">
        <v>84.18</v>
      </c>
      <c r="R43" s="4">
        <v>46073.625</v>
      </c>
      <c r="S43" s="5">
        <v>100.203125</v>
      </c>
      <c r="T43" s="4" t="str">
        <f t="shared" si="1"/>
        <v/>
      </c>
      <c r="U43" s="4" t="str">
        <f t="shared" si="0"/>
        <v/>
      </c>
    </row>
    <row r="44" spans="1:21" x14ac:dyDescent="0.25">
      <c r="A44" s="50">
        <f t="shared" ca="1" si="2"/>
        <v>46080.828635763886</v>
      </c>
      <c r="B44" s="51">
        <f ca="1">IF(COUNTIF($V$2:V1029,A44)=1,VLOOKUP(A44,N:O,2), IF(COUNTIF($V$2:V1029,A44)=0,$B$9,""))</f>
        <v>55.950740000000003</v>
      </c>
      <c r="C44" s="2">
        <f t="shared" ca="1" si="3"/>
        <v>-31232.52366000001</v>
      </c>
      <c r="D44" s="54">
        <f t="shared" ca="1" si="4"/>
        <v>11944.444444444445</v>
      </c>
      <c r="E44" s="51">
        <f ca="1">IF(COUNTIF($V$2:V1029,A44)=1,VLOOKUP(A44,P:Q,2), IF(COUNTIF($V$2:V1029,A44)=0,$C$9,""))</f>
        <v>84.72</v>
      </c>
      <c r="F44" s="2">
        <f t="shared" ca="1" si="5"/>
        <v>37326.968973746807</v>
      </c>
      <c r="G44" s="54">
        <f t="shared" ca="1" si="6"/>
        <v>-16122.611111111111</v>
      </c>
      <c r="H44" s="51">
        <f ca="1">IF(COUNTIF($V$2:V1029,A44)=1,VLOOKUP(A44,R:S,2), IF(COUNTIF($V$2:V1029,A44)=0,$D$9,""))</f>
        <v>101.140625</v>
      </c>
      <c r="I44" s="2">
        <f t="shared" ca="1" si="7"/>
        <v>50781.25</v>
      </c>
      <c r="J44" s="54">
        <f t="shared" ca="1" si="8"/>
        <v>-194.8542013888873</v>
      </c>
      <c r="K44" s="52"/>
      <c r="L44" s="55">
        <f ca="1">IF(ISERROR(B44-2),"",C44+D44-F44-G44+I44+J44-SUM($K$14:K44))</f>
        <v>-3295.0627592937526</v>
      </c>
      <c r="N44" s="4">
        <v>45981.625</v>
      </c>
      <c r="O44" s="5">
        <v>55.808999999999997</v>
      </c>
      <c r="P44" s="4">
        <v>45944.625</v>
      </c>
      <c r="Q44" s="5">
        <v>84.33</v>
      </c>
      <c r="R44" s="4">
        <v>46076.625</v>
      </c>
      <c r="S44" s="5">
        <v>100.578125</v>
      </c>
      <c r="T44" s="4" t="str">
        <f t="shared" si="1"/>
        <v/>
      </c>
      <c r="U44" s="4" t="str">
        <f t="shared" si="0"/>
        <v/>
      </c>
    </row>
    <row r="45" spans="1:21" x14ac:dyDescent="0.25">
      <c r="A45" s="50" t="str">
        <f t="shared" ca="1" si="2"/>
        <v/>
      </c>
      <c r="B45" s="51" t="str">
        <f ca="1">IF(COUNTIF($V$2:V1030,A45)=1,VLOOKUP(A45,N:O,2), IF(COUNTIF($V$2:V1030,A45)=0,$B$9,""))</f>
        <v/>
      </c>
      <c r="C45" s="2" t="str">
        <f t="shared" ca="1" si="3"/>
        <v/>
      </c>
      <c r="D45" s="54" t="str">
        <f t="shared" ca="1" si="4"/>
        <v/>
      </c>
      <c r="E45" s="51" t="str">
        <f ca="1">IF(COUNTIF($V$2:V1030,A45)=1,VLOOKUP(A45,P:Q,2), IF(COUNTIF($V$2:V1030,A45)=0,$C$9,""))</f>
        <v/>
      </c>
      <c r="F45" s="2" t="str">
        <f t="shared" ca="1" si="5"/>
        <v/>
      </c>
      <c r="G45" s="54" t="str">
        <f t="shared" ca="1" si="6"/>
        <v/>
      </c>
      <c r="H45" s="51" t="str">
        <f ca="1">IF(COUNTIF($V$2:V1030,A45)=1,VLOOKUP(A45,R:S,2), IF(COUNTIF($V$2:V1030,A45)=0,$D$9,""))</f>
        <v/>
      </c>
      <c r="I45" s="2" t="str">
        <f t="shared" ca="1" si="7"/>
        <v/>
      </c>
      <c r="J45" s="54" t="str">
        <f t="shared" ca="1" si="8"/>
        <v/>
      </c>
      <c r="K45" s="52"/>
      <c r="L45" s="55" t="str">
        <f ca="1">IF(ISERROR(B45-2),"",C45+D45-F45-G45+I45+J45-SUM($K$14:K45))</f>
        <v/>
      </c>
      <c r="N45" s="4">
        <v>45982.625</v>
      </c>
      <c r="O45" s="5">
        <v>54.811</v>
      </c>
      <c r="P45" s="4">
        <v>45945.625</v>
      </c>
      <c r="Q45" s="5">
        <v>84.38</v>
      </c>
      <c r="R45" s="4">
        <v>46077.625</v>
      </c>
      <c r="S45" s="5">
        <v>100.515625</v>
      </c>
      <c r="T45" s="4" t="str">
        <f t="shared" si="1"/>
        <v/>
      </c>
      <c r="U45" s="4" t="str">
        <f t="shared" si="0"/>
        <v/>
      </c>
    </row>
    <row r="46" spans="1:21" x14ac:dyDescent="0.25">
      <c r="A46" s="50" t="str">
        <f t="shared" ca="1" si="2"/>
        <v/>
      </c>
      <c r="B46" s="51" t="str">
        <f ca="1">IF(COUNTIF($V$2:V1031,A46)=1,VLOOKUP(A46,N:O,2), IF(COUNTIF($V$2:V1031,A46)=0,$B$9,""))</f>
        <v/>
      </c>
      <c r="C46" s="2" t="str">
        <f t="shared" ca="1" si="3"/>
        <v/>
      </c>
      <c r="D46" s="54" t="str">
        <f t="shared" ca="1" si="4"/>
        <v/>
      </c>
      <c r="E46" s="51" t="str">
        <f ca="1">IF(COUNTIF($V$2:V1031,A46)=1,VLOOKUP(A46,P:Q,2), IF(COUNTIF($V$2:V1031,A46)=0,$C$9,""))</f>
        <v/>
      </c>
      <c r="F46" s="2" t="str">
        <f t="shared" ca="1" si="5"/>
        <v/>
      </c>
      <c r="G46" s="54" t="str">
        <f t="shared" ca="1" si="6"/>
        <v/>
      </c>
      <c r="H46" s="51" t="str">
        <f ca="1">IF(COUNTIF($V$2:V1031,A46)=1,VLOOKUP(A46,R:S,2), IF(COUNTIF($V$2:V1031,A46)=0,$D$9,""))</f>
        <v/>
      </c>
      <c r="I46" s="2" t="str">
        <f t="shared" ca="1" si="7"/>
        <v/>
      </c>
      <c r="J46" s="54" t="str">
        <f t="shared" ca="1" si="8"/>
        <v/>
      </c>
      <c r="K46" s="52"/>
      <c r="L46" s="55" t="str">
        <f ca="1">IF(ISERROR(B46-2),"",C46+D46-F46-G46+I46+J46-SUM($K$14:K46))</f>
        <v/>
      </c>
      <c r="N46" s="4">
        <v>45985.625</v>
      </c>
      <c r="O46" s="5">
        <v>53.137999999999998</v>
      </c>
      <c r="P46" s="4">
        <v>45946.625</v>
      </c>
      <c r="Q46" s="5">
        <v>84.594999999999999</v>
      </c>
      <c r="R46" s="4">
        <v>46078.625</v>
      </c>
      <c r="S46" s="5">
        <v>100.40625</v>
      </c>
      <c r="T46" s="4" t="str">
        <f t="shared" si="1"/>
        <v/>
      </c>
      <c r="U46" s="4" t="str">
        <f t="shared" si="0"/>
        <v/>
      </c>
    </row>
    <row r="47" spans="1:21" x14ac:dyDescent="0.25">
      <c r="A47" s="50" t="str">
        <f t="shared" ca="1" si="2"/>
        <v/>
      </c>
      <c r="B47" s="51" t="str">
        <f ca="1">IF(COUNTIF($V$2:V1032,A47)=1,VLOOKUP(A47,N:O,2), IF(COUNTIF($V$2:V1032,A47)=0,$B$9,""))</f>
        <v/>
      </c>
      <c r="C47" s="2" t="str">
        <f t="shared" ca="1" si="3"/>
        <v/>
      </c>
      <c r="D47" s="54" t="str">
        <f t="shared" ca="1" si="4"/>
        <v/>
      </c>
      <c r="E47" s="51" t="str">
        <f ca="1">IF(COUNTIF($V$2:V1032,A47)=1,VLOOKUP(A47,P:Q,2), IF(COUNTIF($V$2:V1032,A47)=0,$C$9,""))</f>
        <v/>
      </c>
      <c r="F47" s="2" t="str">
        <f t="shared" ca="1" si="5"/>
        <v/>
      </c>
      <c r="G47" s="54" t="str">
        <f t="shared" ca="1" si="6"/>
        <v/>
      </c>
      <c r="H47" s="51" t="str">
        <f ca="1">IF(COUNTIF($V$2:V1032,A47)=1,VLOOKUP(A47,R:S,2), IF(COUNTIF($V$2:V1032,A47)=0,$D$9,""))</f>
        <v/>
      </c>
      <c r="I47" s="2" t="str">
        <f t="shared" ca="1" si="7"/>
        <v/>
      </c>
      <c r="J47" s="54" t="str">
        <f t="shared" ca="1" si="8"/>
        <v/>
      </c>
      <c r="K47" s="52"/>
      <c r="L47" s="55" t="str">
        <f ca="1">IF(ISERROR(B47-2),"",C47+D47-F47-G47+I47+J47-SUM($K$14:K47))</f>
        <v/>
      </c>
      <c r="N47" s="4">
        <v>45986.625</v>
      </c>
      <c r="O47" s="5">
        <v>52.378999999999998</v>
      </c>
      <c r="P47" s="4">
        <v>45947.625</v>
      </c>
      <c r="Q47" s="5">
        <v>84.47</v>
      </c>
      <c r="R47" s="4">
        <v>46079.625</v>
      </c>
      <c r="S47" s="5">
        <v>100.65625</v>
      </c>
      <c r="T47" s="4" t="str">
        <f t="shared" si="1"/>
        <v/>
      </c>
      <c r="U47" s="4" t="str">
        <f t="shared" si="0"/>
        <v/>
      </c>
    </row>
    <row r="48" spans="1:21" x14ac:dyDescent="0.25">
      <c r="A48" s="50" t="str">
        <f t="shared" ca="1" si="2"/>
        <v/>
      </c>
      <c r="B48" s="51" t="str">
        <f ca="1">IF(COUNTIF($V$2:V1033,A48)=1,VLOOKUP(A48,N:O,2), IF(COUNTIF($V$2:V1033,A48)=0,$B$9,""))</f>
        <v/>
      </c>
      <c r="C48" s="2" t="str">
        <f t="shared" ca="1" si="3"/>
        <v/>
      </c>
      <c r="D48" s="54" t="str">
        <f t="shared" ca="1" si="4"/>
        <v/>
      </c>
      <c r="E48" s="51" t="str">
        <f ca="1">IF(COUNTIF($V$2:V1033,A48)=1,VLOOKUP(A48,P:Q,2), IF(COUNTIF($V$2:V1033,A48)=0,$C$9,""))</f>
        <v/>
      </c>
      <c r="F48" s="2" t="str">
        <f t="shared" ca="1" si="5"/>
        <v/>
      </c>
      <c r="G48" s="54" t="str">
        <f t="shared" ca="1" si="6"/>
        <v/>
      </c>
      <c r="H48" s="51" t="str">
        <f ca="1">IF(COUNTIF($V$2:V1033,A48)=1,VLOOKUP(A48,R:S,2), IF(COUNTIF($V$2:V1033,A48)=0,$D$9,""))</f>
        <v/>
      </c>
      <c r="I48" s="2" t="str">
        <f t="shared" ca="1" si="7"/>
        <v/>
      </c>
      <c r="J48" s="54" t="str">
        <f t="shared" ca="1" si="8"/>
        <v/>
      </c>
      <c r="K48" s="52"/>
      <c r="L48" s="55" t="str">
        <f ca="1">IF(ISERROR(B48-2),"",C48+D48-F48-G48+I48+J48-SUM($K$14:K48))</f>
        <v/>
      </c>
      <c r="N48" s="4">
        <v>45987.625</v>
      </c>
      <c r="O48" s="5">
        <v>51.655999999999999</v>
      </c>
      <c r="P48" s="4">
        <v>45950.625</v>
      </c>
      <c r="Q48" s="5">
        <v>84.6</v>
      </c>
      <c r="R48" s="4">
        <v>46080.625</v>
      </c>
      <c r="S48" s="5">
        <v>101</v>
      </c>
      <c r="T48" s="4" t="str">
        <f t="shared" si="1"/>
        <v/>
      </c>
      <c r="U48" s="4" t="str">
        <f t="shared" si="0"/>
        <v/>
      </c>
    </row>
    <row r="49" spans="1:34" x14ac:dyDescent="0.25">
      <c r="A49" s="50" t="str">
        <f t="shared" ca="1" si="2"/>
        <v/>
      </c>
      <c r="B49" s="51" t="str">
        <f ca="1">IF(COUNTIF($V$2:V1034,A49)=1,VLOOKUP(A49,N:O,2), IF(COUNTIF($V$2:V1034,A49)=0,$B$9,""))</f>
        <v/>
      </c>
      <c r="C49" s="2" t="str">
        <f t="shared" ca="1" si="3"/>
        <v/>
      </c>
      <c r="D49" s="54" t="str">
        <f t="shared" ca="1" si="4"/>
        <v/>
      </c>
      <c r="E49" s="51" t="str">
        <f ca="1">IF(COUNTIF($V$2:V1034,A49)=1,VLOOKUP(A49,P:Q,2), IF(COUNTIF($V$2:V1034,A49)=0,$C$9,""))</f>
        <v/>
      </c>
      <c r="F49" s="2" t="str">
        <f t="shared" ca="1" si="5"/>
        <v/>
      </c>
      <c r="G49" s="54" t="str">
        <f t="shared" ca="1" si="6"/>
        <v/>
      </c>
      <c r="H49" s="51" t="str">
        <f ca="1">IF(COUNTIF($V$2:V1034,A49)=1,VLOOKUP(A49,R:S,2), IF(COUNTIF($V$2:V1034,A49)=0,$D$9,""))</f>
        <v/>
      </c>
      <c r="I49" s="2" t="str">
        <f t="shared" ca="1" si="7"/>
        <v/>
      </c>
      <c r="J49" s="54" t="str">
        <f t="shared" ca="1" si="8"/>
        <v/>
      </c>
      <c r="K49" s="52"/>
      <c r="L49" s="55" t="str">
        <f ca="1">IF(ISERROR(B49-2),"",C49+D49-F49-G49+I49+J49-SUM($K$14:K49))</f>
        <v/>
      </c>
      <c r="N49" s="4">
        <v>45992.625</v>
      </c>
      <c r="O49" s="5">
        <v>51.323999999999998</v>
      </c>
      <c r="P49" s="4">
        <v>45951.625</v>
      </c>
      <c r="Q49" s="5">
        <v>84.65</v>
      </c>
      <c r="T49" s="4" t="str">
        <f t="shared" si="1"/>
        <v/>
      </c>
      <c r="U49" s="4" t="str">
        <f t="shared" si="0"/>
        <v/>
      </c>
    </row>
    <row r="50" spans="1:34" x14ac:dyDescent="0.25">
      <c r="A50" s="50" t="str">
        <f t="shared" ca="1" si="2"/>
        <v/>
      </c>
      <c r="B50" s="51" t="str">
        <f ca="1">IF(COUNTIF($V$2:V1035,A50)=1,VLOOKUP(A50,N:O,2), IF(COUNTIF($V$2:V1035,A50)=0,$B$9,""))</f>
        <v/>
      </c>
      <c r="C50" s="2" t="str">
        <f t="shared" ca="1" si="3"/>
        <v/>
      </c>
      <c r="D50" s="54" t="str">
        <f t="shared" ca="1" si="4"/>
        <v/>
      </c>
      <c r="E50" s="51" t="str">
        <f ca="1">IF(COUNTIF($V$2:V1035,A50)=1,VLOOKUP(A50,P:Q,2), IF(COUNTIF($V$2:V1035,A50)=0,$C$9,""))</f>
        <v/>
      </c>
      <c r="F50" s="2" t="str">
        <f t="shared" ca="1" si="5"/>
        <v/>
      </c>
      <c r="G50" s="54" t="str">
        <f t="shared" ca="1" si="6"/>
        <v/>
      </c>
      <c r="H50" s="51" t="str">
        <f ca="1">IF(COUNTIF($V$2:V1035,A50)=1,VLOOKUP(A50,R:S,2), IF(COUNTIF($V$2:V1035,A50)=0,$D$9,""))</f>
        <v/>
      </c>
      <c r="I50" s="2" t="str">
        <f t="shared" ca="1" si="7"/>
        <v/>
      </c>
      <c r="J50" s="54" t="str">
        <f t="shared" ca="1" si="8"/>
        <v/>
      </c>
      <c r="K50" s="52"/>
      <c r="L50" s="55" t="str">
        <f ca="1">IF(ISERROR(B50-2),"",C50+D50-F50-G50+I50+J50-SUM($K$14:K50))</f>
        <v/>
      </c>
      <c r="N50" s="4">
        <v>45993.625</v>
      </c>
      <c r="O50" s="5">
        <v>51.029000000000003</v>
      </c>
      <c r="P50" s="4">
        <v>45952.625</v>
      </c>
      <c r="Q50" s="5">
        <v>84.67</v>
      </c>
      <c r="T50" s="4" t="str">
        <f t="shared" si="1"/>
        <v/>
      </c>
      <c r="U50" s="4" t="str">
        <f t="shared" si="0"/>
        <v/>
      </c>
    </row>
    <row r="51" spans="1:34" x14ac:dyDescent="0.25">
      <c r="A51" s="50" t="str">
        <f t="shared" ca="1" si="2"/>
        <v/>
      </c>
      <c r="B51" s="51" t="str">
        <f ca="1">IF(COUNTIF($V$2:V1036,A51)=1,VLOOKUP(A51,N:O,2), IF(COUNTIF($V$2:V1036,A51)=0,$B$9,""))</f>
        <v/>
      </c>
      <c r="C51" s="2" t="str">
        <f t="shared" ca="1" si="3"/>
        <v/>
      </c>
      <c r="D51" s="54" t="str">
        <f t="shared" ca="1" si="4"/>
        <v/>
      </c>
      <c r="E51" s="51" t="str">
        <f ca="1">IF(COUNTIF($V$2:V1036,A51)=1,VLOOKUP(A51,P:Q,2), IF(COUNTIF($V$2:V1036,A51)=0,$C$9,""))</f>
        <v/>
      </c>
      <c r="F51" s="2" t="str">
        <f t="shared" ca="1" si="5"/>
        <v/>
      </c>
      <c r="G51" s="54" t="str">
        <f t="shared" ca="1" si="6"/>
        <v/>
      </c>
      <c r="H51" s="51" t="str">
        <f ca="1">IF(COUNTIF($V$2:V1036,A51)=1,VLOOKUP(A51,R:S,2), IF(COUNTIF($V$2:V1036,A51)=0,$D$9,""))</f>
        <v/>
      </c>
      <c r="I51" s="2" t="str">
        <f t="shared" ca="1" si="7"/>
        <v/>
      </c>
      <c r="J51" s="54" t="str">
        <f t="shared" ca="1" si="8"/>
        <v/>
      </c>
      <c r="K51" s="52"/>
      <c r="L51" s="55" t="str">
        <f ca="1">IF(ISERROR(B51-2),"",C51+D51-F51-G51+I51+J51-SUM($K$14:K51))</f>
        <v/>
      </c>
      <c r="N51" s="4">
        <v>45994.625</v>
      </c>
      <c r="O51" s="5">
        <v>51.06</v>
      </c>
      <c r="P51" s="4">
        <v>45953.625</v>
      </c>
      <c r="Q51" s="5">
        <v>84.594999999999999</v>
      </c>
      <c r="T51" s="4" t="str">
        <f t="shared" si="1"/>
        <v/>
      </c>
      <c r="U51" s="4" t="str">
        <f t="shared" si="0"/>
        <v/>
      </c>
    </row>
    <row r="52" spans="1:34" x14ac:dyDescent="0.25">
      <c r="A52" s="50" t="str">
        <f t="shared" ca="1" si="2"/>
        <v/>
      </c>
      <c r="B52" s="51" t="str">
        <f ca="1">IF(COUNTIF($V$2:V1037,A52)=1,VLOOKUP(A52,N:O,2), IF(COUNTIF($V$2:V1037,A52)=0,$B$9,""))</f>
        <v/>
      </c>
      <c r="C52" s="2" t="str">
        <f t="shared" ca="1" si="3"/>
        <v/>
      </c>
      <c r="D52" s="54" t="str">
        <f t="shared" ca="1" si="4"/>
        <v/>
      </c>
      <c r="E52" s="51" t="str">
        <f ca="1">IF(COUNTIF($V$2:V1037,A52)=1,VLOOKUP(A52,P:Q,2), IF(COUNTIF($V$2:V1037,A52)=0,$C$9,""))</f>
        <v/>
      </c>
      <c r="F52" s="2" t="str">
        <f t="shared" ca="1" si="5"/>
        <v/>
      </c>
      <c r="G52" s="54" t="str">
        <f t="shared" ca="1" si="6"/>
        <v/>
      </c>
      <c r="H52" s="51" t="str">
        <f ca="1">IF(COUNTIF($V$2:V1037,A52)=1,VLOOKUP(A52,R:S,2), IF(COUNTIF($V$2:V1037,A52)=0,$D$9,""))</f>
        <v/>
      </c>
      <c r="I52" s="2" t="str">
        <f t="shared" ca="1" si="7"/>
        <v/>
      </c>
      <c r="J52" s="54" t="str">
        <f t="shared" ca="1" si="8"/>
        <v/>
      </c>
      <c r="K52" s="52"/>
      <c r="L52" s="55" t="str">
        <f ca="1">IF(ISERROR(B52-2),"",C52+D52-F52-G52+I52+J52-SUM($K$14:K52))</f>
        <v/>
      </c>
      <c r="N52" s="4">
        <v>45995.625</v>
      </c>
      <c r="O52" s="5">
        <v>50.872</v>
      </c>
      <c r="P52" s="4">
        <v>45954.625</v>
      </c>
      <c r="Q52" s="5">
        <v>84.76</v>
      </c>
      <c r="T52" s="4" t="str">
        <f t="shared" si="1"/>
        <v/>
      </c>
      <c r="U52" s="4" t="str">
        <f t="shared" si="0"/>
        <v/>
      </c>
    </row>
    <row r="53" spans="1:34" x14ac:dyDescent="0.25">
      <c r="A53" s="50" t="str">
        <f t="shared" ca="1" si="2"/>
        <v/>
      </c>
      <c r="B53" s="51" t="str">
        <f ca="1">IF(COUNTIF($V$2:V1038,A53)=1,VLOOKUP(A53,N:O,2), IF(COUNTIF($V$2:V1038,A53)=0,$B$9,""))</f>
        <v/>
      </c>
      <c r="C53" s="2" t="str">
        <f t="shared" ca="1" si="3"/>
        <v/>
      </c>
      <c r="D53" s="54" t="str">
        <f t="shared" ca="1" si="4"/>
        <v/>
      </c>
      <c r="E53" s="51" t="str">
        <f ca="1">IF(COUNTIF($V$2:V1038,A53)=1,VLOOKUP(A53,P:Q,2), IF(COUNTIF($V$2:V1038,A53)=0,$C$9,""))</f>
        <v/>
      </c>
      <c r="F53" s="2" t="str">
        <f t="shared" ca="1" si="5"/>
        <v/>
      </c>
      <c r="G53" s="54" t="str">
        <f t="shared" ca="1" si="6"/>
        <v/>
      </c>
      <c r="H53" s="51" t="str">
        <f ca="1">IF(COUNTIF($V$2:V1038,A53)=1,VLOOKUP(A53,R:S,2), IF(COUNTIF($V$2:V1038,A53)=0,$D$9,""))</f>
        <v/>
      </c>
      <c r="I53" s="2" t="str">
        <f t="shared" ca="1" si="7"/>
        <v/>
      </c>
      <c r="J53" s="54" t="str">
        <f t="shared" ca="1" si="8"/>
        <v/>
      </c>
      <c r="K53" s="52"/>
      <c r="L53" s="55" t="str">
        <f ca="1">IF(ISERROR(B53-2),"",C53+D53-F53-G53+I53+J53-SUM($K$14:K53))</f>
        <v/>
      </c>
      <c r="N53" s="4">
        <v>45996.625</v>
      </c>
      <c r="O53" s="5">
        <v>50.491</v>
      </c>
      <c r="P53" s="4">
        <v>45957.625</v>
      </c>
      <c r="Q53" s="5">
        <v>84.82</v>
      </c>
      <c r="T53" s="4" t="str">
        <f t="shared" si="1"/>
        <v/>
      </c>
      <c r="U53" s="4" t="str">
        <f t="shared" si="0"/>
        <v/>
      </c>
    </row>
    <row r="54" spans="1:34" x14ac:dyDescent="0.25">
      <c r="A54" s="50" t="str">
        <f t="shared" ca="1" si="2"/>
        <v/>
      </c>
      <c r="B54" s="51" t="str">
        <f ca="1">IF(COUNTIF($V$2:V1039,A54)=1,VLOOKUP(A54,N:O,2), IF(COUNTIF($V$2:V1039,A54)=0,$B$9,""))</f>
        <v/>
      </c>
      <c r="C54" s="2" t="str">
        <f t="shared" ca="1" si="3"/>
        <v/>
      </c>
      <c r="D54" s="54" t="str">
        <f t="shared" ca="1" si="4"/>
        <v/>
      </c>
      <c r="E54" s="51" t="str">
        <f ca="1">IF(COUNTIF($V$2:V1039,A54)=1,VLOOKUP(A54,P:Q,2), IF(COUNTIF($V$2:V1039,A54)=0,$C$9,""))</f>
        <v/>
      </c>
      <c r="F54" s="2" t="str">
        <f t="shared" ca="1" si="5"/>
        <v/>
      </c>
      <c r="G54" s="54" t="str">
        <f t="shared" ca="1" si="6"/>
        <v/>
      </c>
      <c r="H54" s="51" t="str">
        <f ca="1">IF(COUNTIF($V$2:V1039,A54)=1,VLOOKUP(A54,R:S,2), IF(COUNTIF($V$2:V1039,A54)=0,$D$9,""))</f>
        <v/>
      </c>
      <c r="I54" s="2" t="str">
        <f t="shared" ca="1" si="7"/>
        <v/>
      </c>
      <c r="J54" s="54" t="str">
        <f t="shared" ca="1" si="8"/>
        <v/>
      </c>
      <c r="K54" s="52"/>
      <c r="L54" s="55" t="str">
        <f ca="1">IF(ISERROR(B54-2),"",C54+D54-F54-G54+I54+J54-SUM($K$14:K54))</f>
        <v/>
      </c>
      <c r="N54" s="4">
        <v>45999.625</v>
      </c>
      <c r="O54" s="5">
        <v>50.97</v>
      </c>
      <c r="P54" s="4">
        <v>45958.625</v>
      </c>
      <c r="Q54" s="5">
        <v>84.81</v>
      </c>
      <c r="T54" s="4" t="str">
        <f t="shared" si="1"/>
        <v/>
      </c>
      <c r="U54" s="4" t="str">
        <f t="shared" si="0"/>
        <v/>
      </c>
    </row>
    <row r="55" spans="1:34" x14ac:dyDescent="0.25">
      <c r="A55" s="50" t="str">
        <f t="shared" ca="1" si="2"/>
        <v/>
      </c>
      <c r="B55" s="51" t="str">
        <f ca="1">IF(COUNTIF($V$2:V1040,A55)=1,VLOOKUP(A55,N:O,2), IF(COUNTIF($V$2:V1040,A55)=0,$B$9,""))</f>
        <v/>
      </c>
      <c r="C55" s="2" t="str">
        <f t="shared" ca="1" si="3"/>
        <v/>
      </c>
      <c r="D55" s="54" t="str">
        <f t="shared" ca="1" si="4"/>
        <v/>
      </c>
      <c r="E55" s="51" t="str">
        <f ca="1">IF(COUNTIF($V$2:V1040,A55)=1,VLOOKUP(A55,P:Q,2), IF(COUNTIF($V$2:V1040,A55)=0,$C$9,""))</f>
        <v/>
      </c>
      <c r="F55" s="2" t="str">
        <f t="shared" ca="1" si="5"/>
        <v/>
      </c>
      <c r="G55" s="54" t="str">
        <f t="shared" ca="1" si="6"/>
        <v/>
      </c>
      <c r="H55" s="51" t="str">
        <f ca="1">IF(COUNTIF($V$2:V1040,A55)=1,VLOOKUP(A55,R:S,2), IF(COUNTIF($V$2:V1040,A55)=0,$D$9,""))</f>
        <v/>
      </c>
      <c r="I55" s="2" t="str">
        <f t="shared" ca="1" si="7"/>
        <v/>
      </c>
      <c r="J55" s="54" t="str">
        <f t="shared" ca="1" si="8"/>
        <v/>
      </c>
      <c r="K55" s="52"/>
      <c r="L55" s="55" t="str">
        <f ca="1">IF(ISERROR(B55-2),"",C55+D55-F55-G55+I55+J55-SUM($K$14:K55))</f>
        <v/>
      </c>
      <c r="N55" s="4">
        <v>46000.625</v>
      </c>
      <c r="O55" s="5">
        <v>51.034999999999997</v>
      </c>
      <c r="P55" s="4">
        <v>45959.625</v>
      </c>
      <c r="Q55" s="5">
        <v>84.4</v>
      </c>
      <c r="T55" s="4" t="str">
        <f t="shared" si="1"/>
        <v/>
      </c>
      <c r="U55" s="4" t="str">
        <f t="shared" si="0"/>
        <v/>
      </c>
    </row>
    <row r="56" spans="1:34" x14ac:dyDescent="0.25">
      <c r="A56" s="50" t="str">
        <f t="shared" ca="1" si="2"/>
        <v/>
      </c>
      <c r="B56" s="51" t="str">
        <f ca="1">IF(COUNTIF($V$2:V1041,A56)=1,VLOOKUP(A56,N:O,2), IF(COUNTIF($V$2:V1041,A56)=0,$B$9,""))</f>
        <v/>
      </c>
      <c r="C56" s="2" t="str">
        <f t="shared" ca="1" si="3"/>
        <v/>
      </c>
      <c r="D56" s="54" t="str">
        <f t="shared" ca="1" si="4"/>
        <v/>
      </c>
      <c r="E56" s="51" t="str">
        <f ca="1">IF(COUNTIF($V$2:V1041,A56)=1,VLOOKUP(A56,P:Q,2), IF(COUNTIF($V$2:V1041,A56)=0,$C$9,""))</f>
        <v/>
      </c>
      <c r="F56" s="2" t="str">
        <f t="shared" ca="1" si="5"/>
        <v/>
      </c>
      <c r="G56" s="54" t="str">
        <f t="shared" ca="1" si="6"/>
        <v/>
      </c>
      <c r="H56" s="51" t="str">
        <f ca="1">IF(COUNTIF($V$2:V1041,A56)=1,VLOOKUP(A56,R:S,2), IF(COUNTIF($V$2:V1041,A56)=0,$D$9,""))</f>
        <v/>
      </c>
      <c r="I56" s="2" t="str">
        <f t="shared" ca="1" si="7"/>
        <v/>
      </c>
      <c r="J56" s="54" t="str">
        <f t="shared" ca="1" si="8"/>
        <v/>
      </c>
      <c r="K56" s="52"/>
      <c r="L56" s="55" t="str">
        <f ca="1">IF(ISERROR(B56-2),"",C56+D56-F56-G56+I56+J56-SUM($K$14:K56))</f>
        <v/>
      </c>
      <c r="N56" s="4">
        <v>46001.625</v>
      </c>
      <c r="O56" s="5">
        <v>49.942</v>
      </c>
      <c r="P56" s="4">
        <v>45960.625</v>
      </c>
      <c r="Q56" s="5">
        <v>84.17</v>
      </c>
      <c r="T56" s="4" t="str">
        <f t="shared" si="1"/>
        <v/>
      </c>
      <c r="U56" s="4" t="str">
        <f t="shared" si="0"/>
        <v/>
      </c>
    </row>
    <row r="57" spans="1:34" x14ac:dyDescent="0.25">
      <c r="A57" s="50" t="str">
        <f t="shared" ca="1" si="2"/>
        <v/>
      </c>
      <c r="B57" s="51" t="str">
        <f ca="1">IF(COUNTIF($V$2:V1042,A57)=1,VLOOKUP(A57,N:O,2), IF(COUNTIF($V$2:V1042,A57)=0,$B$9,""))</f>
        <v/>
      </c>
      <c r="C57" s="2" t="str">
        <f t="shared" ca="1" si="3"/>
        <v/>
      </c>
      <c r="D57" s="54" t="str">
        <f t="shared" ca="1" si="4"/>
        <v/>
      </c>
      <c r="E57" s="51" t="str">
        <f ca="1">IF(COUNTIF($V$2:V1042,A57)=1,VLOOKUP(A57,P:Q,2), IF(COUNTIF($V$2:V1042,A57)=0,$C$9,""))</f>
        <v/>
      </c>
      <c r="F57" s="2" t="str">
        <f t="shared" ca="1" si="5"/>
        <v/>
      </c>
      <c r="G57" s="54" t="str">
        <f t="shared" ca="1" si="6"/>
        <v/>
      </c>
      <c r="H57" s="51" t="str">
        <f ca="1">IF(COUNTIF($V$2:V1042,A57)=1,VLOOKUP(A57,R:S,2), IF(COUNTIF($V$2:V1042,A57)=0,$D$9,""))</f>
        <v/>
      </c>
      <c r="I57" s="2" t="str">
        <f t="shared" ca="1" si="7"/>
        <v/>
      </c>
      <c r="J57" s="54" t="str">
        <f t="shared" ca="1" si="8"/>
        <v/>
      </c>
      <c r="K57" s="52"/>
      <c r="L57" s="55" t="str">
        <f ca="1">IF(ISERROR(B57-2),"",C57+D57-F57-G57+I57+J57-SUM($K$14:K57))</f>
        <v/>
      </c>
      <c r="N57" s="4">
        <v>46002.625</v>
      </c>
      <c r="O57" s="5">
        <v>50.048000000000002</v>
      </c>
      <c r="P57" s="4">
        <v>45961.625</v>
      </c>
      <c r="Q57" s="5">
        <v>84.05</v>
      </c>
      <c r="T57" s="4" t="str">
        <f t="shared" si="1"/>
        <v/>
      </c>
      <c r="U57" s="4" t="str">
        <f t="shared" si="0"/>
        <v/>
      </c>
    </row>
    <row r="58" spans="1:34" x14ac:dyDescent="0.25">
      <c r="A58" s="50" t="str">
        <f t="shared" ca="1" si="2"/>
        <v/>
      </c>
      <c r="B58" s="51" t="str">
        <f ca="1">IF(COUNTIF($V$2:V1043,A58)=1,VLOOKUP(A58,N:O,2), IF(COUNTIF($V$2:V1043,A58)=0,$B$9,""))</f>
        <v/>
      </c>
      <c r="C58" s="2" t="str">
        <f t="shared" ca="1" si="3"/>
        <v/>
      </c>
      <c r="D58" s="54" t="str">
        <f t="shared" ca="1" si="4"/>
        <v/>
      </c>
      <c r="E58" s="51" t="str">
        <f ca="1">IF(COUNTIF($V$2:V1043,A58)=1,VLOOKUP(A58,P:Q,2), IF(COUNTIF($V$2:V1043,A58)=0,$C$9,""))</f>
        <v/>
      </c>
      <c r="F58" s="2" t="str">
        <f t="shared" ca="1" si="5"/>
        <v/>
      </c>
      <c r="G58" s="54" t="str">
        <f t="shared" ca="1" si="6"/>
        <v/>
      </c>
      <c r="H58" s="51" t="str">
        <f ca="1">IF(COUNTIF($V$2:V1043,A58)=1,VLOOKUP(A58,R:S,2), IF(COUNTIF($V$2:V1043,A58)=0,$D$9,""))</f>
        <v/>
      </c>
      <c r="I58" s="2" t="str">
        <f t="shared" ca="1" si="7"/>
        <v/>
      </c>
      <c r="J58" s="54" t="str">
        <f t="shared" ca="1" si="8"/>
        <v/>
      </c>
      <c r="K58" s="52"/>
      <c r="L58" s="55" t="str">
        <f ca="1">IF(ISERROR(B58-2),"",C58+D58-F58-G58+I58+J58-SUM($K$14:K58))</f>
        <v/>
      </c>
      <c r="N58" s="4">
        <v>46003.625</v>
      </c>
      <c r="O58" s="5">
        <v>50.905000000000001</v>
      </c>
      <c r="P58" s="4">
        <v>45964.625</v>
      </c>
      <c r="Q58" s="5">
        <v>83.59</v>
      </c>
      <c r="T58" s="4" t="str">
        <f t="shared" si="1"/>
        <v/>
      </c>
      <c r="U58" s="4" t="str">
        <f t="shared" si="0"/>
        <v/>
      </c>
    </row>
    <row r="59" spans="1:34" x14ac:dyDescent="0.25">
      <c r="A59" s="50" t="str">
        <f t="shared" ca="1" si="2"/>
        <v/>
      </c>
      <c r="B59" s="51" t="str">
        <f ca="1">IF(COUNTIF($V$2:V1044,A59)=1,VLOOKUP(A59,N:O,2), IF(COUNTIF($V$2:V1044,A59)=0,$B$9,""))</f>
        <v/>
      </c>
      <c r="C59" s="2" t="str">
        <f t="shared" ca="1" si="3"/>
        <v/>
      </c>
      <c r="D59" s="54" t="str">
        <f t="shared" ca="1" si="4"/>
        <v/>
      </c>
      <c r="E59" s="51" t="str">
        <f ca="1">IF(COUNTIF($V$2:V1044,A59)=1,VLOOKUP(A59,P:Q,2), IF(COUNTIF($V$2:V1044,A59)=0,$C$9,""))</f>
        <v/>
      </c>
      <c r="F59" s="2" t="str">
        <f t="shared" ca="1" si="5"/>
        <v/>
      </c>
      <c r="G59" s="54" t="str">
        <f t="shared" ca="1" si="6"/>
        <v/>
      </c>
      <c r="H59" s="51" t="str">
        <f ca="1">IF(COUNTIF($V$2:V1044,A59)=1,VLOOKUP(A59,R:S,2), IF(COUNTIF($V$2:V1044,A59)=0,$D$9,""))</f>
        <v/>
      </c>
      <c r="I59" s="2" t="str">
        <f t="shared" ca="1" si="7"/>
        <v/>
      </c>
      <c r="J59" s="54" t="str">
        <f t="shared" ca="1" si="8"/>
        <v/>
      </c>
      <c r="K59" s="52"/>
      <c r="L59" s="55" t="str">
        <f ca="1">IF(ISERROR(B59-2),"",C59+D59-F59-G59+I59+J59-SUM($K$14:K59))</f>
        <v/>
      </c>
      <c r="N59" s="4">
        <v>46006.625</v>
      </c>
      <c r="O59" s="5">
        <v>50.838999999999999</v>
      </c>
      <c r="P59" s="4">
        <v>45965.625</v>
      </c>
      <c r="Q59" s="5">
        <v>83.66</v>
      </c>
      <c r="T59" s="4" t="str">
        <f t="shared" si="1"/>
        <v/>
      </c>
      <c r="U59" s="4" t="str">
        <f t="shared" si="0"/>
        <v/>
      </c>
    </row>
    <row r="60" spans="1:34" x14ac:dyDescent="0.25">
      <c r="A60" s="50" t="str">
        <f t="shared" ca="1" si="2"/>
        <v/>
      </c>
      <c r="B60" s="51" t="str">
        <f ca="1">IF(COUNTIF($V$2:V1045,A60)=1,VLOOKUP(A60,N:O,2), IF(COUNTIF($V$2:V1045,A60)=0,$B$9,""))</f>
        <v/>
      </c>
      <c r="C60" s="2" t="str">
        <f t="shared" ca="1" si="3"/>
        <v/>
      </c>
      <c r="D60" s="54" t="str">
        <f t="shared" ca="1" si="4"/>
        <v/>
      </c>
      <c r="E60" s="51" t="str">
        <f ca="1">IF(COUNTIF($V$2:V1045,A60)=1,VLOOKUP(A60,P:Q,2), IF(COUNTIF($V$2:V1045,A60)=0,$C$9,""))</f>
        <v/>
      </c>
      <c r="F60" s="2" t="str">
        <f t="shared" ca="1" si="5"/>
        <v/>
      </c>
      <c r="G60" s="54" t="str">
        <f t="shared" ca="1" si="6"/>
        <v/>
      </c>
      <c r="H60" s="51" t="str">
        <f ca="1">IF(COUNTIF($V$2:V1045,A60)=1,VLOOKUP(A60,R:S,2), IF(COUNTIF($V$2:V1045,A60)=0,$D$9,""))</f>
        <v/>
      </c>
      <c r="I60" s="2" t="str">
        <f t="shared" ca="1" si="7"/>
        <v/>
      </c>
      <c r="J60" s="54" t="str">
        <f t="shared" ca="1" si="8"/>
        <v/>
      </c>
      <c r="K60" s="52"/>
      <c r="L60" s="55" t="str">
        <f ca="1">IF(ISERROR(B60-2),"",C60+D60-F60-G60+I60+J60-SUM($K$14:K60))</f>
        <v/>
      </c>
      <c r="N60" s="4">
        <v>46007.625</v>
      </c>
      <c r="O60" s="5">
        <v>51.031999999999996</v>
      </c>
      <c r="P60" s="4">
        <v>45966.625</v>
      </c>
      <c r="Q60" s="5">
        <v>83.48</v>
      </c>
      <c r="T60" s="4" t="str">
        <f t="shared" si="1"/>
        <v/>
      </c>
      <c r="U60" s="4" t="str">
        <f t="shared" si="0"/>
        <v/>
      </c>
    </row>
    <row r="61" spans="1:34" x14ac:dyDescent="0.25">
      <c r="A61" s="50" t="str">
        <f t="shared" ca="1" si="2"/>
        <v/>
      </c>
      <c r="B61" s="51" t="str">
        <f ca="1">IF(COUNTIF($V$2:V1046,A61)=1,VLOOKUP(A61,N:O,2), IF(COUNTIF($V$2:V1046,A61)=0,$B$9,""))</f>
        <v/>
      </c>
      <c r="C61" s="2" t="str">
        <f t="shared" ca="1" si="3"/>
        <v/>
      </c>
      <c r="D61" s="54" t="str">
        <f t="shared" ca="1" si="4"/>
        <v/>
      </c>
      <c r="E61" s="51" t="str">
        <f ca="1">IF(COUNTIF($V$2:V1046,A61)=1,VLOOKUP(A61,P:Q,2), IF(COUNTIF($V$2:V1046,A61)=0,$C$9,""))</f>
        <v/>
      </c>
      <c r="F61" s="2" t="str">
        <f t="shared" ca="1" si="5"/>
        <v/>
      </c>
      <c r="G61" s="54" t="str">
        <f t="shared" ca="1" si="6"/>
        <v/>
      </c>
      <c r="H61" s="51" t="str">
        <f ca="1">IF(COUNTIF($V$2:V1046,A61)=1,VLOOKUP(A61,R:S,2), IF(COUNTIF($V$2:V1046,A61)=0,$D$9,""))</f>
        <v/>
      </c>
      <c r="I61" s="2" t="str">
        <f t="shared" ca="1" si="7"/>
        <v/>
      </c>
      <c r="J61" s="54" t="str">
        <f t="shared" ca="1" si="8"/>
        <v/>
      </c>
      <c r="K61" s="52"/>
      <c r="L61" s="55" t="str">
        <f ca="1">IF(ISERROR(B61-2),"",C61+D61-F61-G61+I61+J61-SUM($K$14:K61))</f>
        <v/>
      </c>
      <c r="N61" s="4">
        <v>46008.625</v>
      </c>
      <c r="O61" s="5">
        <v>51.988999999999997</v>
      </c>
      <c r="P61" s="4">
        <v>45967.625</v>
      </c>
      <c r="Q61" s="5">
        <v>83.79</v>
      </c>
      <c r="T61" s="4" t="str">
        <f t="shared" si="1"/>
        <v/>
      </c>
      <c r="U61" s="4" t="str">
        <f t="shared" si="0"/>
        <v/>
      </c>
    </row>
    <row r="62" spans="1:34" x14ac:dyDescent="0.25">
      <c r="A62" s="50" t="str">
        <f t="shared" ca="1" si="2"/>
        <v/>
      </c>
      <c r="B62" s="51" t="str">
        <f ca="1">IF(COUNTIF($V$2:V1047,A62)=1,VLOOKUP(A62,N:O,2), IF(COUNTIF($V$2:V1047,A62)=0,$B$9,""))</f>
        <v/>
      </c>
      <c r="C62" s="2" t="str">
        <f t="shared" ca="1" si="3"/>
        <v/>
      </c>
      <c r="D62" s="54" t="str">
        <f t="shared" ca="1" si="4"/>
        <v/>
      </c>
      <c r="E62" s="51" t="str">
        <f ca="1">IF(COUNTIF($V$2:V1047,A62)=1,VLOOKUP(A62,P:Q,2), IF(COUNTIF($V$2:V1047,A62)=0,$C$9,""))</f>
        <v/>
      </c>
      <c r="F62" s="2" t="str">
        <f t="shared" ca="1" si="5"/>
        <v/>
      </c>
      <c r="G62" s="54" t="str">
        <f t="shared" ca="1" si="6"/>
        <v/>
      </c>
      <c r="H62" s="51" t="str">
        <f ca="1">IF(COUNTIF($V$2:V1047,A62)=1,VLOOKUP(A62,R:S,2), IF(COUNTIF($V$2:V1047,A62)=0,$D$9,""))</f>
        <v/>
      </c>
      <c r="I62" s="2" t="str">
        <f t="shared" ca="1" si="7"/>
        <v/>
      </c>
      <c r="J62" s="54" t="str">
        <f t="shared" ca="1" si="8"/>
        <v/>
      </c>
      <c r="K62" s="52"/>
      <c r="L62" s="55" t="str">
        <f ca="1">IF(ISERROR(B62-2),"",C62+D62-F62-G62+I62+J62-SUM($K$14:K62))</f>
        <v/>
      </c>
      <c r="N62" s="4">
        <v>46009.625</v>
      </c>
      <c r="O62" s="5">
        <v>50.912999999999997</v>
      </c>
      <c r="P62" s="4">
        <v>45968.625</v>
      </c>
      <c r="Q62" s="5">
        <v>83.75</v>
      </c>
      <c r="T62" s="4" t="str">
        <f t="shared" si="1"/>
        <v/>
      </c>
      <c r="U62" s="4" t="str">
        <f t="shared" si="0"/>
        <v/>
      </c>
    </row>
    <row r="63" spans="1:34" x14ac:dyDescent="0.25">
      <c r="A63" s="50" t="str">
        <f t="shared" ca="1" si="2"/>
        <v/>
      </c>
      <c r="B63" s="51" t="str">
        <f ca="1">IF(COUNTIF($V$2:V1048,A63)=1,VLOOKUP(A63,N:O,2), IF(COUNTIF($V$2:V1048,A63)=0,$B$9,""))</f>
        <v/>
      </c>
      <c r="C63" s="2" t="str">
        <f t="shared" ca="1" si="3"/>
        <v/>
      </c>
      <c r="D63" s="54" t="str">
        <f t="shared" ca="1" si="4"/>
        <v/>
      </c>
      <c r="E63" s="51" t="str">
        <f ca="1">IF(COUNTIF($V$2:V1048,A63)=1,VLOOKUP(A63,P:Q,2), IF(COUNTIF($V$2:V1048,A63)=0,$C$9,""))</f>
        <v/>
      </c>
      <c r="F63" s="2" t="str">
        <f t="shared" ca="1" si="5"/>
        <v/>
      </c>
      <c r="G63" s="54" t="str">
        <f t="shared" ca="1" si="6"/>
        <v/>
      </c>
      <c r="H63" s="51" t="str">
        <f ca="1">IF(COUNTIF($V$2:V1048,A63)=1,VLOOKUP(A63,R:S,2), IF(COUNTIF($V$2:V1048,A63)=0,$D$9,""))</f>
        <v/>
      </c>
      <c r="I63" s="2" t="str">
        <f t="shared" ca="1" si="7"/>
        <v/>
      </c>
      <c r="J63" s="54" t="str">
        <f t="shared" ca="1" si="8"/>
        <v/>
      </c>
      <c r="K63" s="52"/>
      <c r="L63" s="55" t="str">
        <f ca="1">IF(ISERROR(B63-2),"",C63+D63-F63-G63+I63+J63-SUM($K$14:K63))</f>
        <v/>
      </c>
      <c r="N63" s="4">
        <v>46010.625</v>
      </c>
      <c r="O63" s="5">
        <v>50.798999999999999</v>
      </c>
      <c r="P63" s="4">
        <v>45971.625</v>
      </c>
      <c r="Q63" s="5">
        <v>83.73</v>
      </c>
      <c r="T63" s="4" t="str">
        <f t="shared" si="1"/>
        <v/>
      </c>
      <c r="U63" s="4" t="str">
        <f t="shared" si="0"/>
        <v/>
      </c>
      <c r="Z63" s="56"/>
      <c r="AH63" s="12"/>
    </row>
    <row r="64" spans="1:34" x14ac:dyDescent="0.25">
      <c r="A64" s="50" t="str">
        <f t="shared" ca="1" si="2"/>
        <v/>
      </c>
      <c r="B64" s="51" t="str">
        <f ca="1">IF(COUNTIF($V$2:V1049,A64)=1,VLOOKUP(A64,N:O,2), IF(COUNTIF($V$2:V1049,A64)=0,$B$9,""))</f>
        <v/>
      </c>
      <c r="C64" s="2" t="str">
        <f t="shared" ca="1" si="3"/>
        <v/>
      </c>
      <c r="D64" s="54" t="str">
        <f t="shared" ca="1" si="4"/>
        <v/>
      </c>
      <c r="E64" s="51" t="str">
        <f ca="1">IF(COUNTIF($V$2:V1049,A64)=1,VLOOKUP(A64,P:Q,2), IF(COUNTIF($V$2:V1049,A64)=0,$C$9,""))</f>
        <v/>
      </c>
      <c r="F64" s="2" t="str">
        <f t="shared" ca="1" si="5"/>
        <v/>
      </c>
      <c r="G64" s="54" t="str">
        <f t="shared" ca="1" si="6"/>
        <v/>
      </c>
      <c r="H64" s="51" t="str">
        <f ca="1">IF(COUNTIF($V$2:V1049,A64)=1,VLOOKUP(A64,R:S,2), IF(COUNTIF($V$2:V1049,A64)=0,$D$9,""))</f>
        <v/>
      </c>
      <c r="I64" s="2" t="str">
        <f t="shared" ca="1" si="7"/>
        <v/>
      </c>
      <c r="J64" s="54" t="str">
        <f t="shared" ca="1" si="8"/>
        <v/>
      </c>
      <c r="K64" s="52"/>
      <c r="L64" s="55" t="str">
        <f ca="1">IF(ISERROR(B64-2),"",C64+D64-F64-G64+I64+J64-SUM($K$14:K64))</f>
        <v/>
      </c>
      <c r="N64" s="4">
        <v>46013.625</v>
      </c>
      <c r="O64" s="5">
        <v>50.158999999999999</v>
      </c>
      <c r="P64" s="4">
        <v>45972.625</v>
      </c>
      <c r="Q64" s="5">
        <v>84.04</v>
      </c>
      <c r="T64" s="4" t="str">
        <f t="shared" si="1"/>
        <v/>
      </c>
      <c r="U64" s="4" t="str">
        <f t="shared" si="0"/>
        <v/>
      </c>
      <c r="Y64" s="57"/>
      <c r="Z64" s="57"/>
      <c r="AA64" s="57"/>
      <c r="AB64" s="57"/>
      <c r="AC64" s="57"/>
      <c r="AD64" s="57"/>
      <c r="AE64" s="57"/>
      <c r="AF64" s="57"/>
      <c r="AG64" s="58"/>
      <c r="AH64" s="12"/>
    </row>
    <row r="65" spans="1:34" x14ac:dyDescent="0.25">
      <c r="A65" s="50" t="str">
        <f t="shared" ca="1" si="2"/>
        <v/>
      </c>
      <c r="B65" s="51" t="str">
        <f ca="1">IF(COUNTIF($V$2:V1050,A65)=1,VLOOKUP(A65,N:O,2), IF(COUNTIF($V$2:V1050,A65)=0,$B$9,""))</f>
        <v/>
      </c>
      <c r="C65" s="2" t="str">
        <f t="shared" ca="1" si="3"/>
        <v/>
      </c>
      <c r="D65" s="54" t="str">
        <f t="shared" ca="1" si="4"/>
        <v/>
      </c>
      <c r="E65" s="51" t="str">
        <f ca="1">IF(COUNTIF($V$2:V1050,A65)=1,VLOOKUP(A65,P:Q,2), IF(COUNTIF($V$2:V1050,A65)=0,$C$9,""))</f>
        <v/>
      </c>
      <c r="F65" s="2" t="str">
        <f t="shared" ca="1" si="5"/>
        <v/>
      </c>
      <c r="G65" s="54" t="str">
        <f t="shared" ca="1" si="6"/>
        <v/>
      </c>
      <c r="H65" s="51" t="str">
        <f ca="1">IF(COUNTIF($V$2:V1050,A65)=1,VLOOKUP(A65,R:S,2), IF(COUNTIF($V$2:V1050,A65)=0,$D$9,""))</f>
        <v/>
      </c>
      <c r="I65" s="2" t="str">
        <f t="shared" ca="1" si="7"/>
        <v/>
      </c>
      <c r="J65" s="54" t="str">
        <f t="shared" ca="1" si="8"/>
        <v/>
      </c>
      <c r="K65" s="52"/>
      <c r="L65" s="55" t="str">
        <f ca="1">IF(ISERROR(B65-2),"",C65+D65-F65-G65+I65+J65-SUM($K$14:K65))</f>
        <v/>
      </c>
      <c r="N65" s="4">
        <v>46014.625</v>
      </c>
      <c r="O65" s="5">
        <v>50.011000000000003</v>
      </c>
      <c r="P65" s="4">
        <v>45973.625</v>
      </c>
      <c r="Q65" s="5">
        <v>83.93</v>
      </c>
      <c r="T65" s="4" t="str">
        <f t="shared" si="1"/>
        <v/>
      </c>
      <c r="U65" s="4" t="str">
        <f t="shared" si="0"/>
        <v/>
      </c>
      <c r="Y65" s="57"/>
      <c r="Z65" s="59"/>
      <c r="AA65" s="60"/>
      <c r="AB65" s="60"/>
      <c r="AC65" s="60"/>
      <c r="AD65" s="60"/>
      <c r="AE65" s="60"/>
      <c r="AF65" s="60"/>
      <c r="AG65" s="60"/>
      <c r="AH65" s="12"/>
    </row>
    <row r="66" spans="1:34" x14ac:dyDescent="0.25">
      <c r="A66" s="50" t="str">
        <f t="shared" ca="1" si="2"/>
        <v/>
      </c>
      <c r="B66" s="51" t="str">
        <f ca="1">IF(COUNTIF($V$2:V1051,A66)=1,VLOOKUP(A66,N:O,2), IF(COUNTIF($V$2:V1051,A66)=0,$B$9,""))</f>
        <v/>
      </c>
      <c r="C66" s="2" t="str">
        <f t="shared" ca="1" si="3"/>
        <v/>
      </c>
      <c r="D66" s="54" t="str">
        <f t="shared" ca="1" si="4"/>
        <v/>
      </c>
      <c r="E66" s="51" t="str">
        <f ca="1">IF(COUNTIF($V$2:V1051,A66)=1,VLOOKUP(A66,P:Q,2), IF(COUNTIF($V$2:V1051,A66)=0,$C$9,""))</f>
        <v/>
      </c>
      <c r="F66" s="2" t="str">
        <f t="shared" ca="1" si="5"/>
        <v/>
      </c>
      <c r="G66" s="54" t="str">
        <f t="shared" ca="1" si="6"/>
        <v/>
      </c>
      <c r="H66" s="51" t="str">
        <f ca="1">IF(COUNTIF($V$2:V1051,A66)=1,VLOOKUP(A66,R:S,2), IF(COUNTIF($V$2:V1051,A66)=0,$D$9,""))</f>
        <v/>
      </c>
      <c r="I66" s="2" t="str">
        <f t="shared" ca="1" si="7"/>
        <v/>
      </c>
      <c r="J66" s="54" t="str">
        <f t="shared" ca="1" si="8"/>
        <v/>
      </c>
      <c r="K66" s="52"/>
      <c r="L66" s="55" t="str">
        <f ca="1">IF(ISERROR(B66-2),"",C66+D66-F66-G66+I66+J66-SUM($K$14:K66))</f>
        <v/>
      </c>
      <c r="N66" s="4">
        <v>46017.625</v>
      </c>
      <c r="O66" s="5">
        <v>50.113999999999997</v>
      </c>
      <c r="P66" s="4">
        <v>45974.625</v>
      </c>
      <c r="Q66" s="5">
        <v>83.7</v>
      </c>
      <c r="T66" s="4">
        <f t="shared" si="1"/>
        <v>46017.625</v>
      </c>
      <c r="U66" s="4" t="str">
        <f t="shared" si="0"/>
        <v/>
      </c>
      <c r="Y66" s="57"/>
      <c r="Z66" s="59"/>
      <c r="AA66" s="60"/>
      <c r="AB66" s="60"/>
      <c r="AC66" s="60"/>
      <c r="AD66" s="60"/>
      <c r="AE66" s="60"/>
      <c r="AF66" s="60"/>
      <c r="AG66" s="60"/>
      <c r="AH66" s="12"/>
    </row>
    <row r="67" spans="1:34" x14ac:dyDescent="0.25">
      <c r="A67" s="50" t="str">
        <f t="shared" ca="1" si="2"/>
        <v/>
      </c>
      <c r="B67" s="51" t="str">
        <f ca="1">IF(COUNTIF($V$2:V1052,A67)=1,VLOOKUP(A67,N:O,2), IF(COUNTIF($V$2:V1052,A67)=0,$B$9,""))</f>
        <v/>
      </c>
      <c r="C67" s="2" t="str">
        <f t="shared" ca="1" si="3"/>
        <v/>
      </c>
      <c r="D67" s="54" t="str">
        <f t="shared" ca="1" si="4"/>
        <v/>
      </c>
      <c r="E67" s="51" t="str">
        <f ca="1">IF(COUNTIF($V$2:V1052,A67)=1,VLOOKUP(A67,P:Q,2), IF(COUNTIF($V$2:V1052,A67)=0,$C$9,""))</f>
        <v/>
      </c>
      <c r="F67" s="2" t="str">
        <f t="shared" ca="1" si="5"/>
        <v/>
      </c>
      <c r="G67" s="54" t="str">
        <f t="shared" ca="1" si="6"/>
        <v/>
      </c>
      <c r="H67" s="51" t="str">
        <f ca="1">IF(COUNTIF($V$2:V1052,A67)=1,VLOOKUP(A67,R:S,2), IF(COUNTIF($V$2:V1052,A67)=0,$D$9,""))</f>
        <v/>
      </c>
      <c r="I67" s="2" t="str">
        <f t="shared" ca="1" si="7"/>
        <v/>
      </c>
      <c r="J67" s="54" t="str">
        <f t="shared" ca="1" si="8"/>
        <v/>
      </c>
      <c r="K67" s="52"/>
      <c r="L67" s="55" t="str">
        <f ca="1">IF(ISERROR(B67-2),"",C67+D67-F67-G67+I67+J67-SUM($K$14:K67))</f>
        <v/>
      </c>
      <c r="N67" s="4">
        <v>46020.625</v>
      </c>
      <c r="O67" s="5">
        <v>50.405000000000001</v>
      </c>
      <c r="P67" s="4">
        <v>45975.625</v>
      </c>
      <c r="Q67" s="5">
        <v>83.56</v>
      </c>
      <c r="T67" s="4">
        <f t="shared" si="1"/>
        <v>46020.625</v>
      </c>
      <c r="U67" s="4" t="str">
        <f t="shared" ref="U67:U130" si="9">IF(T67&gt;$A$14,T67,"")</f>
        <v/>
      </c>
      <c r="Y67" s="57"/>
      <c r="Z67" s="59"/>
      <c r="AA67" s="60"/>
      <c r="AB67" s="60"/>
      <c r="AC67" s="60"/>
      <c r="AD67" s="60"/>
      <c r="AE67" s="60"/>
      <c r="AF67" s="60"/>
      <c r="AG67" s="60"/>
      <c r="AH67" s="12"/>
    </row>
    <row r="68" spans="1:34" x14ac:dyDescent="0.25">
      <c r="A68" s="50" t="str">
        <f t="shared" ca="1" si="2"/>
        <v/>
      </c>
      <c r="B68" s="51" t="str">
        <f ca="1">IF(COUNTIF($V$2:V1053,A68)=1,VLOOKUP(A68,N:O,2), IF(COUNTIF($V$2:V1053,A68)=0,$B$9,""))</f>
        <v/>
      </c>
      <c r="C68" s="2" t="str">
        <f t="shared" ca="1" si="3"/>
        <v/>
      </c>
      <c r="D68" s="54" t="str">
        <f t="shared" ca="1" si="4"/>
        <v/>
      </c>
      <c r="E68" s="51" t="str">
        <f ca="1">IF(COUNTIF($V$2:V1053,A68)=1,VLOOKUP(A68,P:Q,2), IF(COUNTIF($V$2:V1053,A68)=0,$C$9,""))</f>
        <v/>
      </c>
      <c r="F68" s="2" t="str">
        <f t="shared" ca="1" si="5"/>
        <v/>
      </c>
      <c r="G68" s="54" t="str">
        <f t="shared" ca="1" si="6"/>
        <v/>
      </c>
      <c r="H68" s="51" t="str">
        <f ca="1">IF(COUNTIF($V$2:V1053,A68)=1,VLOOKUP(A68,R:S,2), IF(COUNTIF($V$2:V1053,A68)=0,$D$9,""))</f>
        <v/>
      </c>
      <c r="I68" s="2" t="str">
        <f t="shared" ca="1" si="7"/>
        <v/>
      </c>
      <c r="J68" s="54" t="str">
        <f t="shared" ca="1" si="8"/>
        <v/>
      </c>
      <c r="K68" s="52"/>
      <c r="L68" s="55" t="str">
        <f ca="1">IF(ISERROR(B68-2),"",C68+D68-F68-G68+I68+J68-SUM($K$14:K68))</f>
        <v/>
      </c>
      <c r="N68" s="4">
        <v>46021.625</v>
      </c>
      <c r="O68" s="5">
        <v>50.018000000000001</v>
      </c>
      <c r="P68" s="4">
        <v>45978.625</v>
      </c>
      <c r="Q68" s="5">
        <v>83.57</v>
      </c>
      <c r="T68" s="4">
        <f t="shared" ref="T68:T131" si="10">IF(COUNTIF(P:P,N68)*COUNTIF(R:R,N68),N68,"")</f>
        <v>46021.625</v>
      </c>
      <c r="U68" s="4" t="str">
        <f t="shared" si="9"/>
        <v/>
      </c>
      <c r="Y68" s="57"/>
      <c r="Z68" s="59"/>
      <c r="AA68" s="60"/>
      <c r="AB68" s="60"/>
      <c r="AC68" s="60"/>
      <c r="AD68" s="60"/>
      <c r="AE68" s="60"/>
      <c r="AF68" s="60"/>
      <c r="AG68" s="60"/>
      <c r="AH68" s="12"/>
    </row>
    <row r="69" spans="1:34" x14ac:dyDescent="0.25">
      <c r="A69" s="50" t="str">
        <f t="shared" ca="1" si="2"/>
        <v/>
      </c>
      <c r="B69" s="51" t="str">
        <f ca="1">IF(COUNTIF($V$2:V1054,A69)=1,VLOOKUP(A69,N:O,2), IF(COUNTIF($V$2:V1054,A69)=0,$B$9,""))</f>
        <v/>
      </c>
      <c r="C69" s="2" t="str">
        <f t="shared" ca="1" si="3"/>
        <v/>
      </c>
      <c r="D69" s="54" t="str">
        <f t="shared" ca="1" si="4"/>
        <v/>
      </c>
      <c r="E69" s="51" t="str">
        <f ca="1">IF(COUNTIF($V$2:V1054,A69)=1,VLOOKUP(A69,P:Q,2), IF(COUNTIF($V$2:V1054,A69)=0,$C$9,""))</f>
        <v/>
      </c>
      <c r="F69" s="2" t="str">
        <f t="shared" ca="1" si="5"/>
        <v/>
      </c>
      <c r="G69" s="54" t="str">
        <f t="shared" ca="1" si="6"/>
        <v/>
      </c>
      <c r="H69" s="51" t="str">
        <f ca="1">IF(COUNTIF($V$2:V1054,A69)=1,VLOOKUP(A69,R:S,2), IF(COUNTIF($V$2:V1054,A69)=0,$D$9,""))</f>
        <v/>
      </c>
      <c r="I69" s="2" t="str">
        <f t="shared" ca="1" si="7"/>
        <v/>
      </c>
      <c r="J69" s="54" t="str">
        <f t="shared" ca="1" si="8"/>
        <v/>
      </c>
      <c r="K69" s="52"/>
      <c r="L69" s="55" t="str">
        <f ca="1">IF(ISERROR(B69-2),"",C69+D69-F69-G69+I69+J69-SUM($K$14:K69))</f>
        <v/>
      </c>
      <c r="N69" s="4">
        <v>46024.625</v>
      </c>
      <c r="O69" s="5">
        <v>50.140999999999998</v>
      </c>
      <c r="P69" s="4">
        <v>45979.625</v>
      </c>
      <c r="Q69" s="5">
        <v>83.66</v>
      </c>
      <c r="T69" s="4">
        <f t="shared" si="10"/>
        <v>46024.625</v>
      </c>
      <c r="U69" s="4" t="str">
        <f t="shared" si="9"/>
        <v/>
      </c>
      <c r="Y69" s="57"/>
      <c r="Z69" s="59"/>
      <c r="AA69" s="60"/>
      <c r="AB69" s="60"/>
      <c r="AC69" s="60"/>
      <c r="AD69" s="60"/>
      <c r="AE69" s="60"/>
      <c r="AF69" s="60"/>
      <c r="AG69" s="60"/>
      <c r="AH69" s="12"/>
    </row>
    <row r="70" spans="1:34" x14ac:dyDescent="0.25">
      <c r="A70" s="50" t="str">
        <f t="shared" ca="1" si="2"/>
        <v/>
      </c>
      <c r="B70" s="51" t="str">
        <f ca="1">IF(COUNTIF($V$2:V1055,A70)=1,VLOOKUP(A70,N:O,2), IF(COUNTIF($V$2:V1055,A70)=0,$B$9,""))</f>
        <v/>
      </c>
      <c r="C70" s="2" t="str">
        <f t="shared" ca="1" si="3"/>
        <v/>
      </c>
      <c r="D70" s="54" t="str">
        <f t="shared" ca="1" si="4"/>
        <v/>
      </c>
      <c r="E70" s="51" t="str">
        <f ca="1">IF(COUNTIF($V$2:V1055,A70)=1,VLOOKUP(A70,P:Q,2), IF(COUNTIF($V$2:V1055,A70)=0,$C$9,""))</f>
        <v/>
      </c>
      <c r="F70" s="2" t="str">
        <f t="shared" ca="1" si="5"/>
        <v/>
      </c>
      <c r="G70" s="54" t="str">
        <f t="shared" ca="1" si="6"/>
        <v/>
      </c>
      <c r="H70" s="51" t="str">
        <f ca="1">IF(COUNTIF($V$2:V1055,A70)=1,VLOOKUP(A70,R:S,2), IF(COUNTIF($V$2:V1055,A70)=0,$D$9,""))</f>
        <v/>
      </c>
      <c r="I70" s="2" t="str">
        <f t="shared" ca="1" si="7"/>
        <v/>
      </c>
      <c r="J70" s="54" t="str">
        <f t="shared" ca="1" si="8"/>
        <v/>
      </c>
      <c r="K70" s="52"/>
      <c r="L70" s="55" t="str">
        <f ca="1">IF(ISERROR(B70-2),"",C70+D70-F70-G70+I70+J70-SUM($K$14:K70))</f>
        <v/>
      </c>
      <c r="N70" s="4">
        <v>46027.625</v>
      </c>
      <c r="O70" s="5">
        <v>49.325000000000003</v>
      </c>
      <c r="P70" s="4">
        <v>45980.625</v>
      </c>
      <c r="Q70" s="5">
        <v>83.62</v>
      </c>
      <c r="T70" s="4">
        <f t="shared" si="10"/>
        <v>46027.625</v>
      </c>
      <c r="U70" s="4" t="str">
        <f t="shared" si="9"/>
        <v/>
      </c>
      <c r="Z70" s="56"/>
      <c r="AH70" s="12"/>
    </row>
    <row r="71" spans="1:34" x14ac:dyDescent="0.25">
      <c r="A71" s="50" t="str">
        <f t="shared" ca="1" si="2"/>
        <v/>
      </c>
      <c r="B71" s="51" t="str">
        <f ca="1">IF(COUNTIF($V$2:V1056,A71)=1,VLOOKUP(A71,N:O,2), IF(COUNTIF($V$2:V1056,A71)=0,$B$9,""))</f>
        <v/>
      </c>
      <c r="C71" s="2" t="str">
        <f t="shared" ca="1" si="3"/>
        <v/>
      </c>
      <c r="D71" s="54" t="str">
        <f t="shared" ca="1" si="4"/>
        <v/>
      </c>
      <c r="E71" s="51" t="str">
        <f ca="1">IF(COUNTIF($V$2:V1056,A71)=1,VLOOKUP(A71,P:Q,2), IF(COUNTIF($V$2:V1056,A71)=0,$C$9,""))</f>
        <v/>
      </c>
      <c r="F71" s="2" t="str">
        <f t="shared" ca="1" si="5"/>
        <v/>
      </c>
      <c r="G71" s="54" t="str">
        <f t="shared" ca="1" si="6"/>
        <v/>
      </c>
      <c r="H71" s="51" t="str">
        <f ca="1">IF(COUNTIF($V$2:V1056,A71)=1,VLOOKUP(A71,R:S,2), IF(COUNTIF($V$2:V1056,A71)=0,$D$9,""))</f>
        <v/>
      </c>
      <c r="I71" s="2" t="str">
        <f t="shared" ca="1" si="7"/>
        <v/>
      </c>
      <c r="J71" s="54" t="str">
        <f t="shared" ca="1" si="8"/>
        <v/>
      </c>
      <c r="K71" s="52"/>
      <c r="L71" s="55" t="str">
        <f ca="1">IF(ISERROR(B71-2),"",C71+D71-F71-G71+I71+J71-SUM($K$14:K71))</f>
        <v/>
      </c>
      <c r="N71" s="4">
        <v>46028.625</v>
      </c>
      <c r="O71" s="5">
        <v>49.069000000000003</v>
      </c>
      <c r="P71" s="4">
        <v>45981.625</v>
      </c>
      <c r="Q71" s="5">
        <v>83.73</v>
      </c>
      <c r="T71" s="4">
        <f t="shared" si="10"/>
        <v>46028.625</v>
      </c>
      <c r="U71" s="4" t="str">
        <f t="shared" si="9"/>
        <v/>
      </c>
      <c r="Z71" s="56"/>
      <c r="AH71" s="12"/>
    </row>
    <row r="72" spans="1:34" x14ac:dyDescent="0.25">
      <c r="A72" s="50" t="str">
        <f t="shared" ca="1" si="2"/>
        <v/>
      </c>
      <c r="B72" s="51" t="str">
        <f ca="1">IF(COUNTIF($V$2:V1057,A72)=1,VLOOKUP(A72,N:O,2), IF(COUNTIF($V$2:V1057,A72)=0,$B$9,""))</f>
        <v/>
      </c>
      <c r="C72" s="2" t="str">
        <f t="shared" ca="1" si="3"/>
        <v/>
      </c>
      <c r="D72" s="54" t="str">
        <f t="shared" ca="1" si="4"/>
        <v/>
      </c>
      <c r="E72" s="51" t="str">
        <f ca="1">IF(COUNTIF($V$2:V1057,A72)=1,VLOOKUP(A72,P:Q,2), IF(COUNTIF($V$2:V1057,A72)=0,$C$9,""))</f>
        <v/>
      </c>
      <c r="F72" s="2" t="str">
        <f t="shared" ca="1" si="5"/>
        <v/>
      </c>
      <c r="G72" s="54" t="str">
        <f t="shared" ca="1" si="6"/>
        <v/>
      </c>
      <c r="H72" s="51" t="str">
        <f ca="1">IF(COUNTIF($V$2:V1057,A72)=1,VLOOKUP(A72,R:S,2), IF(COUNTIF($V$2:V1057,A72)=0,$D$9,""))</f>
        <v/>
      </c>
      <c r="I72" s="2" t="str">
        <f t="shared" ca="1" si="7"/>
        <v/>
      </c>
      <c r="J72" s="54" t="str">
        <f t="shared" ca="1" si="8"/>
        <v/>
      </c>
      <c r="K72" s="52"/>
      <c r="L72" s="55" t="str">
        <f ca="1">IF(ISERROR(B72-2),"",C72+D72-F72-G72+I72+J72-SUM($K$14:K72))</f>
        <v/>
      </c>
      <c r="N72" s="4">
        <v>46029.625</v>
      </c>
      <c r="O72" s="5">
        <v>49.633000000000003</v>
      </c>
      <c r="P72" s="4">
        <v>45982.625</v>
      </c>
      <c r="Q72" s="5">
        <v>84.03</v>
      </c>
      <c r="T72" s="4">
        <f t="shared" si="10"/>
        <v>46029.625</v>
      </c>
      <c r="U72" s="4" t="str">
        <f t="shared" si="9"/>
        <v/>
      </c>
      <c r="Z72" s="56"/>
      <c r="AH72" s="12"/>
    </row>
    <row r="73" spans="1:34" x14ac:dyDescent="0.25">
      <c r="A73" s="50" t="str">
        <f t="shared" ca="1" si="2"/>
        <v/>
      </c>
      <c r="B73" s="51" t="str">
        <f ca="1">IF(COUNTIF($V$2:V1058,A73)=1,VLOOKUP(A73,N:O,2), IF(COUNTIF($V$2:V1058,A73)=0,$B$9,""))</f>
        <v/>
      </c>
      <c r="C73" s="2" t="str">
        <f t="shared" ca="1" si="3"/>
        <v/>
      </c>
      <c r="D73" s="54" t="str">
        <f t="shared" ca="1" si="4"/>
        <v/>
      </c>
      <c r="E73" s="51" t="str">
        <f ca="1">IF(COUNTIF($V$2:V1058,A73)=1,VLOOKUP(A73,P:Q,2), IF(COUNTIF($V$2:V1058,A73)=0,$C$9,""))</f>
        <v/>
      </c>
      <c r="F73" s="2" t="str">
        <f t="shared" ca="1" si="5"/>
        <v/>
      </c>
      <c r="G73" s="54" t="str">
        <f t="shared" ca="1" si="6"/>
        <v/>
      </c>
      <c r="H73" s="51" t="str">
        <f ca="1">IF(COUNTIF($V$2:V1058,A73)=1,VLOOKUP(A73,R:S,2), IF(COUNTIF($V$2:V1058,A73)=0,$D$9,""))</f>
        <v/>
      </c>
      <c r="I73" s="2" t="str">
        <f t="shared" ca="1" si="7"/>
        <v/>
      </c>
      <c r="J73" s="54" t="str">
        <f t="shared" ca="1" si="8"/>
        <v/>
      </c>
      <c r="K73" s="52"/>
      <c r="L73" s="55" t="str">
        <f ca="1">IF(ISERROR(B73-2),"",C73+D73-F73-G73+I73+J73-SUM($K$14:K73))</f>
        <v/>
      </c>
      <c r="N73" s="4">
        <v>46030.625</v>
      </c>
      <c r="O73" s="5">
        <v>49.271999999999998</v>
      </c>
      <c r="P73" s="4">
        <v>45985.625</v>
      </c>
      <c r="Q73" s="5">
        <v>84.24</v>
      </c>
      <c r="T73" s="4">
        <f t="shared" si="10"/>
        <v>46030.625</v>
      </c>
      <c r="U73" s="4" t="str">
        <f t="shared" si="9"/>
        <v/>
      </c>
      <c r="Z73" s="56"/>
      <c r="AH73" s="12"/>
    </row>
    <row r="74" spans="1:34" x14ac:dyDescent="0.25">
      <c r="A74" s="50" t="str">
        <f t="shared" ca="1" si="2"/>
        <v/>
      </c>
      <c r="B74" s="51" t="str">
        <f ca="1">IF(COUNTIF($V$2:V1059,A74)=1,VLOOKUP(A74,N:O,2), IF(COUNTIF($V$2:V1059,A74)=0,$B$9,""))</f>
        <v/>
      </c>
      <c r="C74" s="2" t="str">
        <f t="shared" ca="1" si="3"/>
        <v/>
      </c>
      <c r="D74" s="54" t="str">
        <f t="shared" ca="1" si="4"/>
        <v/>
      </c>
      <c r="E74" s="51" t="str">
        <f ca="1">IF(COUNTIF($V$2:V1059,A74)=1,VLOOKUP(A74,P:Q,2), IF(COUNTIF($V$2:V1059,A74)=0,$C$9,""))</f>
        <v/>
      </c>
      <c r="F74" s="2" t="str">
        <f t="shared" ca="1" si="5"/>
        <v/>
      </c>
      <c r="G74" s="54" t="str">
        <f t="shared" ca="1" si="6"/>
        <v/>
      </c>
      <c r="H74" s="51" t="str">
        <f ca="1">IF(COUNTIF($V$2:V1059,A74)=1,VLOOKUP(A74,R:S,2), IF(COUNTIF($V$2:V1059,A74)=0,$D$9,""))</f>
        <v/>
      </c>
      <c r="I74" s="2" t="str">
        <f t="shared" ca="1" si="7"/>
        <v/>
      </c>
      <c r="J74" s="54" t="str">
        <f t="shared" ca="1" si="8"/>
        <v/>
      </c>
      <c r="K74" s="52"/>
      <c r="L74" s="55" t="str">
        <f ca="1">IF(ISERROR(B74-2),"",C74+D74-F74-G74+I74+J74-SUM($K$14:K74))</f>
        <v/>
      </c>
      <c r="N74" s="4">
        <v>46031.625</v>
      </c>
      <c r="O74" s="5">
        <v>49.093000000000004</v>
      </c>
      <c r="P74" s="4">
        <v>45986.625</v>
      </c>
      <c r="Q74" s="5">
        <v>84.46</v>
      </c>
      <c r="T74" s="4">
        <f t="shared" si="10"/>
        <v>46031.625</v>
      </c>
      <c r="U74" s="4" t="str">
        <f t="shared" si="9"/>
        <v/>
      </c>
      <c r="Z74" s="56"/>
      <c r="AH74" s="12"/>
    </row>
    <row r="75" spans="1:34" x14ac:dyDescent="0.25">
      <c r="A75" s="50" t="str">
        <f t="shared" ca="1" si="2"/>
        <v/>
      </c>
      <c r="B75" s="51" t="str">
        <f ca="1">IF(COUNTIF($V$2:V1060,A75)=1,VLOOKUP(A75,N:O,2), IF(COUNTIF($V$2:V1060,A75)=0,$B$9,""))</f>
        <v/>
      </c>
      <c r="C75" s="2" t="str">
        <f t="shared" ca="1" si="3"/>
        <v/>
      </c>
      <c r="D75" s="54" t="str">
        <f t="shared" ca="1" si="4"/>
        <v/>
      </c>
      <c r="E75" s="51" t="str">
        <f ca="1">IF(COUNTIF($V$2:V1060,A75)=1,VLOOKUP(A75,P:Q,2), IF(COUNTIF($V$2:V1060,A75)=0,$C$9,""))</f>
        <v/>
      </c>
      <c r="F75" s="2" t="str">
        <f t="shared" ca="1" si="5"/>
        <v/>
      </c>
      <c r="G75" s="54" t="str">
        <f t="shared" ca="1" si="6"/>
        <v/>
      </c>
      <c r="H75" s="51" t="str">
        <f ca="1">IF(COUNTIF($V$2:V1060,A75)=1,VLOOKUP(A75,R:S,2), IF(COUNTIF($V$2:V1060,A75)=0,$D$9,""))</f>
        <v/>
      </c>
      <c r="I75" s="2" t="str">
        <f t="shared" ca="1" si="7"/>
        <v/>
      </c>
      <c r="J75" s="54" t="str">
        <f t="shared" ca="1" si="8"/>
        <v/>
      </c>
      <c r="K75" s="52"/>
      <c r="L75" s="55" t="str">
        <f ca="1">IF(ISERROR(B75-2),"",C75+D75-F75-G75+I75+J75-SUM($K$14:K75))</f>
        <v/>
      </c>
      <c r="N75" s="4">
        <v>46034.625</v>
      </c>
      <c r="O75" s="5">
        <v>48.982999999999997</v>
      </c>
      <c r="P75" s="4">
        <v>45987.625</v>
      </c>
      <c r="Q75" s="5">
        <v>84.62</v>
      </c>
      <c r="T75" s="4">
        <f t="shared" si="10"/>
        <v>46034.625</v>
      </c>
      <c r="U75" s="4" t="str">
        <f t="shared" si="9"/>
        <v/>
      </c>
      <c r="Z75" s="56"/>
      <c r="AH75" s="12"/>
    </row>
    <row r="76" spans="1:34" x14ac:dyDescent="0.25">
      <c r="A76" s="50" t="str">
        <f t="shared" ca="1" si="2"/>
        <v/>
      </c>
      <c r="B76" s="51" t="str">
        <f ca="1">IF(COUNTIF($V$2:V1061,A76)=1,VLOOKUP(A76,N:O,2), IF(COUNTIF($V$2:V1061,A76)=0,$B$9,""))</f>
        <v/>
      </c>
      <c r="C76" s="2" t="str">
        <f t="shared" ca="1" si="3"/>
        <v/>
      </c>
      <c r="D76" s="54" t="str">
        <f t="shared" ca="1" si="4"/>
        <v/>
      </c>
      <c r="E76" s="51" t="str">
        <f ca="1">IF(COUNTIF($V$2:V1061,A76)=1,VLOOKUP(A76,P:Q,2), IF(COUNTIF($V$2:V1061,A76)=0,$C$9,""))</f>
        <v/>
      </c>
      <c r="F76" s="2" t="str">
        <f t="shared" ca="1" si="5"/>
        <v/>
      </c>
      <c r="G76" s="54" t="str">
        <f t="shared" ca="1" si="6"/>
        <v/>
      </c>
      <c r="H76" s="51" t="str">
        <f ca="1">IF(COUNTIF($V$2:V1061,A76)=1,VLOOKUP(A76,R:S,2), IF(COUNTIF($V$2:V1061,A76)=0,$D$9,""))</f>
        <v/>
      </c>
      <c r="I76" s="2" t="str">
        <f t="shared" ca="1" si="7"/>
        <v/>
      </c>
      <c r="J76" s="54" t="str">
        <f t="shared" ca="1" si="8"/>
        <v/>
      </c>
      <c r="K76" s="52"/>
      <c r="L76" s="55" t="str">
        <f ca="1">IF(ISERROR(B76-2),"",C76+D76-F76-G76+I76+J76-SUM($K$14:K76))</f>
        <v/>
      </c>
      <c r="N76" s="4">
        <v>46035.625</v>
      </c>
      <c r="O76" s="5">
        <v>49.198999999999998</v>
      </c>
      <c r="P76" s="4">
        <v>45992.625</v>
      </c>
      <c r="Q76" s="5">
        <v>83.94</v>
      </c>
      <c r="T76" s="4">
        <f t="shared" si="10"/>
        <v>46035.625</v>
      </c>
      <c r="U76" s="4" t="str">
        <f t="shared" si="9"/>
        <v/>
      </c>
      <c r="Z76" s="56"/>
      <c r="AH76" s="12"/>
    </row>
    <row r="77" spans="1:34" x14ac:dyDescent="0.25">
      <c r="A77" s="50" t="str">
        <f t="shared" ca="1" si="2"/>
        <v/>
      </c>
      <c r="B77" s="51" t="str">
        <f ca="1">IF(COUNTIF($V$2:V1062,A77)=1,VLOOKUP(A77,N:O,2), IF(COUNTIF($V$2:V1062,A77)=0,$B$9,""))</f>
        <v/>
      </c>
      <c r="C77" s="2" t="str">
        <f t="shared" ca="1" si="3"/>
        <v/>
      </c>
      <c r="D77" s="54" t="str">
        <f t="shared" ca="1" si="4"/>
        <v/>
      </c>
      <c r="E77" s="51" t="str">
        <f ca="1">IF(COUNTIF($V$2:V1062,A77)=1,VLOOKUP(A77,P:Q,2), IF(COUNTIF($V$2:V1062,A77)=0,$C$9,""))</f>
        <v/>
      </c>
      <c r="F77" s="2" t="str">
        <f t="shared" ca="1" si="5"/>
        <v/>
      </c>
      <c r="G77" s="54" t="str">
        <f t="shared" ca="1" si="6"/>
        <v/>
      </c>
      <c r="H77" s="51" t="str">
        <f ca="1">IF(COUNTIF($V$2:V1062,A77)=1,VLOOKUP(A77,R:S,2), IF(COUNTIF($V$2:V1062,A77)=0,$D$9,""))</f>
        <v/>
      </c>
      <c r="I77" s="2" t="str">
        <f t="shared" ca="1" si="7"/>
        <v/>
      </c>
      <c r="J77" s="54" t="str">
        <f t="shared" ca="1" si="8"/>
        <v/>
      </c>
      <c r="K77" s="52"/>
      <c r="L77" s="55" t="str">
        <f ca="1">IF(ISERROR(B77-2),"",C77+D77-F77-G77+I77+J77-SUM($K$14:K77))</f>
        <v/>
      </c>
      <c r="N77" s="4">
        <v>46036.625</v>
      </c>
      <c r="O77" s="5">
        <v>49.423000000000002</v>
      </c>
      <c r="P77" s="4">
        <v>45993.625</v>
      </c>
      <c r="Q77" s="5">
        <v>84</v>
      </c>
      <c r="T77" s="4">
        <f t="shared" si="10"/>
        <v>46036.625</v>
      </c>
      <c r="U77" s="4" t="str">
        <f t="shared" si="9"/>
        <v/>
      </c>
      <c r="Z77" s="56"/>
      <c r="AH77" s="12"/>
    </row>
    <row r="78" spans="1:34" x14ac:dyDescent="0.25">
      <c r="A78" s="50" t="str">
        <f t="shared" ca="1" si="2"/>
        <v/>
      </c>
      <c r="B78" s="51" t="str">
        <f ca="1">IF(COUNTIF($V$2:V1063,A78)=1,VLOOKUP(A78,N:O,2), IF(COUNTIF($V$2:V1063,A78)=0,$B$9,""))</f>
        <v/>
      </c>
      <c r="C78" s="2" t="str">
        <f t="shared" ca="1" si="3"/>
        <v/>
      </c>
      <c r="D78" s="54" t="str">
        <f t="shared" ca="1" si="4"/>
        <v/>
      </c>
      <c r="E78" s="51" t="str">
        <f ca="1">IF(COUNTIF($V$2:V1063,A78)=1,VLOOKUP(A78,P:Q,2), IF(COUNTIF($V$2:V1063,A78)=0,$C$9,""))</f>
        <v/>
      </c>
      <c r="F78" s="2" t="str">
        <f t="shared" ca="1" si="5"/>
        <v/>
      </c>
      <c r="G78" s="54" t="str">
        <f t="shared" ca="1" si="6"/>
        <v/>
      </c>
      <c r="H78" s="51" t="str">
        <f ca="1">IF(COUNTIF($V$2:V1063,A78)=1,VLOOKUP(A78,R:S,2), IF(COUNTIF($V$2:V1063,A78)=0,$D$9,""))</f>
        <v/>
      </c>
      <c r="I78" s="2" t="str">
        <f t="shared" ca="1" si="7"/>
        <v/>
      </c>
      <c r="J78" s="54" t="str">
        <f t="shared" ca="1" si="8"/>
        <v/>
      </c>
      <c r="K78" s="52"/>
      <c r="L78" s="55" t="str">
        <f ca="1">IF(ISERROR(B78-2),"",C78+D78-F78-G78+I78+J78-SUM($K$14:K78))</f>
        <v/>
      </c>
      <c r="N78" s="4">
        <v>46037.625</v>
      </c>
      <c r="O78" s="5">
        <v>48.993000000000002</v>
      </c>
      <c r="P78" s="4">
        <v>45994.625</v>
      </c>
      <c r="Q78" s="5">
        <v>84.18</v>
      </c>
      <c r="T78" s="4">
        <f t="shared" si="10"/>
        <v>46037.625</v>
      </c>
      <c r="U78" s="4" t="str">
        <f t="shared" si="9"/>
        <v/>
      </c>
    </row>
    <row r="79" spans="1:34" x14ac:dyDescent="0.25">
      <c r="A79" s="50" t="str">
        <f t="shared" ca="1" si="2"/>
        <v/>
      </c>
      <c r="B79" s="51" t="str">
        <f ca="1">IF(COUNTIF($V$2:V1064,A79)=1,VLOOKUP(A79,N:O,2), IF(COUNTIF($V$2:V1064,A79)=0,$B$9,""))</f>
        <v/>
      </c>
      <c r="C79" s="2" t="str">
        <f t="shared" ca="1" si="3"/>
        <v/>
      </c>
      <c r="D79" s="54" t="str">
        <f t="shared" ca="1" si="4"/>
        <v/>
      </c>
      <c r="E79" s="51" t="str">
        <f ca="1">IF(COUNTIF($V$2:V1064,A79)=1,VLOOKUP(A79,P:Q,2), IF(COUNTIF($V$2:V1064,A79)=0,$C$9,""))</f>
        <v/>
      </c>
      <c r="F79" s="2" t="str">
        <f t="shared" ca="1" si="5"/>
        <v/>
      </c>
      <c r="G79" s="54" t="str">
        <f t="shared" ca="1" si="6"/>
        <v/>
      </c>
      <c r="H79" s="51" t="str">
        <f ca="1">IF(COUNTIF($V$2:V1064,A79)=1,VLOOKUP(A79,R:S,2), IF(COUNTIF($V$2:V1064,A79)=0,$D$9,""))</f>
        <v/>
      </c>
      <c r="I79" s="2" t="str">
        <f t="shared" ca="1" si="7"/>
        <v/>
      </c>
      <c r="J79" s="54" t="str">
        <f t="shared" ca="1" si="8"/>
        <v/>
      </c>
      <c r="K79" s="52"/>
      <c r="L79" s="55" t="str">
        <f ca="1">IF(ISERROR(B79-2),"",C79+D79-F79-G79+I79+J79-SUM($K$14:K79))</f>
        <v/>
      </c>
      <c r="N79" s="4">
        <v>46038.625</v>
      </c>
      <c r="O79" s="5">
        <v>48.69</v>
      </c>
      <c r="P79" s="4">
        <v>45995.625</v>
      </c>
      <c r="Q79" s="5">
        <v>84.02</v>
      </c>
      <c r="T79" s="4">
        <f t="shared" si="10"/>
        <v>46038.625</v>
      </c>
      <c r="U79" s="4">
        <f t="shared" si="9"/>
        <v>46038.625</v>
      </c>
    </row>
    <row r="80" spans="1:34" x14ac:dyDescent="0.25">
      <c r="A80" s="50" t="str">
        <f t="shared" ref="A80:A124" ca="1" si="11">IF(AND(ISBLANK(V69), A79 = $V$1),NOW(),IF(ISBLANK(V69),"",V69))</f>
        <v/>
      </c>
      <c r="B80" s="51" t="str">
        <f ca="1">IF(COUNTIF($V$2:V1065,A80)=1,VLOOKUP(A80,N:O,2), IF(COUNTIF($V$2:V1065,A80)=0,$B$9,""))</f>
        <v/>
      </c>
      <c r="C80" s="2" t="str">
        <f t="shared" ref="C80:C124" ca="1" si="12">IF(ISERROR(B80-2),"",-1*(B80-$B$14)*10^(-4)*$B$8*$B$5)</f>
        <v/>
      </c>
      <c r="D80" s="54" t="str">
        <f t="shared" ref="D80:D124" ca="1" si="13">IF(ISERROR(B80-2),"",(INT(A80)-INT($A$14))/360*$B$5*$B$6)</f>
        <v/>
      </c>
      <c r="E80" s="51" t="str">
        <f ca="1">IF(COUNTIF($V$2:V1065,A80)=1,VLOOKUP(A80,P:Q,2), IF(COUNTIF($V$2:V1065,A80)=0,$C$9,""))</f>
        <v/>
      </c>
      <c r="F80" s="2" t="str">
        <f t="shared" ref="F80:F124" ca="1" si="14">IF(ISERROR(B80-2),"",(E80/$E$14-1)*$C$5)</f>
        <v/>
      </c>
      <c r="G80" s="54" t="str">
        <f t="shared" ref="G80:G124" ca="1" si="15">IF(ISERROR(B80-2),"",(INT(A80)-INT($A$14))/360*$C$6*$C$5-(INT(A80)-INT($A$14))/360*$C$7*$C$5)</f>
        <v/>
      </c>
      <c r="H80" s="51" t="str">
        <f ca="1">IF(COUNTIF($V$2:V1065,A80)=1,VLOOKUP(A80,R:S,2), IF(COUNTIF($V$2:V1065,A80)=0,$D$9,""))</f>
        <v/>
      </c>
      <c r="I80" s="2" t="str">
        <f t="shared" ref="I80:I124" ca="1" si="16">IF(ISERROR(B80-2),"",(H80-$H$14)/100*$D$5)</f>
        <v/>
      </c>
      <c r="J80" s="54" t="str">
        <f t="shared" ref="J80:J124" ca="1" si="17">IF(ISERROR(B80-2),"",(INT(A80)-INT($A$14))/360*$D$6*$D$5 - (INT(A80)-INT($A$14))/360*$D$7*$D$5*$H$14/100)</f>
        <v/>
      </c>
      <c r="K80" s="52"/>
      <c r="L80" s="55" t="str">
        <f ca="1">IF(ISERROR(B80-2),"",C80+D80-F80-G80+I80+J80-SUM($K$14:K80))</f>
        <v/>
      </c>
      <c r="N80" s="4">
        <v>46042.625</v>
      </c>
      <c r="O80" s="5">
        <v>50.305</v>
      </c>
      <c r="P80" s="4">
        <v>45996.625</v>
      </c>
      <c r="Q80" s="5">
        <v>83.94</v>
      </c>
      <c r="T80" s="4">
        <f t="shared" si="10"/>
        <v>46042.625</v>
      </c>
      <c r="U80" s="4">
        <f t="shared" si="9"/>
        <v>46042.625</v>
      </c>
    </row>
    <row r="81" spans="1:21" x14ac:dyDescent="0.25">
      <c r="A81" s="50" t="str">
        <f t="shared" ca="1" si="11"/>
        <v/>
      </c>
      <c r="B81" s="51" t="str">
        <f ca="1">IF(COUNTIF($V$2:V1066,A81)=1,VLOOKUP(A81,N:O,2), IF(COUNTIF($V$2:V1066,A81)=0,$B$9,""))</f>
        <v/>
      </c>
      <c r="C81" s="2" t="str">
        <f t="shared" ca="1" si="12"/>
        <v/>
      </c>
      <c r="D81" s="54" t="str">
        <f t="shared" ca="1" si="13"/>
        <v/>
      </c>
      <c r="E81" s="51" t="str">
        <f ca="1">IF(COUNTIF($V$2:V1066,A81)=1,VLOOKUP(A81,P:Q,2), IF(COUNTIF($V$2:V1066,A81)=0,$C$9,""))</f>
        <v/>
      </c>
      <c r="F81" s="2" t="str">
        <f t="shared" ca="1" si="14"/>
        <v/>
      </c>
      <c r="G81" s="54" t="str">
        <f t="shared" ca="1" si="15"/>
        <v/>
      </c>
      <c r="H81" s="51" t="str">
        <f ca="1">IF(COUNTIF($V$2:V1066,A81)=1,VLOOKUP(A81,R:S,2), IF(COUNTIF($V$2:V1066,A81)=0,$D$9,""))</f>
        <v/>
      </c>
      <c r="I81" s="2" t="str">
        <f t="shared" ca="1" si="16"/>
        <v/>
      </c>
      <c r="J81" s="54" t="str">
        <f t="shared" ca="1" si="17"/>
        <v/>
      </c>
      <c r="K81" s="52"/>
      <c r="L81" s="55" t="str">
        <f ca="1">IF(ISERROR(B81-2),"",C81+D81-F81-G81+I81+J81-SUM($K$14:K81))</f>
        <v/>
      </c>
      <c r="N81" s="4">
        <v>46043.625</v>
      </c>
      <c r="O81" s="5">
        <v>48.877000000000002</v>
      </c>
      <c r="P81" s="4">
        <v>45999.625</v>
      </c>
      <c r="Q81" s="5">
        <v>83.82</v>
      </c>
      <c r="T81" s="4">
        <f t="shared" si="10"/>
        <v>46043.625</v>
      </c>
      <c r="U81" s="4">
        <f t="shared" si="9"/>
        <v>46043.625</v>
      </c>
    </row>
    <row r="82" spans="1:21" x14ac:dyDescent="0.25">
      <c r="A82" s="50" t="str">
        <f t="shared" ca="1" si="11"/>
        <v/>
      </c>
      <c r="B82" s="51" t="str">
        <f ca="1">IF(COUNTIF($V$2:V1067,A82)=1,VLOOKUP(A82,N:O,2), IF(COUNTIF($V$2:V1067,A82)=0,$B$9,""))</f>
        <v/>
      </c>
      <c r="C82" s="2" t="str">
        <f t="shared" ca="1" si="12"/>
        <v/>
      </c>
      <c r="D82" s="54" t="str">
        <f t="shared" ca="1" si="13"/>
        <v/>
      </c>
      <c r="E82" s="51" t="str">
        <f ca="1">IF(COUNTIF($V$2:V1067,A82)=1,VLOOKUP(A82,P:Q,2), IF(COUNTIF($V$2:V1067,A82)=0,$C$9,""))</f>
        <v/>
      </c>
      <c r="F82" s="2" t="str">
        <f t="shared" ca="1" si="14"/>
        <v/>
      </c>
      <c r="G82" s="54" t="str">
        <f t="shared" ca="1" si="15"/>
        <v/>
      </c>
      <c r="H82" s="51" t="str">
        <f ca="1">IF(COUNTIF($V$2:V1067,A82)=1,VLOOKUP(A82,R:S,2), IF(COUNTIF($V$2:V1067,A82)=0,$D$9,""))</f>
        <v/>
      </c>
      <c r="I82" s="2" t="str">
        <f t="shared" ca="1" si="16"/>
        <v/>
      </c>
      <c r="J82" s="54" t="str">
        <f t="shared" ca="1" si="17"/>
        <v/>
      </c>
      <c r="K82" s="52"/>
      <c r="L82" s="55" t="str">
        <f ca="1">IF(ISERROR(B82-2),"",C82+D82-F82-G82+I82+J82-SUM($K$14:K82))</f>
        <v/>
      </c>
      <c r="N82" s="4">
        <v>46044.625</v>
      </c>
      <c r="O82" s="5">
        <v>48.487000000000002</v>
      </c>
      <c r="P82" s="4">
        <v>46000.625</v>
      </c>
      <c r="Q82" s="5">
        <v>83.7</v>
      </c>
      <c r="T82" s="4">
        <f t="shared" si="10"/>
        <v>46044.625</v>
      </c>
      <c r="U82" s="4">
        <f t="shared" si="9"/>
        <v>46044.625</v>
      </c>
    </row>
    <row r="83" spans="1:21" x14ac:dyDescent="0.25">
      <c r="A83" s="50" t="str">
        <f t="shared" ca="1" si="11"/>
        <v/>
      </c>
      <c r="B83" s="51" t="str">
        <f ca="1">IF(COUNTIF($V$2:V1068,A83)=1,VLOOKUP(A83,N:O,2), IF(COUNTIF($V$2:V1068,A83)=0,$B$9,""))</f>
        <v/>
      </c>
      <c r="C83" s="2" t="str">
        <f t="shared" ca="1" si="12"/>
        <v/>
      </c>
      <c r="D83" s="54" t="str">
        <f t="shared" ca="1" si="13"/>
        <v/>
      </c>
      <c r="E83" s="51" t="str">
        <f ca="1">IF(COUNTIF($V$2:V1068,A83)=1,VLOOKUP(A83,P:Q,2), IF(COUNTIF($V$2:V1068,A83)=0,$C$9,""))</f>
        <v/>
      </c>
      <c r="F83" s="2" t="str">
        <f t="shared" ca="1" si="14"/>
        <v/>
      </c>
      <c r="G83" s="54" t="str">
        <f t="shared" ca="1" si="15"/>
        <v/>
      </c>
      <c r="H83" s="51" t="str">
        <f ca="1">IF(COUNTIF($V$2:V1068,A83)=1,VLOOKUP(A83,R:S,2), IF(COUNTIF($V$2:V1068,A83)=0,$D$9,""))</f>
        <v/>
      </c>
      <c r="I83" s="2" t="str">
        <f t="shared" ca="1" si="16"/>
        <v/>
      </c>
      <c r="J83" s="54" t="str">
        <f t="shared" ca="1" si="17"/>
        <v/>
      </c>
      <c r="K83" s="52"/>
      <c r="L83" s="55" t="str">
        <f ca="1">IF(ISERROR(B83-2),"",C83+D83-F83-G83+I83+J83-SUM($K$14:K83))</f>
        <v/>
      </c>
      <c r="N83" s="4">
        <v>46045.625</v>
      </c>
      <c r="O83" s="5">
        <v>48.872999999999998</v>
      </c>
      <c r="P83" s="4">
        <v>46001.625</v>
      </c>
      <c r="Q83" s="5">
        <v>84.01</v>
      </c>
      <c r="T83" s="4">
        <f t="shared" si="10"/>
        <v>46045.625</v>
      </c>
      <c r="U83" s="4">
        <f t="shared" si="9"/>
        <v>46045.625</v>
      </c>
    </row>
    <row r="84" spans="1:21" x14ac:dyDescent="0.25">
      <c r="A84" s="50" t="str">
        <f t="shared" ca="1" si="11"/>
        <v/>
      </c>
      <c r="B84" s="51" t="str">
        <f ca="1">IF(COUNTIF($V$2:V1069,A84)=1,VLOOKUP(A84,N:O,2), IF(COUNTIF($V$2:V1069,A84)=0,$B$9,""))</f>
        <v/>
      </c>
      <c r="C84" s="2" t="str">
        <f t="shared" ca="1" si="12"/>
        <v/>
      </c>
      <c r="D84" s="54" t="str">
        <f t="shared" ca="1" si="13"/>
        <v/>
      </c>
      <c r="E84" s="51" t="str">
        <f ca="1">IF(COUNTIF($V$2:V1069,A84)=1,VLOOKUP(A84,P:Q,2), IF(COUNTIF($V$2:V1069,A84)=0,$C$9,""))</f>
        <v/>
      </c>
      <c r="F84" s="2" t="str">
        <f t="shared" ca="1" si="14"/>
        <v/>
      </c>
      <c r="G84" s="54" t="str">
        <f t="shared" ca="1" si="15"/>
        <v/>
      </c>
      <c r="H84" s="51" t="str">
        <f ca="1">IF(COUNTIF($V$2:V1069,A84)=1,VLOOKUP(A84,R:S,2), IF(COUNTIF($V$2:V1069,A84)=0,$D$9,""))</f>
        <v/>
      </c>
      <c r="I84" s="2" t="str">
        <f t="shared" ca="1" si="16"/>
        <v/>
      </c>
      <c r="J84" s="54" t="str">
        <f t="shared" ca="1" si="17"/>
        <v/>
      </c>
      <c r="K84" s="52"/>
      <c r="L84" s="55" t="str">
        <f ca="1">IF(ISERROR(B84-2),"",C84+D84-F84-G84+I84+J84-SUM($K$14:K84))</f>
        <v/>
      </c>
      <c r="N84" s="4">
        <v>46048.625</v>
      </c>
      <c r="O84" s="5">
        <v>48.905999999999999</v>
      </c>
      <c r="P84" s="4">
        <v>46002.625</v>
      </c>
      <c r="Q84" s="5">
        <v>84.01</v>
      </c>
      <c r="T84" s="4">
        <f t="shared" si="10"/>
        <v>46048.625</v>
      </c>
      <c r="U84" s="4">
        <f t="shared" si="9"/>
        <v>46048.625</v>
      </c>
    </row>
    <row r="85" spans="1:21" x14ac:dyDescent="0.25">
      <c r="A85" s="50" t="str">
        <f t="shared" ca="1" si="11"/>
        <v/>
      </c>
      <c r="B85" s="51" t="str">
        <f ca="1">IF(COUNTIF($V$2:V1070,A85)=1,VLOOKUP(A85,N:O,2), IF(COUNTIF($V$2:V1070,A85)=0,$B$9,""))</f>
        <v/>
      </c>
      <c r="C85" s="2" t="str">
        <f t="shared" ca="1" si="12"/>
        <v/>
      </c>
      <c r="D85" s="54" t="str">
        <f t="shared" ca="1" si="13"/>
        <v/>
      </c>
      <c r="E85" s="51" t="str">
        <f ca="1">IF(COUNTIF($V$2:V1070,A85)=1,VLOOKUP(A85,P:Q,2), IF(COUNTIF($V$2:V1070,A85)=0,$C$9,""))</f>
        <v/>
      </c>
      <c r="F85" s="2" t="str">
        <f t="shared" ca="1" si="14"/>
        <v/>
      </c>
      <c r="G85" s="54" t="str">
        <f t="shared" ca="1" si="15"/>
        <v/>
      </c>
      <c r="H85" s="51" t="str">
        <f ca="1">IF(COUNTIF($V$2:V1070,A85)=1,VLOOKUP(A85,R:S,2), IF(COUNTIF($V$2:V1070,A85)=0,$D$9,""))</f>
        <v/>
      </c>
      <c r="I85" s="2" t="str">
        <f t="shared" ca="1" si="16"/>
        <v/>
      </c>
      <c r="J85" s="54" t="str">
        <f t="shared" ca="1" si="17"/>
        <v/>
      </c>
      <c r="K85" s="52"/>
      <c r="L85" s="55" t="str">
        <f ca="1">IF(ISERROR(B85-2),"",C85+D85-F85-G85+I85+J85-SUM($K$14:K85))</f>
        <v/>
      </c>
      <c r="N85" s="4">
        <v>46049.625</v>
      </c>
      <c r="O85" s="5">
        <v>49.045999999999999</v>
      </c>
      <c r="P85" s="4">
        <v>46003.625</v>
      </c>
      <c r="Q85" s="5">
        <v>83.69</v>
      </c>
      <c r="T85" s="4">
        <f t="shared" si="10"/>
        <v>46049.625</v>
      </c>
      <c r="U85" s="4">
        <f t="shared" si="9"/>
        <v>46049.625</v>
      </c>
    </row>
    <row r="86" spans="1:21" x14ac:dyDescent="0.25">
      <c r="A86" s="50" t="str">
        <f t="shared" ca="1" si="11"/>
        <v/>
      </c>
      <c r="B86" s="51" t="str">
        <f ca="1">IF(COUNTIF($V$2:V1071,A86)=1,VLOOKUP(A86,N:O,2), IF(COUNTIF($V$2:V1071,A86)=0,$B$9,""))</f>
        <v/>
      </c>
      <c r="C86" s="2" t="str">
        <f t="shared" ca="1" si="12"/>
        <v/>
      </c>
      <c r="D86" s="54" t="str">
        <f t="shared" ca="1" si="13"/>
        <v/>
      </c>
      <c r="E86" s="51" t="str">
        <f ca="1">IF(COUNTIF($V$2:V1071,A86)=1,VLOOKUP(A86,P:Q,2), IF(COUNTIF($V$2:V1071,A86)=0,$C$9,""))</f>
        <v/>
      </c>
      <c r="F86" s="2" t="str">
        <f t="shared" ca="1" si="14"/>
        <v/>
      </c>
      <c r="G86" s="54" t="str">
        <f t="shared" ca="1" si="15"/>
        <v/>
      </c>
      <c r="H86" s="51" t="str">
        <f ca="1">IF(COUNTIF($V$2:V1071,A86)=1,VLOOKUP(A86,R:S,2), IF(COUNTIF($V$2:V1071,A86)=0,$D$9,""))</f>
        <v/>
      </c>
      <c r="I86" s="2" t="str">
        <f t="shared" ca="1" si="16"/>
        <v/>
      </c>
      <c r="J86" s="54" t="str">
        <f t="shared" ca="1" si="17"/>
        <v/>
      </c>
      <c r="K86" s="52"/>
      <c r="L86" s="55" t="str">
        <f ca="1">IF(ISERROR(B86-2),"",C86+D86-F86-G86+I86+J86-SUM($K$14:K86))</f>
        <v/>
      </c>
      <c r="N86" s="4">
        <v>46050.625</v>
      </c>
      <c r="O86" s="5">
        <v>48.957999999999998</v>
      </c>
      <c r="P86" s="4">
        <v>46006.625</v>
      </c>
      <c r="Q86" s="5">
        <v>83.79</v>
      </c>
      <c r="T86" s="4">
        <f t="shared" si="10"/>
        <v>46050.625</v>
      </c>
      <c r="U86" s="4">
        <f t="shared" si="9"/>
        <v>46050.625</v>
      </c>
    </row>
    <row r="87" spans="1:21" x14ac:dyDescent="0.25">
      <c r="A87" s="50" t="str">
        <f t="shared" ca="1" si="11"/>
        <v/>
      </c>
      <c r="B87" s="51" t="str">
        <f ca="1">IF(COUNTIF($V$2:V1072,A87)=1,VLOOKUP(A87,N:O,2), IF(COUNTIF($V$2:V1072,A87)=0,$B$9,""))</f>
        <v/>
      </c>
      <c r="C87" s="2" t="str">
        <f t="shared" ca="1" si="12"/>
        <v/>
      </c>
      <c r="D87" s="54" t="str">
        <f t="shared" ca="1" si="13"/>
        <v/>
      </c>
      <c r="E87" s="51" t="str">
        <f ca="1">IF(COUNTIF($V$2:V1072,A87)=1,VLOOKUP(A87,P:Q,2), IF(COUNTIF($V$2:V1072,A87)=0,$C$9,""))</f>
        <v/>
      </c>
      <c r="F87" s="2" t="str">
        <f t="shared" ca="1" si="14"/>
        <v/>
      </c>
      <c r="G87" s="54" t="str">
        <f t="shared" ca="1" si="15"/>
        <v/>
      </c>
      <c r="H87" s="51" t="str">
        <f ca="1">IF(COUNTIF($V$2:V1072,A87)=1,VLOOKUP(A87,R:S,2), IF(COUNTIF($V$2:V1072,A87)=0,$D$9,""))</f>
        <v/>
      </c>
      <c r="I87" s="2" t="str">
        <f t="shared" ca="1" si="16"/>
        <v/>
      </c>
      <c r="J87" s="54" t="str">
        <f t="shared" ca="1" si="17"/>
        <v/>
      </c>
      <c r="K87" s="52"/>
      <c r="L87" s="55" t="str">
        <f ca="1">IF(ISERROR(B87-2),"",C87+D87-F87-G87+I87+J87-SUM($K$14:K87))</f>
        <v/>
      </c>
      <c r="N87" s="4">
        <v>46051.625</v>
      </c>
      <c r="O87" s="5">
        <v>49.212000000000003</v>
      </c>
      <c r="P87" s="4">
        <v>46007.625</v>
      </c>
      <c r="Q87" s="5">
        <v>83.91</v>
      </c>
      <c r="T87" s="4">
        <f t="shared" si="10"/>
        <v>46051.625</v>
      </c>
      <c r="U87" s="4">
        <f t="shared" si="9"/>
        <v>46051.625</v>
      </c>
    </row>
    <row r="88" spans="1:21" x14ac:dyDescent="0.25">
      <c r="A88" s="50" t="str">
        <f t="shared" ca="1" si="11"/>
        <v/>
      </c>
      <c r="B88" s="51" t="str">
        <f ca="1">IF(COUNTIF($V$2:V1073,A88)=1,VLOOKUP(A88,N:O,2), IF(COUNTIF($V$2:V1073,A88)=0,$B$9,""))</f>
        <v/>
      </c>
      <c r="C88" s="2" t="str">
        <f t="shared" ca="1" si="12"/>
        <v/>
      </c>
      <c r="D88" s="54" t="str">
        <f t="shared" ca="1" si="13"/>
        <v/>
      </c>
      <c r="E88" s="51" t="str">
        <f ca="1">IF(COUNTIF($V$2:V1073,A88)=1,VLOOKUP(A88,P:Q,2), IF(COUNTIF($V$2:V1073,A88)=0,$C$9,""))</f>
        <v/>
      </c>
      <c r="F88" s="2" t="str">
        <f t="shared" ca="1" si="14"/>
        <v/>
      </c>
      <c r="G88" s="54" t="str">
        <f t="shared" ca="1" si="15"/>
        <v/>
      </c>
      <c r="H88" s="51" t="str">
        <f ca="1">IF(COUNTIF($V$2:V1073,A88)=1,VLOOKUP(A88,R:S,2), IF(COUNTIF($V$2:V1073,A88)=0,$D$9,""))</f>
        <v/>
      </c>
      <c r="I88" s="2" t="str">
        <f t="shared" ca="1" si="16"/>
        <v/>
      </c>
      <c r="J88" s="54" t="str">
        <f t="shared" ca="1" si="17"/>
        <v/>
      </c>
      <c r="K88" s="52"/>
      <c r="L88" s="55" t="str">
        <f ca="1">IF(ISERROR(B88-2),"",C88+D88-F88-G88+I88+J88-SUM($K$14:K88))</f>
        <v/>
      </c>
      <c r="N88" s="4">
        <v>46052.625</v>
      </c>
      <c r="O88" s="5">
        <v>49.435000000000002</v>
      </c>
      <c r="P88" s="4">
        <v>46008.625</v>
      </c>
      <c r="Q88" s="5">
        <v>83.88</v>
      </c>
      <c r="T88" s="4">
        <f t="shared" si="10"/>
        <v>46052.625</v>
      </c>
      <c r="U88" s="4">
        <f t="shared" si="9"/>
        <v>46052.625</v>
      </c>
    </row>
    <row r="89" spans="1:21" x14ac:dyDescent="0.25">
      <c r="A89" s="50" t="str">
        <f t="shared" ca="1" si="11"/>
        <v/>
      </c>
      <c r="B89" s="51" t="str">
        <f ca="1">IF(COUNTIF($V$2:V1074,A89)=1,VLOOKUP(A89,N:O,2), IF(COUNTIF($V$2:V1074,A89)=0,$B$9,""))</f>
        <v/>
      </c>
      <c r="C89" s="2" t="str">
        <f t="shared" ca="1" si="12"/>
        <v/>
      </c>
      <c r="D89" s="54" t="str">
        <f t="shared" ca="1" si="13"/>
        <v/>
      </c>
      <c r="E89" s="51" t="str">
        <f ca="1">IF(COUNTIF($V$2:V1074,A89)=1,VLOOKUP(A89,P:Q,2), IF(COUNTIF($V$2:V1074,A89)=0,$C$9,""))</f>
        <v/>
      </c>
      <c r="F89" s="2" t="str">
        <f t="shared" ca="1" si="14"/>
        <v/>
      </c>
      <c r="G89" s="54" t="str">
        <f t="shared" ca="1" si="15"/>
        <v/>
      </c>
      <c r="H89" s="51" t="str">
        <f ca="1">IF(COUNTIF($V$2:V1074,A89)=1,VLOOKUP(A89,R:S,2), IF(COUNTIF($V$2:V1074,A89)=0,$D$9,""))</f>
        <v/>
      </c>
      <c r="I89" s="2" t="str">
        <f t="shared" ca="1" si="16"/>
        <v/>
      </c>
      <c r="J89" s="54" t="str">
        <f t="shared" ca="1" si="17"/>
        <v/>
      </c>
      <c r="K89" s="52"/>
      <c r="L89" s="55" t="str">
        <f ca="1">IF(ISERROR(B89-2),"",C89+D89-F89-G89+I89+J89-SUM($K$14:K89))</f>
        <v/>
      </c>
      <c r="N89" s="4">
        <v>46055.625</v>
      </c>
      <c r="O89" s="5">
        <v>48.841000000000001</v>
      </c>
      <c r="P89" s="4">
        <v>46009.625</v>
      </c>
      <c r="Q89" s="5">
        <v>83.78</v>
      </c>
      <c r="T89" s="4">
        <f t="shared" si="10"/>
        <v>46055.625</v>
      </c>
      <c r="U89" s="4">
        <f t="shared" si="9"/>
        <v>46055.625</v>
      </c>
    </row>
    <row r="90" spans="1:21" x14ac:dyDescent="0.25">
      <c r="A90" s="50" t="str">
        <f t="shared" ca="1" si="11"/>
        <v/>
      </c>
      <c r="B90" s="51" t="str">
        <f ca="1">IF(COUNTIF($V$2:V1075,A90)=1,VLOOKUP(A90,N:O,2), IF(COUNTIF($V$2:V1075,A90)=0,$B$9,""))</f>
        <v/>
      </c>
      <c r="C90" s="2" t="str">
        <f t="shared" ca="1" si="12"/>
        <v/>
      </c>
      <c r="D90" s="54" t="str">
        <f t="shared" ca="1" si="13"/>
        <v/>
      </c>
      <c r="E90" s="51" t="str">
        <f ca="1">IF(COUNTIF($V$2:V1075,A90)=1,VLOOKUP(A90,P:Q,2), IF(COUNTIF($V$2:V1075,A90)=0,$C$9,""))</f>
        <v/>
      </c>
      <c r="F90" s="2" t="str">
        <f t="shared" ca="1" si="14"/>
        <v/>
      </c>
      <c r="G90" s="54" t="str">
        <f t="shared" ca="1" si="15"/>
        <v/>
      </c>
      <c r="H90" s="51" t="str">
        <f ca="1">IF(COUNTIF($V$2:V1075,A90)=1,VLOOKUP(A90,R:S,2), IF(COUNTIF($V$2:V1075,A90)=0,$D$9,""))</f>
        <v/>
      </c>
      <c r="I90" s="2" t="str">
        <f t="shared" ca="1" si="16"/>
        <v/>
      </c>
      <c r="J90" s="54" t="str">
        <f t="shared" ca="1" si="17"/>
        <v/>
      </c>
      <c r="K90" s="52"/>
      <c r="L90" s="55" t="str">
        <f ca="1">IF(ISERROR(B90-2),"",C90+D90-F90-G90+I90+J90-SUM($K$14:K90))</f>
        <v/>
      </c>
      <c r="N90" s="4">
        <v>46056.625</v>
      </c>
      <c r="O90" s="5">
        <v>49.676000000000002</v>
      </c>
      <c r="P90" s="4">
        <v>46010.625</v>
      </c>
      <c r="Q90" s="5">
        <v>83.64</v>
      </c>
      <c r="T90" s="4">
        <f t="shared" si="10"/>
        <v>46056.625</v>
      </c>
      <c r="U90" s="4">
        <f t="shared" si="9"/>
        <v>46056.625</v>
      </c>
    </row>
    <row r="91" spans="1:21" x14ac:dyDescent="0.25">
      <c r="A91" s="50" t="str">
        <f t="shared" ca="1" si="11"/>
        <v/>
      </c>
      <c r="B91" s="51" t="str">
        <f ca="1">IF(COUNTIF($V$2:V1076,A91)=1,VLOOKUP(A91,N:O,2), IF(COUNTIF($V$2:V1076,A91)=0,$B$9,""))</f>
        <v/>
      </c>
      <c r="C91" s="2" t="str">
        <f t="shared" ca="1" si="12"/>
        <v/>
      </c>
      <c r="D91" s="54" t="str">
        <f t="shared" ca="1" si="13"/>
        <v/>
      </c>
      <c r="E91" s="51" t="str">
        <f ca="1">IF(COUNTIF($V$2:V1076,A91)=1,VLOOKUP(A91,P:Q,2), IF(COUNTIF($V$2:V1076,A91)=0,$C$9,""))</f>
        <v/>
      </c>
      <c r="F91" s="2" t="str">
        <f t="shared" ca="1" si="14"/>
        <v/>
      </c>
      <c r="G91" s="54" t="str">
        <f t="shared" ca="1" si="15"/>
        <v/>
      </c>
      <c r="H91" s="51" t="str">
        <f ca="1">IF(COUNTIF($V$2:V1076,A91)=1,VLOOKUP(A91,R:S,2), IF(COUNTIF($V$2:V1076,A91)=0,$D$9,""))</f>
        <v/>
      </c>
      <c r="I91" s="2" t="str">
        <f t="shared" ca="1" si="16"/>
        <v/>
      </c>
      <c r="J91" s="54" t="str">
        <f t="shared" ca="1" si="17"/>
        <v/>
      </c>
      <c r="K91" s="52"/>
      <c r="L91" s="55" t="str">
        <f ca="1">IF(ISERROR(B91-2),"",C91+D91-F91-G91+I91+J91-SUM($K$14:K91))</f>
        <v/>
      </c>
      <c r="N91" s="4">
        <v>46057.625</v>
      </c>
      <c r="O91" s="5">
        <v>50.027999999999999</v>
      </c>
      <c r="P91" s="4">
        <v>46013.625</v>
      </c>
      <c r="Q91" s="5">
        <v>83.62</v>
      </c>
      <c r="T91" s="4">
        <f t="shared" si="10"/>
        <v>46057.625</v>
      </c>
      <c r="U91" s="4">
        <f t="shared" si="9"/>
        <v>46057.625</v>
      </c>
    </row>
    <row r="92" spans="1:21" x14ac:dyDescent="0.25">
      <c r="A92" s="50" t="str">
        <f t="shared" ca="1" si="11"/>
        <v/>
      </c>
      <c r="B92" s="51" t="str">
        <f ca="1">IF(COUNTIF($V$2:V1077,A92)=1,VLOOKUP(A92,N:O,2), IF(COUNTIF($V$2:V1077,A92)=0,$B$9,""))</f>
        <v/>
      </c>
      <c r="C92" s="2" t="str">
        <f t="shared" ca="1" si="12"/>
        <v/>
      </c>
      <c r="D92" s="54" t="str">
        <f t="shared" ca="1" si="13"/>
        <v/>
      </c>
      <c r="E92" s="51" t="str">
        <f ca="1">IF(COUNTIF($V$2:V1077,A92)=1,VLOOKUP(A92,P:Q,2), IF(COUNTIF($V$2:V1077,A92)=0,$C$9,""))</f>
        <v/>
      </c>
      <c r="F92" s="2" t="str">
        <f t="shared" ca="1" si="14"/>
        <v/>
      </c>
      <c r="G92" s="54" t="str">
        <f t="shared" ca="1" si="15"/>
        <v/>
      </c>
      <c r="H92" s="51" t="str">
        <f ca="1">IF(COUNTIF($V$2:V1077,A92)=1,VLOOKUP(A92,R:S,2), IF(COUNTIF($V$2:V1077,A92)=0,$D$9,""))</f>
        <v/>
      </c>
      <c r="I92" s="2" t="str">
        <f t="shared" ca="1" si="16"/>
        <v/>
      </c>
      <c r="J92" s="54" t="str">
        <f t="shared" ca="1" si="17"/>
        <v/>
      </c>
      <c r="K92" s="52"/>
      <c r="L92" s="55" t="str">
        <f ca="1">IF(ISERROR(B92-2),"",C92+D92-F92-G92+I92+J92-SUM($K$14:K92))</f>
        <v/>
      </c>
      <c r="N92" s="4">
        <v>46058.625</v>
      </c>
      <c r="O92" s="5">
        <v>51.73</v>
      </c>
      <c r="P92" s="4">
        <v>46014.625</v>
      </c>
      <c r="Q92" s="5">
        <v>83.62</v>
      </c>
      <c r="T92" s="4">
        <f t="shared" si="10"/>
        <v>46058.625</v>
      </c>
      <c r="U92" s="4">
        <f t="shared" si="9"/>
        <v>46058.625</v>
      </c>
    </row>
    <row r="93" spans="1:21" x14ac:dyDescent="0.25">
      <c r="A93" s="50" t="str">
        <f t="shared" ca="1" si="11"/>
        <v/>
      </c>
      <c r="B93" s="51" t="str">
        <f ca="1">IF(COUNTIF($V$2:V1078,A93)=1,VLOOKUP(A93,N:O,2), IF(COUNTIF($V$2:V1078,A93)=0,$B$9,""))</f>
        <v/>
      </c>
      <c r="C93" s="2" t="str">
        <f t="shared" ca="1" si="12"/>
        <v/>
      </c>
      <c r="D93" s="54" t="str">
        <f t="shared" ca="1" si="13"/>
        <v/>
      </c>
      <c r="E93" s="51" t="str">
        <f ca="1">IF(COUNTIF($V$2:V1078,A93)=1,VLOOKUP(A93,P:Q,2), IF(COUNTIF($V$2:V1078,A93)=0,$C$9,""))</f>
        <v/>
      </c>
      <c r="F93" s="2" t="str">
        <f t="shared" ca="1" si="14"/>
        <v/>
      </c>
      <c r="G93" s="54" t="str">
        <f t="shared" ca="1" si="15"/>
        <v/>
      </c>
      <c r="H93" s="51" t="str">
        <f ca="1">IF(COUNTIF($V$2:V1078,A93)=1,VLOOKUP(A93,R:S,2), IF(COUNTIF($V$2:V1078,A93)=0,$D$9,""))</f>
        <v/>
      </c>
      <c r="I93" s="2" t="str">
        <f t="shared" ca="1" si="16"/>
        <v/>
      </c>
      <c r="J93" s="54" t="str">
        <f t="shared" ca="1" si="17"/>
        <v/>
      </c>
      <c r="K93" s="52"/>
      <c r="L93" s="55" t="str">
        <f ca="1">IF(ISERROR(B93-2),"",C93+D93-F93-G93+I93+J93-SUM($K$14:K93))</f>
        <v/>
      </c>
      <c r="N93" s="4">
        <v>46059.625</v>
      </c>
      <c r="O93" s="5">
        <v>50.292999999999999</v>
      </c>
      <c r="P93" s="4">
        <v>46017.625</v>
      </c>
      <c r="Q93" s="5">
        <v>83.97</v>
      </c>
      <c r="T93" s="4">
        <f t="shared" si="10"/>
        <v>46059.625</v>
      </c>
      <c r="U93" s="4">
        <f t="shared" si="9"/>
        <v>46059.625</v>
      </c>
    </row>
    <row r="94" spans="1:21" x14ac:dyDescent="0.25">
      <c r="A94" s="50" t="str">
        <f t="shared" ca="1" si="11"/>
        <v/>
      </c>
      <c r="B94" s="51" t="str">
        <f ca="1">IF(COUNTIF($V$2:V1079,A94)=1,VLOOKUP(A94,N:O,2), IF(COUNTIF($V$2:V1079,A94)=0,$B$9,""))</f>
        <v/>
      </c>
      <c r="C94" s="2" t="str">
        <f t="shared" ca="1" si="12"/>
        <v/>
      </c>
      <c r="D94" s="54" t="str">
        <f t="shared" ca="1" si="13"/>
        <v/>
      </c>
      <c r="E94" s="51" t="str">
        <f ca="1">IF(COUNTIF($V$2:V1079,A94)=1,VLOOKUP(A94,P:Q,2), IF(COUNTIF($V$2:V1079,A94)=0,$C$9,""))</f>
        <v/>
      </c>
      <c r="F94" s="2" t="str">
        <f t="shared" ca="1" si="14"/>
        <v/>
      </c>
      <c r="G94" s="54" t="str">
        <f t="shared" ca="1" si="15"/>
        <v/>
      </c>
      <c r="H94" s="51" t="str">
        <f ca="1">IF(COUNTIF($V$2:V1079,A94)=1,VLOOKUP(A94,R:S,2), IF(COUNTIF($V$2:V1079,A94)=0,$D$9,""))</f>
        <v/>
      </c>
      <c r="I94" s="2" t="str">
        <f t="shared" ca="1" si="16"/>
        <v/>
      </c>
      <c r="J94" s="54" t="str">
        <f t="shared" ca="1" si="17"/>
        <v/>
      </c>
      <c r="K94" s="52"/>
      <c r="L94" s="55" t="str">
        <f ca="1">IF(ISERROR(B94-2),"",C94+D94-F94-G94+I94+J94-SUM($K$14:K94))</f>
        <v/>
      </c>
      <c r="N94" s="4">
        <v>46062.625</v>
      </c>
      <c r="O94" s="5">
        <v>49.923999999999999</v>
      </c>
      <c r="P94" s="4">
        <v>46020.625</v>
      </c>
      <c r="Q94" s="5">
        <v>84.06</v>
      </c>
      <c r="T94" s="4">
        <f t="shared" si="10"/>
        <v>46062.625</v>
      </c>
      <c r="U94" s="4">
        <f t="shared" si="9"/>
        <v>46062.625</v>
      </c>
    </row>
    <row r="95" spans="1:21" x14ac:dyDescent="0.25">
      <c r="A95" s="50" t="str">
        <f t="shared" ca="1" si="11"/>
        <v/>
      </c>
      <c r="B95" s="51" t="str">
        <f ca="1">IF(COUNTIF($V$2:V1080,A95)=1,VLOOKUP(A95,N:O,2), IF(COUNTIF($V$2:V1080,A95)=0,$B$9,""))</f>
        <v/>
      </c>
      <c r="C95" s="2" t="str">
        <f t="shared" ca="1" si="12"/>
        <v/>
      </c>
      <c r="D95" s="54" t="str">
        <f t="shared" ca="1" si="13"/>
        <v/>
      </c>
      <c r="E95" s="51" t="str">
        <f ca="1">IF(COUNTIF($V$2:V1080,A95)=1,VLOOKUP(A95,P:Q,2), IF(COUNTIF($V$2:V1080,A95)=0,$C$9,""))</f>
        <v/>
      </c>
      <c r="F95" s="2" t="str">
        <f t="shared" ca="1" si="14"/>
        <v/>
      </c>
      <c r="G95" s="54" t="str">
        <f t="shared" ca="1" si="15"/>
        <v/>
      </c>
      <c r="H95" s="51" t="str">
        <f ca="1">IF(COUNTIF($V$2:V1080,A95)=1,VLOOKUP(A95,R:S,2), IF(COUNTIF($V$2:V1080,A95)=0,$D$9,""))</f>
        <v/>
      </c>
      <c r="I95" s="2" t="str">
        <f t="shared" ca="1" si="16"/>
        <v/>
      </c>
      <c r="J95" s="54" t="str">
        <f t="shared" ca="1" si="17"/>
        <v/>
      </c>
      <c r="K95" s="52"/>
      <c r="L95" s="55" t="str">
        <f ca="1">IF(ISERROR(B95-2),"",C95+D95-F95-G95+I95+J95-SUM($K$14:K95))</f>
        <v/>
      </c>
      <c r="N95" s="4">
        <v>46063.625</v>
      </c>
      <c r="O95" s="5">
        <v>50.57</v>
      </c>
      <c r="P95" s="4">
        <v>46021.625</v>
      </c>
      <c r="Q95" s="5">
        <v>83.99</v>
      </c>
      <c r="T95" s="4">
        <f t="shared" si="10"/>
        <v>46063.625</v>
      </c>
      <c r="U95" s="4">
        <f t="shared" si="9"/>
        <v>46063.625</v>
      </c>
    </row>
    <row r="96" spans="1:21" x14ac:dyDescent="0.25">
      <c r="A96" s="50" t="str">
        <f t="shared" ca="1" si="11"/>
        <v/>
      </c>
      <c r="B96" s="51" t="str">
        <f ca="1">IF(COUNTIF($V$2:V1081,A96)=1,VLOOKUP(A96,N:O,2), IF(COUNTIF($V$2:V1081,A96)=0,$B$9,""))</f>
        <v/>
      </c>
      <c r="C96" s="2" t="str">
        <f t="shared" ca="1" si="12"/>
        <v/>
      </c>
      <c r="D96" s="54" t="str">
        <f t="shared" ca="1" si="13"/>
        <v/>
      </c>
      <c r="E96" s="51" t="str">
        <f ca="1">IF(COUNTIF($V$2:V1081,A96)=1,VLOOKUP(A96,P:Q,2), IF(COUNTIF($V$2:V1081,A96)=0,$C$9,""))</f>
        <v/>
      </c>
      <c r="F96" s="2" t="str">
        <f t="shared" ca="1" si="14"/>
        <v/>
      </c>
      <c r="G96" s="54" t="str">
        <f t="shared" ca="1" si="15"/>
        <v/>
      </c>
      <c r="H96" s="51" t="str">
        <f ca="1">IF(COUNTIF($V$2:V1081,A96)=1,VLOOKUP(A96,R:S,2), IF(COUNTIF($V$2:V1081,A96)=0,$D$9,""))</f>
        <v/>
      </c>
      <c r="I96" s="2" t="str">
        <f t="shared" ca="1" si="16"/>
        <v/>
      </c>
      <c r="J96" s="54" t="str">
        <f t="shared" ca="1" si="17"/>
        <v/>
      </c>
      <c r="K96" s="52"/>
      <c r="L96" s="55" t="str">
        <f ca="1">IF(ISERROR(B96-2),"",C96+D96-F96-G96+I96+J96-SUM($K$14:K96))</f>
        <v/>
      </c>
      <c r="N96" s="4">
        <v>46064.625</v>
      </c>
      <c r="O96" s="5">
        <v>50.381999999999998</v>
      </c>
      <c r="P96" s="4">
        <v>46022.625</v>
      </c>
      <c r="Q96" s="5">
        <v>83.75</v>
      </c>
      <c r="T96" s="4">
        <f t="shared" si="10"/>
        <v>46064.625</v>
      </c>
      <c r="U96" s="4">
        <f t="shared" si="9"/>
        <v>46064.625</v>
      </c>
    </row>
    <row r="97" spans="1:21" x14ac:dyDescent="0.25">
      <c r="A97" s="50" t="str">
        <f t="shared" ca="1" si="11"/>
        <v/>
      </c>
      <c r="B97" s="51" t="str">
        <f ca="1">IF(COUNTIF($V$2:V1082,A97)=1,VLOOKUP(A97,N:O,2), IF(COUNTIF($V$2:V1082,A97)=0,$B$9,""))</f>
        <v/>
      </c>
      <c r="C97" s="2" t="str">
        <f t="shared" ca="1" si="12"/>
        <v/>
      </c>
      <c r="D97" s="54" t="str">
        <f t="shared" ca="1" si="13"/>
        <v/>
      </c>
      <c r="E97" s="51" t="str">
        <f ca="1">IF(COUNTIF($V$2:V1082,A97)=1,VLOOKUP(A97,P:Q,2), IF(COUNTIF($V$2:V1082,A97)=0,$C$9,""))</f>
        <v/>
      </c>
      <c r="F97" s="2" t="str">
        <f t="shared" ca="1" si="14"/>
        <v/>
      </c>
      <c r="G97" s="54" t="str">
        <f t="shared" ca="1" si="15"/>
        <v/>
      </c>
      <c r="H97" s="51" t="str">
        <f ca="1">IF(COUNTIF($V$2:V1082,A97)=1,VLOOKUP(A97,R:S,2), IF(COUNTIF($V$2:V1082,A97)=0,$D$9,""))</f>
        <v/>
      </c>
      <c r="I97" s="2" t="str">
        <f t="shared" ca="1" si="16"/>
        <v/>
      </c>
      <c r="J97" s="54" t="str">
        <f t="shared" ca="1" si="17"/>
        <v/>
      </c>
      <c r="K97" s="52"/>
      <c r="L97" s="55" t="str">
        <f ca="1">IF(ISERROR(B97-2),"",C97+D97-F97-G97+I97+J97-SUM($K$14:K97))</f>
        <v/>
      </c>
      <c r="N97" s="4">
        <v>46065.625</v>
      </c>
      <c r="O97" s="5">
        <v>51.848999999999997</v>
      </c>
      <c r="P97" s="4">
        <v>46024.625</v>
      </c>
      <c r="Q97" s="5">
        <v>83.74</v>
      </c>
      <c r="T97" s="4">
        <f t="shared" si="10"/>
        <v>46065.625</v>
      </c>
      <c r="U97" s="4">
        <f t="shared" si="9"/>
        <v>46065.625</v>
      </c>
    </row>
    <row r="98" spans="1:21" x14ac:dyDescent="0.25">
      <c r="A98" s="50" t="str">
        <f t="shared" ca="1" si="11"/>
        <v/>
      </c>
      <c r="B98" s="51" t="str">
        <f ca="1">IF(COUNTIF($V$2:V1083,A98)=1,VLOOKUP(A98,N:O,2), IF(COUNTIF($V$2:V1083,A98)=0,$B$9,""))</f>
        <v/>
      </c>
      <c r="C98" s="2" t="str">
        <f t="shared" ca="1" si="12"/>
        <v/>
      </c>
      <c r="D98" s="54" t="str">
        <f t="shared" ca="1" si="13"/>
        <v/>
      </c>
      <c r="E98" s="51" t="str">
        <f ca="1">IF(COUNTIF($V$2:V1083,A98)=1,VLOOKUP(A98,P:Q,2), IF(COUNTIF($V$2:V1083,A98)=0,$C$9,""))</f>
        <v/>
      </c>
      <c r="F98" s="2" t="str">
        <f t="shared" ca="1" si="14"/>
        <v/>
      </c>
      <c r="G98" s="54" t="str">
        <f t="shared" ca="1" si="15"/>
        <v/>
      </c>
      <c r="H98" s="51" t="str">
        <f ca="1">IF(COUNTIF($V$2:V1083,A98)=1,VLOOKUP(A98,R:S,2), IF(COUNTIF($V$2:V1083,A98)=0,$D$9,""))</f>
        <v/>
      </c>
      <c r="I98" s="2" t="str">
        <f t="shared" ca="1" si="16"/>
        <v/>
      </c>
      <c r="J98" s="54" t="str">
        <f t="shared" ca="1" si="17"/>
        <v/>
      </c>
      <c r="K98" s="52"/>
      <c r="L98" s="55" t="str">
        <f ca="1">IF(ISERROR(B98-2),"",C98+D98-F98-G98+I98+J98-SUM($K$14:K98))</f>
        <v/>
      </c>
      <c r="N98" s="4">
        <v>46066.625</v>
      </c>
      <c r="O98" s="5">
        <v>52.088000000000001</v>
      </c>
      <c r="P98" s="4">
        <v>46027.625</v>
      </c>
      <c r="Q98" s="5">
        <v>83.92</v>
      </c>
      <c r="T98" s="4">
        <f t="shared" si="10"/>
        <v>46066.625</v>
      </c>
      <c r="U98" s="4">
        <f t="shared" si="9"/>
        <v>46066.625</v>
      </c>
    </row>
    <row r="99" spans="1:21" x14ac:dyDescent="0.25">
      <c r="A99" s="50" t="str">
        <f t="shared" ca="1" si="11"/>
        <v/>
      </c>
      <c r="B99" s="51" t="str">
        <f ca="1">IF(COUNTIF($V$2:V1084,A99)=1,VLOOKUP(A99,N:O,2), IF(COUNTIF($V$2:V1084,A99)=0,$B$9,""))</f>
        <v/>
      </c>
      <c r="C99" s="2" t="str">
        <f t="shared" ca="1" si="12"/>
        <v/>
      </c>
      <c r="D99" s="54" t="str">
        <f t="shared" ca="1" si="13"/>
        <v/>
      </c>
      <c r="E99" s="51" t="str">
        <f ca="1">IF(COUNTIF($V$2:V1084,A99)=1,VLOOKUP(A99,P:Q,2), IF(COUNTIF($V$2:V1084,A99)=0,$C$9,""))</f>
        <v/>
      </c>
      <c r="F99" s="2" t="str">
        <f t="shared" ca="1" si="14"/>
        <v/>
      </c>
      <c r="G99" s="54" t="str">
        <f t="shared" ca="1" si="15"/>
        <v/>
      </c>
      <c r="H99" s="51" t="str">
        <f ca="1">IF(COUNTIF($V$2:V1084,A99)=1,VLOOKUP(A99,R:S,2), IF(COUNTIF($V$2:V1084,A99)=0,$D$9,""))</f>
        <v/>
      </c>
      <c r="I99" s="2" t="str">
        <f t="shared" ca="1" si="16"/>
        <v/>
      </c>
      <c r="J99" s="54" t="str">
        <f t="shared" ca="1" si="17"/>
        <v/>
      </c>
      <c r="K99" s="52"/>
      <c r="L99" s="55" t="str">
        <f ca="1">IF(ISERROR(B99-2),"",C99+D99-F99-G99+I99+J99-SUM($K$14:K99))</f>
        <v/>
      </c>
      <c r="N99" s="4">
        <v>46070.625</v>
      </c>
      <c r="O99" s="5">
        <v>52.552999999999997</v>
      </c>
      <c r="P99" s="4">
        <v>46028.625</v>
      </c>
      <c r="Q99" s="5">
        <v>83.94</v>
      </c>
      <c r="T99" s="4">
        <f t="shared" si="10"/>
        <v>46070.625</v>
      </c>
      <c r="U99" s="4">
        <f t="shared" si="9"/>
        <v>46070.625</v>
      </c>
    </row>
    <row r="100" spans="1:21" x14ac:dyDescent="0.25">
      <c r="A100" s="50" t="str">
        <f t="shared" ca="1" si="11"/>
        <v/>
      </c>
      <c r="B100" s="51" t="str">
        <f ca="1">IF(COUNTIF($V$2:V1085,A100)=1,VLOOKUP(A100,N:O,2), IF(COUNTIF($V$2:V1085,A100)=0,$B$9,""))</f>
        <v/>
      </c>
      <c r="C100" s="2" t="str">
        <f t="shared" ca="1" si="12"/>
        <v/>
      </c>
      <c r="D100" s="54" t="str">
        <f t="shared" ca="1" si="13"/>
        <v/>
      </c>
      <c r="E100" s="51" t="str">
        <f ca="1">IF(COUNTIF($V$2:V1085,A100)=1,VLOOKUP(A100,P:Q,2), IF(COUNTIF($V$2:V1085,A100)=0,$C$9,""))</f>
        <v/>
      </c>
      <c r="F100" s="2" t="str">
        <f t="shared" ca="1" si="14"/>
        <v/>
      </c>
      <c r="G100" s="54" t="str">
        <f t="shared" ca="1" si="15"/>
        <v/>
      </c>
      <c r="H100" s="51" t="str">
        <f ca="1">IF(COUNTIF($V$2:V1085,A100)=1,VLOOKUP(A100,R:S,2), IF(COUNTIF($V$2:V1085,A100)=0,$D$9,""))</f>
        <v/>
      </c>
      <c r="I100" s="2" t="str">
        <f t="shared" ca="1" si="16"/>
        <v/>
      </c>
      <c r="J100" s="54" t="str">
        <f t="shared" ca="1" si="17"/>
        <v/>
      </c>
      <c r="K100" s="52"/>
      <c r="L100" s="55" t="str">
        <f ca="1">IF(ISERROR(B100-2),"",C100+D100-F100-G100+I100+J100-SUM($K$14:K100))</f>
        <v/>
      </c>
      <c r="N100" s="4">
        <v>46071.625</v>
      </c>
      <c r="O100" s="5">
        <v>51.68</v>
      </c>
      <c r="P100" s="4">
        <v>46029.625</v>
      </c>
      <c r="Q100" s="5">
        <v>83.95</v>
      </c>
      <c r="T100" s="4">
        <f t="shared" si="10"/>
        <v>46071.625</v>
      </c>
      <c r="U100" s="4">
        <f t="shared" si="9"/>
        <v>46071.625</v>
      </c>
    </row>
    <row r="101" spans="1:21" x14ac:dyDescent="0.25">
      <c r="A101" s="50" t="str">
        <f t="shared" ca="1" si="11"/>
        <v/>
      </c>
      <c r="B101" s="51" t="str">
        <f ca="1">IF(COUNTIF($V$2:V1086,A101)=1,VLOOKUP(A101,N:O,2), IF(COUNTIF($V$2:V1086,A101)=0,$B$9,""))</f>
        <v/>
      </c>
      <c r="C101" s="2" t="str">
        <f t="shared" ca="1" si="12"/>
        <v/>
      </c>
      <c r="D101" s="54" t="str">
        <f t="shared" ca="1" si="13"/>
        <v/>
      </c>
      <c r="E101" s="51" t="str">
        <f ca="1">IF(COUNTIF($V$2:V1086,A101)=1,VLOOKUP(A101,P:Q,2), IF(COUNTIF($V$2:V1086,A101)=0,$C$9,""))</f>
        <v/>
      </c>
      <c r="F101" s="2" t="str">
        <f t="shared" ca="1" si="14"/>
        <v/>
      </c>
      <c r="G101" s="54" t="str">
        <f t="shared" ca="1" si="15"/>
        <v/>
      </c>
      <c r="H101" s="51" t="str">
        <f ca="1">IF(COUNTIF($V$2:V1086,A101)=1,VLOOKUP(A101,R:S,2), IF(COUNTIF($V$2:V1086,A101)=0,$D$9,""))</f>
        <v/>
      </c>
      <c r="I101" s="2" t="str">
        <f t="shared" ca="1" si="16"/>
        <v/>
      </c>
      <c r="J101" s="54" t="str">
        <f t="shared" ca="1" si="17"/>
        <v/>
      </c>
      <c r="K101" s="52"/>
      <c r="L101" s="55" t="str">
        <f ca="1">IF(ISERROR(B101-2),"",C101+D101-F101-G101+I101+J101-SUM($K$14:K101))</f>
        <v/>
      </c>
      <c r="N101" s="4">
        <v>46072.625</v>
      </c>
      <c r="O101" s="5">
        <v>51.887999999999998</v>
      </c>
      <c r="P101" s="4">
        <v>46030.625</v>
      </c>
      <c r="Q101" s="5">
        <v>83.78</v>
      </c>
      <c r="T101" s="4">
        <f t="shared" si="10"/>
        <v>46072.625</v>
      </c>
      <c r="U101" s="4">
        <f t="shared" si="9"/>
        <v>46072.625</v>
      </c>
    </row>
    <row r="102" spans="1:21" x14ac:dyDescent="0.25">
      <c r="A102" s="50" t="str">
        <f t="shared" ca="1" si="11"/>
        <v/>
      </c>
      <c r="B102" s="51" t="str">
        <f ca="1">IF(COUNTIF($V$2:V1087,A102)=1,VLOOKUP(A102,N:O,2), IF(COUNTIF($V$2:V1087,A102)=0,$B$9,""))</f>
        <v/>
      </c>
      <c r="C102" s="2" t="str">
        <f t="shared" ca="1" si="12"/>
        <v/>
      </c>
      <c r="D102" s="54" t="str">
        <f t="shared" ca="1" si="13"/>
        <v/>
      </c>
      <c r="E102" s="51" t="str">
        <f ca="1">IF(COUNTIF($V$2:V1087,A102)=1,VLOOKUP(A102,P:Q,2), IF(COUNTIF($V$2:V1087,A102)=0,$C$9,""))</f>
        <v/>
      </c>
      <c r="F102" s="2" t="str">
        <f t="shared" ca="1" si="14"/>
        <v/>
      </c>
      <c r="G102" s="54" t="str">
        <f t="shared" ca="1" si="15"/>
        <v/>
      </c>
      <c r="H102" s="51" t="str">
        <f ca="1">IF(COUNTIF($V$2:V1087,A102)=1,VLOOKUP(A102,R:S,2), IF(COUNTIF($V$2:V1087,A102)=0,$D$9,""))</f>
        <v/>
      </c>
      <c r="I102" s="2" t="str">
        <f t="shared" ca="1" si="16"/>
        <v/>
      </c>
      <c r="J102" s="54" t="str">
        <f t="shared" ca="1" si="17"/>
        <v/>
      </c>
      <c r="K102" s="52"/>
      <c r="L102" s="55" t="str">
        <f ca="1">IF(ISERROR(B102-2),"",C102+D102-F102-G102+I102+J102-SUM($K$14:K102))</f>
        <v/>
      </c>
      <c r="N102" s="4">
        <v>46073.625</v>
      </c>
      <c r="O102" s="5">
        <v>51.508000000000003</v>
      </c>
      <c r="P102" s="4">
        <v>46031.625</v>
      </c>
      <c r="Q102" s="5">
        <v>83.91</v>
      </c>
      <c r="T102" s="4">
        <f t="shared" si="10"/>
        <v>46073.625</v>
      </c>
      <c r="U102" s="4">
        <f t="shared" si="9"/>
        <v>46073.625</v>
      </c>
    </row>
    <row r="103" spans="1:21" x14ac:dyDescent="0.25">
      <c r="A103" s="50" t="str">
        <f t="shared" ca="1" si="11"/>
        <v/>
      </c>
      <c r="B103" s="51" t="str">
        <f ca="1">IF(COUNTIF($V$2:V1088,A103)=1,VLOOKUP(A103,N:O,2), IF(COUNTIF($V$2:V1088,A103)=0,$B$9,""))</f>
        <v/>
      </c>
      <c r="C103" s="2" t="str">
        <f t="shared" ca="1" si="12"/>
        <v/>
      </c>
      <c r="D103" s="54" t="str">
        <f t="shared" ca="1" si="13"/>
        <v/>
      </c>
      <c r="E103" s="51" t="str">
        <f ca="1">IF(COUNTIF($V$2:V1088,A103)=1,VLOOKUP(A103,P:Q,2), IF(COUNTIF($V$2:V1088,A103)=0,$C$9,""))</f>
        <v/>
      </c>
      <c r="F103" s="2" t="str">
        <f t="shared" ca="1" si="14"/>
        <v/>
      </c>
      <c r="G103" s="54" t="str">
        <f t="shared" ca="1" si="15"/>
        <v/>
      </c>
      <c r="H103" s="51" t="str">
        <f ca="1">IF(COUNTIF($V$2:V1088,A103)=1,VLOOKUP(A103,R:S,2), IF(COUNTIF($V$2:V1088,A103)=0,$D$9,""))</f>
        <v/>
      </c>
      <c r="I103" s="2" t="str">
        <f t="shared" ca="1" si="16"/>
        <v/>
      </c>
      <c r="J103" s="54" t="str">
        <f t="shared" ca="1" si="17"/>
        <v/>
      </c>
      <c r="K103" s="52"/>
      <c r="L103" s="55" t="str">
        <f ca="1">IF(ISERROR(B103-2),"",C103+D103-F103-G103+I103+J103-SUM($K$14:K103))</f>
        <v/>
      </c>
      <c r="N103" s="4">
        <v>46076.625</v>
      </c>
      <c r="O103" s="5">
        <v>52.526000000000003</v>
      </c>
      <c r="P103" s="4">
        <v>46034.625</v>
      </c>
      <c r="Q103" s="5">
        <v>83.83</v>
      </c>
      <c r="T103" s="4">
        <f t="shared" si="10"/>
        <v>46076.625</v>
      </c>
      <c r="U103" s="4">
        <f t="shared" si="9"/>
        <v>46076.625</v>
      </c>
    </row>
    <row r="104" spans="1:21" x14ac:dyDescent="0.25">
      <c r="A104" s="50" t="str">
        <f t="shared" ca="1" si="11"/>
        <v/>
      </c>
      <c r="B104" s="51" t="str">
        <f ca="1">IF(COUNTIF($V$2:V1089,A104)=1,VLOOKUP(A104,N:O,2), IF(COUNTIF($V$2:V1089,A104)=0,$B$9,""))</f>
        <v/>
      </c>
      <c r="C104" s="2" t="str">
        <f t="shared" ca="1" si="12"/>
        <v/>
      </c>
      <c r="D104" s="54" t="str">
        <f t="shared" ca="1" si="13"/>
        <v/>
      </c>
      <c r="E104" s="51" t="str">
        <f ca="1">IF(COUNTIF($V$2:V1089,A104)=1,VLOOKUP(A104,P:Q,2), IF(COUNTIF($V$2:V1089,A104)=0,$C$9,""))</f>
        <v/>
      </c>
      <c r="F104" s="2" t="str">
        <f t="shared" ca="1" si="14"/>
        <v/>
      </c>
      <c r="G104" s="54" t="str">
        <f t="shared" ca="1" si="15"/>
        <v/>
      </c>
      <c r="H104" s="51" t="str">
        <f ca="1">IF(COUNTIF($V$2:V1089,A104)=1,VLOOKUP(A104,R:S,2), IF(COUNTIF($V$2:V1089,A104)=0,$D$9,""))</f>
        <v/>
      </c>
      <c r="I104" s="2" t="str">
        <f t="shared" ca="1" si="16"/>
        <v/>
      </c>
      <c r="J104" s="54" t="str">
        <f t="shared" ca="1" si="17"/>
        <v/>
      </c>
      <c r="K104" s="52"/>
      <c r="L104" s="55" t="str">
        <f ca="1">IF(ISERROR(B104-2),"",C104+D104-F104-G104+I104+J104-SUM($K$14:K104))</f>
        <v/>
      </c>
      <c r="N104" s="4">
        <v>46077.625</v>
      </c>
      <c r="O104" s="5">
        <v>52.838000000000001</v>
      </c>
      <c r="P104" s="4">
        <v>46035.625</v>
      </c>
      <c r="Q104" s="5">
        <v>84</v>
      </c>
      <c r="T104" s="4">
        <f t="shared" si="10"/>
        <v>46077.625</v>
      </c>
      <c r="U104" s="4">
        <f t="shared" si="9"/>
        <v>46077.625</v>
      </c>
    </row>
    <row r="105" spans="1:21" x14ac:dyDescent="0.25">
      <c r="A105" s="50" t="str">
        <f t="shared" ca="1" si="11"/>
        <v/>
      </c>
      <c r="B105" s="51" t="str">
        <f ca="1">IF(COUNTIF($V$2:V1090,A105)=1,VLOOKUP(A105,N:O,2), IF(COUNTIF($V$2:V1090,A105)=0,$B$9,""))</f>
        <v/>
      </c>
      <c r="C105" s="2" t="str">
        <f t="shared" ca="1" si="12"/>
        <v/>
      </c>
      <c r="D105" s="54" t="str">
        <f t="shared" ca="1" si="13"/>
        <v/>
      </c>
      <c r="E105" s="51" t="str">
        <f ca="1">IF(COUNTIF($V$2:V1090,A105)=1,VLOOKUP(A105,P:Q,2), IF(COUNTIF($V$2:V1090,A105)=0,$C$9,""))</f>
        <v/>
      </c>
      <c r="F105" s="2" t="str">
        <f t="shared" ca="1" si="14"/>
        <v/>
      </c>
      <c r="G105" s="54" t="str">
        <f t="shared" ca="1" si="15"/>
        <v/>
      </c>
      <c r="H105" s="51" t="str">
        <f ca="1">IF(COUNTIF($V$2:V1090,A105)=1,VLOOKUP(A105,R:S,2), IF(COUNTIF($V$2:V1090,A105)=0,$D$9,""))</f>
        <v/>
      </c>
      <c r="I105" s="2" t="str">
        <f t="shared" ca="1" si="16"/>
        <v/>
      </c>
      <c r="J105" s="54" t="str">
        <f t="shared" ca="1" si="17"/>
        <v/>
      </c>
      <c r="K105" s="52"/>
      <c r="L105" s="55" t="str">
        <f ca="1">IF(ISERROR(B105-2),"",C105+D105-F105-G105+I105+J105-SUM($K$14:K105))</f>
        <v/>
      </c>
      <c r="N105" s="4">
        <v>46078.625</v>
      </c>
      <c r="O105" s="5">
        <v>52.494</v>
      </c>
      <c r="P105" s="4">
        <v>46036.625</v>
      </c>
      <c r="Q105" s="5">
        <v>84.1</v>
      </c>
      <c r="T105" s="4">
        <f t="shared" si="10"/>
        <v>46078.625</v>
      </c>
      <c r="U105" s="4">
        <f t="shared" si="9"/>
        <v>46078.625</v>
      </c>
    </row>
    <row r="106" spans="1:21" x14ac:dyDescent="0.25">
      <c r="A106" s="50" t="str">
        <f t="shared" ca="1" si="11"/>
        <v/>
      </c>
      <c r="B106" s="51" t="str">
        <f ca="1">IF(COUNTIF($V$2:V1091,A106)=1,VLOOKUP(A106,N:O,2), IF(COUNTIF($V$2:V1091,A106)=0,$B$9,""))</f>
        <v/>
      </c>
      <c r="C106" s="2" t="str">
        <f t="shared" ca="1" si="12"/>
        <v/>
      </c>
      <c r="D106" s="54" t="str">
        <f t="shared" ca="1" si="13"/>
        <v/>
      </c>
      <c r="E106" s="51" t="str">
        <f ca="1">IF(COUNTIF($V$2:V1091,A106)=1,VLOOKUP(A106,P:Q,2), IF(COUNTIF($V$2:V1091,A106)=0,$C$9,""))</f>
        <v/>
      </c>
      <c r="F106" s="2" t="str">
        <f t="shared" ca="1" si="14"/>
        <v/>
      </c>
      <c r="G106" s="54" t="str">
        <f t="shared" ca="1" si="15"/>
        <v/>
      </c>
      <c r="H106" s="51" t="str">
        <f ca="1">IF(COUNTIF($V$2:V1091,A106)=1,VLOOKUP(A106,R:S,2), IF(COUNTIF($V$2:V1091,A106)=0,$D$9,""))</f>
        <v/>
      </c>
      <c r="I106" s="2" t="str">
        <f t="shared" ca="1" si="16"/>
        <v/>
      </c>
      <c r="J106" s="54" t="str">
        <f t="shared" ca="1" si="17"/>
        <v/>
      </c>
      <c r="K106" s="52"/>
      <c r="L106" s="55" t="str">
        <f ca="1">IF(ISERROR(B106-2),"",C106+D106-F106-G106+I106+J106-SUM($K$14:K106))</f>
        <v/>
      </c>
      <c r="N106" s="4">
        <v>46079.625</v>
      </c>
      <c r="O106" s="5">
        <v>53.575000000000003</v>
      </c>
      <c r="P106" s="4">
        <v>46037.625</v>
      </c>
      <c r="Q106" s="5">
        <v>83.97</v>
      </c>
      <c r="T106" s="4">
        <f t="shared" si="10"/>
        <v>46079.625</v>
      </c>
      <c r="U106" s="4">
        <f t="shared" si="9"/>
        <v>46079.625</v>
      </c>
    </row>
    <row r="107" spans="1:21" x14ac:dyDescent="0.25">
      <c r="A107" s="50" t="str">
        <f t="shared" ca="1" si="11"/>
        <v/>
      </c>
      <c r="B107" s="51" t="str">
        <f ca="1">IF(COUNTIF($V$2:V1092,A107)=1,VLOOKUP(A107,N:O,2), IF(COUNTIF($V$2:V1092,A107)=0,$B$9,""))</f>
        <v/>
      </c>
      <c r="C107" s="2" t="str">
        <f t="shared" ca="1" si="12"/>
        <v/>
      </c>
      <c r="D107" s="54" t="str">
        <f t="shared" ca="1" si="13"/>
        <v/>
      </c>
      <c r="E107" s="51" t="str">
        <f ca="1">IF(COUNTIF($V$2:V1092,A107)=1,VLOOKUP(A107,P:Q,2), IF(COUNTIF($V$2:V1092,A107)=0,$C$9,""))</f>
        <v/>
      </c>
      <c r="F107" s="2" t="str">
        <f t="shared" ca="1" si="14"/>
        <v/>
      </c>
      <c r="G107" s="54" t="str">
        <f t="shared" ca="1" si="15"/>
        <v/>
      </c>
      <c r="H107" s="51" t="str">
        <f ca="1">IF(COUNTIF($V$2:V1092,A107)=1,VLOOKUP(A107,R:S,2), IF(COUNTIF($V$2:V1092,A107)=0,$D$9,""))</f>
        <v/>
      </c>
      <c r="I107" s="2" t="str">
        <f t="shared" ca="1" si="16"/>
        <v/>
      </c>
      <c r="J107" s="54" t="str">
        <f t="shared" ca="1" si="17"/>
        <v/>
      </c>
      <c r="K107" s="52"/>
      <c r="L107" s="55" t="str">
        <f ca="1">IF(ISERROR(B107-2),"",C107+D107-F107-G107+I107+J107-SUM($K$14:K107))</f>
        <v/>
      </c>
      <c r="N107" s="4">
        <v>46080.625</v>
      </c>
      <c r="O107" s="5">
        <v>55.817999999999998</v>
      </c>
      <c r="P107" s="4">
        <v>46038.625</v>
      </c>
      <c r="Q107" s="5">
        <v>83.78</v>
      </c>
      <c r="T107" s="4">
        <f t="shared" si="10"/>
        <v>46080.625</v>
      </c>
      <c r="U107" s="4">
        <f t="shared" si="9"/>
        <v>46080.625</v>
      </c>
    </row>
    <row r="108" spans="1:21" x14ac:dyDescent="0.25">
      <c r="A108" s="50" t="str">
        <f t="shared" ca="1" si="11"/>
        <v/>
      </c>
      <c r="B108" s="51" t="str">
        <f ca="1">IF(COUNTIF($V$2:V1093,A108)=1,VLOOKUP(A108,N:O,2), IF(COUNTIF($V$2:V1093,A108)=0,$B$9,""))</f>
        <v/>
      </c>
      <c r="C108" s="2" t="str">
        <f t="shared" ca="1" si="12"/>
        <v/>
      </c>
      <c r="D108" s="54" t="str">
        <f t="shared" ca="1" si="13"/>
        <v/>
      </c>
      <c r="E108" s="51" t="str">
        <f ca="1">IF(COUNTIF($V$2:V1093,A108)=1,VLOOKUP(A108,P:Q,2), IF(COUNTIF($V$2:V1093,A108)=0,$C$9,""))</f>
        <v/>
      </c>
      <c r="F108" s="2" t="str">
        <f t="shared" ca="1" si="14"/>
        <v/>
      </c>
      <c r="G108" s="54" t="str">
        <f t="shared" ca="1" si="15"/>
        <v/>
      </c>
      <c r="H108" s="51" t="str">
        <f ca="1">IF(COUNTIF($V$2:V1093,A108)=1,VLOOKUP(A108,R:S,2), IF(COUNTIF($V$2:V1093,A108)=0,$D$9,""))</f>
        <v/>
      </c>
      <c r="I108" s="2" t="str">
        <f t="shared" ca="1" si="16"/>
        <v/>
      </c>
      <c r="J108" s="54" t="str">
        <f t="shared" ca="1" si="17"/>
        <v/>
      </c>
      <c r="K108" s="52"/>
      <c r="L108" s="55" t="str">
        <f ca="1">IF(ISERROR(B108-2),"",C108+D108-F108-G108+I108+J108-SUM($K$14:K108))</f>
        <v/>
      </c>
      <c r="P108" s="4">
        <v>46042.625</v>
      </c>
      <c r="Q108" s="5">
        <v>83.48</v>
      </c>
      <c r="T108" s="4" t="str">
        <f t="shared" si="10"/>
        <v/>
      </c>
      <c r="U108" s="4" t="str">
        <f t="shared" si="9"/>
        <v/>
      </c>
    </row>
    <row r="109" spans="1:21" x14ac:dyDescent="0.25">
      <c r="A109" s="50" t="str">
        <f t="shared" ca="1" si="11"/>
        <v/>
      </c>
      <c r="B109" s="51" t="str">
        <f ca="1">IF(COUNTIF($V$2:V1094,A109)=1,VLOOKUP(A109,N:O,2), IF(COUNTIF($V$2:V1094,A109)=0,$B$9,""))</f>
        <v/>
      </c>
      <c r="C109" s="2" t="str">
        <f t="shared" ca="1" si="12"/>
        <v/>
      </c>
      <c r="D109" s="54" t="str">
        <f t="shared" ca="1" si="13"/>
        <v/>
      </c>
      <c r="E109" s="51" t="str">
        <f ca="1">IF(COUNTIF($V$2:V1094,A109)=1,VLOOKUP(A109,P:Q,2), IF(COUNTIF($V$2:V1094,A109)=0,$C$9,""))</f>
        <v/>
      </c>
      <c r="F109" s="2" t="str">
        <f t="shared" ca="1" si="14"/>
        <v/>
      </c>
      <c r="G109" s="54" t="str">
        <f t="shared" ca="1" si="15"/>
        <v/>
      </c>
      <c r="H109" s="51" t="str">
        <f ca="1">IF(COUNTIF($V$2:V1094,A109)=1,VLOOKUP(A109,R:S,2), IF(COUNTIF($V$2:V1094,A109)=0,$D$9,""))</f>
        <v/>
      </c>
      <c r="I109" s="2" t="str">
        <f t="shared" ca="1" si="16"/>
        <v/>
      </c>
      <c r="J109" s="54" t="str">
        <f t="shared" ca="1" si="17"/>
        <v/>
      </c>
      <c r="K109" s="52"/>
      <c r="L109" s="55" t="str">
        <f ca="1">IF(ISERROR(B109-2),"",C109+D109-F109-G109+I109+J109-SUM($K$14:K109))</f>
        <v/>
      </c>
      <c r="P109" s="4">
        <v>46043.625</v>
      </c>
      <c r="Q109" s="5">
        <v>83.81</v>
      </c>
      <c r="T109" s="4" t="str">
        <f t="shared" si="10"/>
        <v/>
      </c>
      <c r="U109" s="4" t="str">
        <f t="shared" si="9"/>
        <v/>
      </c>
    </row>
    <row r="110" spans="1:21" x14ac:dyDescent="0.25">
      <c r="A110" s="50" t="str">
        <f t="shared" ca="1" si="11"/>
        <v/>
      </c>
      <c r="B110" s="51" t="str">
        <f ca="1">IF(COUNTIF($V$2:V1095,A110)=1,VLOOKUP(A110,N:O,2), IF(COUNTIF($V$2:V1095,A110)=0,$B$9,""))</f>
        <v/>
      </c>
      <c r="C110" s="2" t="str">
        <f t="shared" ca="1" si="12"/>
        <v/>
      </c>
      <c r="D110" s="54" t="str">
        <f t="shared" ca="1" si="13"/>
        <v/>
      </c>
      <c r="E110" s="51" t="str">
        <f ca="1">IF(COUNTIF($V$2:V1095,A110)=1,VLOOKUP(A110,P:Q,2), IF(COUNTIF($V$2:V1095,A110)=0,$C$9,""))</f>
        <v/>
      </c>
      <c r="F110" s="2" t="str">
        <f t="shared" ca="1" si="14"/>
        <v/>
      </c>
      <c r="G110" s="54" t="str">
        <f t="shared" ca="1" si="15"/>
        <v/>
      </c>
      <c r="H110" s="51" t="str">
        <f ca="1">IF(COUNTIF($V$2:V1095,A110)=1,VLOOKUP(A110,R:S,2), IF(COUNTIF($V$2:V1095,A110)=0,$D$9,""))</f>
        <v/>
      </c>
      <c r="I110" s="2" t="str">
        <f t="shared" ca="1" si="16"/>
        <v/>
      </c>
      <c r="J110" s="54" t="str">
        <f t="shared" ca="1" si="17"/>
        <v/>
      </c>
      <c r="K110" s="52"/>
      <c r="L110" s="55" t="str">
        <f ca="1">IF(ISERROR(B110-2),"",C110+D110-F110-G110+I110+J110-SUM($K$14:K110))</f>
        <v/>
      </c>
      <c r="P110" s="4">
        <v>46044.625</v>
      </c>
      <c r="Q110" s="5">
        <v>83.83</v>
      </c>
      <c r="T110" s="4" t="str">
        <f t="shared" si="10"/>
        <v/>
      </c>
      <c r="U110" s="4" t="str">
        <f t="shared" si="9"/>
        <v/>
      </c>
    </row>
    <row r="111" spans="1:21" x14ac:dyDescent="0.25">
      <c r="A111" s="50" t="str">
        <f t="shared" ca="1" si="11"/>
        <v/>
      </c>
      <c r="B111" s="51" t="str">
        <f ca="1">IF(COUNTIF($V$2:V1096,A111)=1,VLOOKUP(A111,N:O,2), IF(COUNTIF($V$2:V1096,A111)=0,$B$9,""))</f>
        <v/>
      </c>
      <c r="C111" s="2" t="str">
        <f t="shared" ca="1" si="12"/>
        <v/>
      </c>
      <c r="D111" s="54" t="str">
        <f t="shared" ca="1" si="13"/>
        <v/>
      </c>
      <c r="E111" s="51" t="str">
        <f ca="1">IF(COUNTIF($V$2:V1096,A111)=1,VLOOKUP(A111,P:Q,2), IF(COUNTIF($V$2:V1096,A111)=0,$C$9,""))</f>
        <v/>
      </c>
      <c r="F111" s="2" t="str">
        <f t="shared" ca="1" si="14"/>
        <v/>
      </c>
      <c r="G111" s="54" t="str">
        <f t="shared" ca="1" si="15"/>
        <v/>
      </c>
      <c r="H111" s="51" t="str">
        <f ca="1">IF(COUNTIF($V$2:V1096,A111)=1,VLOOKUP(A111,R:S,2), IF(COUNTIF($V$2:V1096,A111)=0,$D$9,""))</f>
        <v/>
      </c>
      <c r="I111" s="2" t="str">
        <f t="shared" ca="1" si="16"/>
        <v/>
      </c>
      <c r="J111" s="54" t="str">
        <f t="shared" ca="1" si="17"/>
        <v/>
      </c>
      <c r="K111" s="52"/>
      <c r="L111" s="55" t="str">
        <f ca="1">IF(ISERROR(B111-2),"",C111+D111-F111-G111+I111+J111-SUM($K$14:K111))</f>
        <v/>
      </c>
      <c r="P111" s="4">
        <v>46045.625</v>
      </c>
      <c r="Q111" s="5">
        <v>83.89</v>
      </c>
      <c r="T111" s="4" t="str">
        <f t="shared" si="10"/>
        <v/>
      </c>
      <c r="U111" s="4" t="str">
        <f t="shared" si="9"/>
        <v/>
      </c>
    </row>
    <row r="112" spans="1:21" x14ac:dyDescent="0.25">
      <c r="A112" s="50" t="str">
        <f t="shared" ca="1" si="11"/>
        <v/>
      </c>
      <c r="B112" s="51" t="str">
        <f ca="1">IF(COUNTIF($V$2:V1097,A112)=1,VLOOKUP(A112,N:O,2), IF(COUNTIF($V$2:V1097,A112)=0,$B$9,""))</f>
        <v/>
      </c>
      <c r="C112" s="2" t="str">
        <f t="shared" ca="1" si="12"/>
        <v/>
      </c>
      <c r="D112" s="54" t="str">
        <f t="shared" ca="1" si="13"/>
        <v/>
      </c>
      <c r="E112" s="51" t="str">
        <f ca="1">IF(COUNTIF($V$2:V1097,A112)=1,VLOOKUP(A112,P:Q,2), IF(COUNTIF($V$2:V1097,A112)=0,$C$9,""))</f>
        <v/>
      </c>
      <c r="F112" s="2" t="str">
        <f t="shared" ca="1" si="14"/>
        <v/>
      </c>
      <c r="G112" s="54" t="str">
        <f t="shared" ca="1" si="15"/>
        <v/>
      </c>
      <c r="H112" s="51" t="str">
        <f ca="1">IF(COUNTIF($V$2:V1097,A112)=1,VLOOKUP(A112,R:S,2), IF(COUNTIF($V$2:V1097,A112)=0,$D$9,""))</f>
        <v/>
      </c>
      <c r="I112" s="2" t="str">
        <f t="shared" ca="1" si="16"/>
        <v/>
      </c>
      <c r="J112" s="54" t="str">
        <f t="shared" ca="1" si="17"/>
        <v/>
      </c>
      <c r="K112" s="52"/>
      <c r="L112" s="55" t="str">
        <f ca="1">IF(ISERROR(B112-2),"",C112+D112-F112-G112+I112+J112-SUM($K$14:K112))</f>
        <v/>
      </c>
      <c r="P112" s="4">
        <v>46048.625</v>
      </c>
      <c r="Q112" s="5">
        <v>83.97</v>
      </c>
      <c r="T112" s="4" t="str">
        <f t="shared" si="10"/>
        <v/>
      </c>
      <c r="U112" s="4" t="str">
        <f t="shared" si="9"/>
        <v/>
      </c>
    </row>
    <row r="113" spans="1:21" x14ac:dyDescent="0.25">
      <c r="A113" s="50" t="str">
        <f t="shared" ca="1" si="11"/>
        <v/>
      </c>
      <c r="B113" s="51" t="str">
        <f ca="1">IF(COUNTIF($V$2:V1098,A113)=1,VLOOKUP(A113,N:O,2), IF(COUNTIF($V$2:V1098,A113)=0,$B$9,""))</f>
        <v/>
      </c>
      <c r="C113" s="2" t="str">
        <f t="shared" ca="1" si="12"/>
        <v/>
      </c>
      <c r="D113" s="54" t="str">
        <f t="shared" ca="1" si="13"/>
        <v/>
      </c>
      <c r="E113" s="51" t="str">
        <f ca="1">IF(COUNTIF($V$2:V1098,A113)=1,VLOOKUP(A113,P:Q,2), IF(COUNTIF($V$2:V1098,A113)=0,$C$9,""))</f>
        <v/>
      </c>
      <c r="F113" s="2" t="str">
        <f t="shared" ca="1" si="14"/>
        <v/>
      </c>
      <c r="G113" s="54" t="str">
        <f t="shared" ca="1" si="15"/>
        <v/>
      </c>
      <c r="H113" s="51" t="str">
        <f ca="1">IF(COUNTIF($V$2:V1098,A113)=1,VLOOKUP(A113,R:S,2), IF(COUNTIF($V$2:V1098,A113)=0,$D$9,""))</f>
        <v/>
      </c>
      <c r="I113" s="2" t="str">
        <f t="shared" ca="1" si="16"/>
        <v/>
      </c>
      <c r="J113" s="54" t="str">
        <f t="shared" ca="1" si="17"/>
        <v/>
      </c>
      <c r="K113" s="52"/>
      <c r="L113" s="55" t="str">
        <f ca="1">IF(ISERROR(B113-2),"",C113+D113-F113-G113+I113+J113-SUM($K$14:K113))</f>
        <v/>
      </c>
      <c r="P113" s="4">
        <v>46049.625</v>
      </c>
      <c r="Q113" s="5">
        <v>83.96</v>
      </c>
      <c r="T113" s="4" t="str">
        <f t="shared" si="10"/>
        <v/>
      </c>
      <c r="U113" s="4" t="str">
        <f t="shared" si="9"/>
        <v/>
      </c>
    </row>
    <row r="114" spans="1:21" x14ac:dyDescent="0.25">
      <c r="A114" s="50" t="str">
        <f t="shared" ca="1" si="11"/>
        <v/>
      </c>
      <c r="B114" s="51" t="str">
        <f ca="1">IF(COUNTIF($V$2:V1099,A114)=1,VLOOKUP(A114,N:O,2), IF(COUNTIF($V$2:V1099,A114)=0,$B$9,""))</f>
        <v/>
      </c>
      <c r="C114" s="2" t="str">
        <f t="shared" ca="1" si="12"/>
        <v/>
      </c>
      <c r="D114" s="54" t="str">
        <f t="shared" ca="1" si="13"/>
        <v/>
      </c>
      <c r="E114" s="51" t="str">
        <f ca="1">IF(COUNTIF($V$2:V1099,A114)=1,VLOOKUP(A114,P:Q,2), IF(COUNTIF($V$2:V1099,A114)=0,$C$9,""))</f>
        <v/>
      </c>
      <c r="F114" s="2" t="str">
        <f t="shared" ca="1" si="14"/>
        <v/>
      </c>
      <c r="G114" s="54" t="str">
        <f t="shared" ca="1" si="15"/>
        <v/>
      </c>
      <c r="H114" s="51" t="str">
        <f ca="1">IF(COUNTIF($V$2:V1099,A114)=1,VLOOKUP(A114,R:S,2), IF(COUNTIF($V$2:V1099,A114)=0,$D$9,""))</f>
        <v/>
      </c>
      <c r="I114" s="2" t="str">
        <f t="shared" ca="1" si="16"/>
        <v/>
      </c>
      <c r="J114" s="54" t="str">
        <f t="shared" ca="1" si="17"/>
        <v/>
      </c>
      <c r="K114" s="52"/>
      <c r="L114" s="55" t="str">
        <f ca="1">IF(ISERROR(B114-2),"",C114+D114-F114-G114+I114+J114-SUM($K$14:K114))</f>
        <v/>
      </c>
      <c r="P114" s="4">
        <v>46050.625</v>
      </c>
      <c r="Q114" s="5">
        <v>83.91</v>
      </c>
      <c r="T114" s="4" t="str">
        <f t="shared" si="10"/>
        <v/>
      </c>
      <c r="U114" s="4" t="str">
        <f t="shared" si="9"/>
        <v/>
      </c>
    </row>
    <row r="115" spans="1:21" x14ac:dyDescent="0.25">
      <c r="A115" s="50" t="str">
        <f t="shared" ca="1" si="11"/>
        <v/>
      </c>
      <c r="B115" s="51" t="str">
        <f ca="1">IF(COUNTIF($V$2:V1100,A115)=1,VLOOKUP(A115,N:O,2), IF(COUNTIF($V$2:V1100,A115)=0,$B$9,""))</f>
        <v/>
      </c>
      <c r="C115" s="2" t="str">
        <f t="shared" ca="1" si="12"/>
        <v/>
      </c>
      <c r="D115" s="54" t="str">
        <f t="shared" ca="1" si="13"/>
        <v/>
      </c>
      <c r="E115" s="51" t="str">
        <f ca="1">IF(COUNTIF($V$2:V1100,A115)=1,VLOOKUP(A115,P:Q,2), IF(COUNTIF($V$2:V1100,A115)=0,$C$9,""))</f>
        <v/>
      </c>
      <c r="F115" s="2" t="str">
        <f t="shared" ca="1" si="14"/>
        <v/>
      </c>
      <c r="G115" s="54" t="str">
        <f t="shared" ca="1" si="15"/>
        <v/>
      </c>
      <c r="H115" s="51" t="str">
        <f ca="1">IF(COUNTIF($V$2:V1100,A115)=1,VLOOKUP(A115,R:S,2), IF(COUNTIF($V$2:V1100,A115)=0,$D$9,""))</f>
        <v/>
      </c>
      <c r="I115" s="2" t="str">
        <f t="shared" ca="1" si="16"/>
        <v/>
      </c>
      <c r="J115" s="54" t="str">
        <f t="shared" ca="1" si="17"/>
        <v/>
      </c>
      <c r="K115" s="52"/>
      <c r="L115" s="55" t="str">
        <f ca="1">IF(ISERROR(B115-2),"",C115+D115-F115-G115+I115+J115-SUM($K$14:K115))</f>
        <v/>
      </c>
      <c r="P115" s="4">
        <v>46051.625</v>
      </c>
      <c r="Q115" s="5">
        <v>83.96</v>
      </c>
      <c r="T115" s="4" t="str">
        <f t="shared" si="10"/>
        <v/>
      </c>
      <c r="U115" s="4" t="str">
        <f t="shared" si="9"/>
        <v/>
      </c>
    </row>
    <row r="116" spans="1:21" x14ac:dyDescent="0.25">
      <c r="A116" s="50" t="str">
        <f t="shared" ca="1" si="11"/>
        <v/>
      </c>
      <c r="B116" s="51" t="str">
        <f ca="1">IF(COUNTIF($V$2:V1101,A116)=1,VLOOKUP(A116,N:O,2), IF(COUNTIF($V$2:V1101,A116)=0,$B$9,""))</f>
        <v/>
      </c>
      <c r="C116" s="2" t="str">
        <f t="shared" ca="1" si="12"/>
        <v/>
      </c>
      <c r="D116" s="54" t="str">
        <f t="shared" ca="1" si="13"/>
        <v/>
      </c>
      <c r="E116" s="51" t="str">
        <f ca="1">IF(COUNTIF($V$2:V1101,A116)=1,VLOOKUP(A116,P:Q,2), IF(COUNTIF($V$2:V1101,A116)=0,$C$9,""))</f>
        <v/>
      </c>
      <c r="F116" s="2" t="str">
        <f t="shared" ca="1" si="14"/>
        <v/>
      </c>
      <c r="G116" s="54" t="str">
        <f t="shared" ca="1" si="15"/>
        <v/>
      </c>
      <c r="H116" s="51" t="str">
        <f ca="1">IF(COUNTIF($V$2:V1101,A116)=1,VLOOKUP(A116,R:S,2), IF(COUNTIF($V$2:V1101,A116)=0,$D$9,""))</f>
        <v/>
      </c>
      <c r="I116" s="2" t="str">
        <f t="shared" ca="1" si="16"/>
        <v/>
      </c>
      <c r="J116" s="54" t="str">
        <f t="shared" ca="1" si="17"/>
        <v/>
      </c>
      <c r="K116" s="52"/>
      <c r="L116" s="55" t="str">
        <f ca="1">IF(ISERROR(B116-2),"",C116+D116-F116-G116+I116+J116-SUM($K$14:K116))</f>
        <v/>
      </c>
      <c r="P116" s="4">
        <v>46052.625</v>
      </c>
      <c r="Q116" s="5">
        <v>83.95</v>
      </c>
      <c r="T116" s="4" t="str">
        <f t="shared" si="10"/>
        <v/>
      </c>
      <c r="U116" s="4" t="str">
        <f t="shared" si="9"/>
        <v/>
      </c>
    </row>
    <row r="117" spans="1:21" x14ac:dyDescent="0.25">
      <c r="A117" s="50" t="str">
        <f t="shared" ca="1" si="11"/>
        <v/>
      </c>
      <c r="B117" s="51" t="str">
        <f ca="1">IF(COUNTIF($V$2:V1102,A117)=1,VLOOKUP(A117,N:O,2), IF(COUNTIF($V$2:V1102,A117)=0,$B$9,""))</f>
        <v/>
      </c>
      <c r="C117" s="2" t="str">
        <f t="shared" ca="1" si="12"/>
        <v/>
      </c>
      <c r="D117" s="54" t="str">
        <f t="shared" ca="1" si="13"/>
        <v/>
      </c>
      <c r="E117" s="51" t="str">
        <f ca="1">IF(COUNTIF($V$2:V1102,A117)=1,VLOOKUP(A117,P:Q,2), IF(COUNTIF($V$2:V1102,A117)=0,$C$9,""))</f>
        <v/>
      </c>
      <c r="F117" s="2" t="str">
        <f t="shared" ca="1" si="14"/>
        <v/>
      </c>
      <c r="G117" s="54" t="str">
        <f t="shared" ca="1" si="15"/>
        <v/>
      </c>
      <c r="H117" s="51" t="str">
        <f ca="1">IF(COUNTIF($V$2:V1102,A117)=1,VLOOKUP(A117,R:S,2), IF(COUNTIF($V$2:V1102,A117)=0,$D$9,""))</f>
        <v/>
      </c>
      <c r="I117" s="2" t="str">
        <f t="shared" ca="1" si="16"/>
        <v/>
      </c>
      <c r="J117" s="54" t="str">
        <f t="shared" ca="1" si="17"/>
        <v/>
      </c>
      <c r="K117" s="52"/>
      <c r="L117" s="55" t="str">
        <f ca="1">IF(ISERROR(B117-2),"",C117+D117-F117-G117+I117+J117-SUM($K$14:K117))</f>
        <v/>
      </c>
      <c r="P117" s="4">
        <v>46055.625</v>
      </c>
      <c r="Q117" s="5">
        <v>83.52</v>
      </c>
      <c r="T117" s="4" t="str">
        <f t="shared" si="10"/>
        <v/>
      </c>
      <c r="U117" s="4" t="str">
        <f t="shared" si="9"/>
        <v/>
      </c>
    </row>
    <row r="118" spans="1:21" x14ac:dyDescent="0.25">
      <c r="A118" s="50" t="str">
        <f t="shared" ca="1" si="11"/>
        <v/>
      </c>
      <c r="B118" s="51" t="str">
        <f ca="1">IF(COUNTIF($V$2:V1103,A118)=1,VLOOKUP(A118,N:O,2), IF(COUNTIF($V$2:V1103,A118)=0,$B$9,""))</f>
        <v/>
      </c>
      <c r="C118" s="2" t="str">
        <f t="shared" ca="1" si="12"/>
        <v/>
      </c>
      <c r="D118" s="54" t="str">
        <f t="shared" ca="1" si="13"/>
        <v/>
      </c>
      <c r="E118" s="51" t="str">
        <f ca="1">IF(COUNTIF($V$2:V1103,A118)=1,VLOOKUP(A118,P:Q,2), IF(COUNTIF($V$2:V1103,A118)=0,$C$9,""))</f>
        <v/>
      </c>
      <c r="F118" s="2" t="str">
        <f t="shared" ca="1" si="14"/>
        <v/>
      </c>
      <c r="G118" s="54" t="str">
        <f t="shared" ca="1" si="15"/>
        <v/>
      </c>
      <c r="H118" s="51" t="str">
        <f ca="1">IF(COUNTIF($V$2:V1103,A118)=1,VLOOKUP(A118,R:S,2), IF(COUNTIF($V$2:V1103,A118)=0,$D$9,""))</f>
        <v/>
      </c>
      <c r="I118" s="2" t="str">
        <f t="shared" ca="1" si="16"/>
        <v/>
      </c>
      <c r="J118" s="54" t="str">
        <f t="shared" ca="1" si="17"/>
        <v/>
      </c>
      <c r="K118" s="52"/>
      <c r="L118" s="55" t="str">
        <f ca="1">IF(ISERROR(B118-2),"",C118+D118-F118-G118+I118+J118-SUM($K$14:K118))</f>
        <v/>
      </c>
      <c r="P118" s="4">
        <v>46056.625</v>
      </c>
      <c r="Q118" s="5">
        <v>83.54</v>
      </c>
      <c r="T118" s="4" t="str">
        <f t="shared" si="10"/>
        <v/>
      </c>
      <c r="U118" s="4" t="str">
        <f t="shared" si="9"/>
        <v/>
      </c>
    </row>
    <row r="119" spans="1:21" x14ac:dyDescent="0.25">
      <c r="A119" s="50" t="str">
        <f t="shared" ca="1" si="11"/>
        <v/>
      </c>
      <c r="B119" s="51" t="str">
        <f ca="1">IF(COUNTIF($V$2:V1104,A119)=1,VLOOKUP(A119,N:O,2), IF(COUNTIF($V$2:V1104,A119)=0,$B$9,""))</f>
        <v/>
      </c>
      <c r="C119" s="2" t="str">
        <f t="shared" ca="1" si="12"/>
        <v/>
      </c>
      <c r="D119" s="54" t="str">
        <f t="shared" ca="1" si="13"/>
        <v/>
      </c>
      <c r="E119" s="51" t="str">
        <f ca="1">IF(COUNTIF($V$2:V1104,A119)=1,VLOOKUP(A119,P:Q,2), IF(COUNTIF($V$2:V1104,A119)=0,$C$9,""))</f>
        <v/>
      </c>
      <c r="F119" s="2" t="str">
        <f t="shared" ca="1" si="14"/>
        <v/>
      </c>
      <c r="G119" s="54" t="str">
        <f t="shared" ca="1" si="15"/>
        <v/>
      </c>
      <c r="H119" s="51" t="str">
        <f ca="1">IF(COUNTIF($V$2:V1104,A119)=1,VLOOKUP(A119,R:S,2), IF(COUNTIF($V$2:V1104,A119)=0,$D$9,""))</f>
        <v/>
      </c>
      <c r="I119" s="2" t="str">
        <f t="shared" ca="1" si="16"/>
        <v/>
      </c>
      <c r="J119" s="54" t="str">
        <f t="shared" ca="1" si="17"/>
        <v/>
      </c>
      <c r="K119" s="52"/>
      <c r="L119" s="55" t="str">
        <f ca="1">IF(ISERROR(B119-2),"",C119+D119-F119-G119+I119+J119-SUM($K$14:K119))</f>
        <v/>
      </c>
      <c r="P119" s="4">
        <v>46057.625</v>
      </c>
      <c r="Q119" s="5">
        <v>83.51</v>
      </c>
      <c r="T119" s="4" t="str">
        <f t="shared" si="10"/>
        <v/>
      </c>
      <c r="U119" s="4" t="str">
        <f t="shared" si="9"/>
        <v/>
      </c>
    </row>
    <row r="120" spans="1:21" x14ac:dyDescent="0.25">
      <c r="A120" s="50" t="str">
        <f t="shared" ca="1" si="11"/>
        <v/>
      </c>
      <c r="B120" s="51" t="str">
        <f ca="1">IF(COUNTIF($V$2:V1105,A120)=1,VLOOKUP(A120,N:O,2), IF(COUNTIF($V$2:V1105,A120)=0,$B$9,""))</f>
        <v/>
      </c>
      <c r="C120" s="2" t="str">
        <f t="shared" ca="1" si="12"/>
        <v/>
      </c>
      <c r="D120" s="54" t="str">
        <f t="shared" ca="1" si="13"/>
        <v/>
      </c>
      <c r="E120" s="51" t="str">
        <f ca="1">IF(COUNTIF($V$2:V1105,A120)=1,VLOOKUP(A120,P:Q,2), IF(COUNTIF($V$2:V1105,A120)=0,$C$9,""))</f>
        <v/>
      </c>
      <c r="F120" s="2" t="str">
        <f t="shared" ca="1" si="14"/>
        <v/>
      </c>
      <c r="G120" s="54" t="str">
        <f t="shared" ca="1" si="15"/>
        <v/>
      </c>
      <c r="H120" s="51" t="str">
        <f ca="1">IF(COUNTIF($V$2:V1105,A120)=1,VLOOKUP(A120,R:S,2), IF(COUNTIF($V$2:V1105,A120)=0,$D$9,""))</f>
        <v/>
      </c>
      <c r="I120" s="2" t="str">
        <f t="shared" ca="1" si="16"/>
        <v/>
      </c>
      <c r="J120" s="54" t="str">
        <f t="shared" ca="1" si="17"/>
        <v/>
      </c>
      <c r="K120" s="52"/>
      <c r="L120" s="55" t="str">
        <f ca="1">IF(ISERROR(B120-2),"",C120+D120-F120-G120+I120+J120-SUM($K$14:K120))</f>
        <v/>
      </c>
      <c r="P120" s="4">
        <v>46058.625</v>
      </c>
      <c r="Q120" s="5">
        <v>83.84</v>
      </c>
      <c r="T120" s="4" t="str">
        <f t="shared" si="10"/>
        <v/>
      </c>
      <c r="U120" s="4" t="str">
        <f t="shared" si="9"/>
        <v/>
      </c>
    </row>
    <row r="121" spans="1:21" x14ac:dyDescent="0.25">
      <c r="A121" s="50" t="str">
        <f t="shared" ca="1" si="11"/>
        <v/>
      </c>
      <c r="B121" s="51" t="str">
        <f ca="1">IF(COUNTIF($V$2:V1106,A121)=1,VLOOKUP(A121,N:O,2), IF(COUNTIF($V$2:V1106,A121)=0,$B$9,""))</f>
        <v/>
      </c>
      <c r="C121" s="2" t="str">
        <f t="shared" ca="1" si="12"/>
        <v/>
      </c>
      <c r="D121" s="54" t="str">
        <f t="shared" ca="1" si="13"/>
        <v/>
      </c>
      <c r="E121" s="51" t="str">
        <f ca="1">IF(COUNTIF($V$2:V1106,A121)=1,VLOOKUP(A121,P:Q,2), IF(COUNTIF($V$2:V1106,A121)=0,$C$9,""))</f>
        <v/>
      </c>
      <c r="F121" s="2" t="str">
        <f t="shared" ca="1" si="14"/>
        <v/>
      </c>
      <c r="G121" s="54" t="str">
        <f t="shared" ca="1" si="15"/>
        <v/>
      </c>
      <c r="H121" s="51" t="str">
        <f ca="1">IF(COUNTIF($V$2:V1106,A121)=1,VLOOKUP(A121,R:S,2), IF(COUNTIF($V$2:V1106,A121)=0,$D$9,""))</f>
        <v/>
      </c>
      <c r="I121" s="2" t="str">
        <f t="shared" ca="1" si="16"/>
        <v/>
      </c>
      <c r="J121" s="54" t="str">
        <f t="shared" ca="1" si="17"/>
        <v/>
      </c>
      <c r="K121" s="52"/>
      <c r="L121" s="55" t="str">
        <f ca="1">IF(ISERROR(B121-2),"",C121+D121-F121-G121+I121+J121-SUM($K$14:K121))</f>
        <v/>
      </c>
      <c r="P121" s="4">
        <v>46059.625</v>
      </c>
      <c r="Q121" s="5">
        <v>83.87</v>
      </c>
      <c r="T121" s="4" t="str">
        <f t="shared" si="10"/>
        <v/>
      </c>
      <c r="U121" s="4" t="str">
        <f t="shared" si="9"/>
        <v/>
      </c>
    </row>
    <row r="122" spans="1:21" x14ac:dyDescent="0.25">
      <c r="A122" s="50" t="str">
        <f t="shared" ca="1" si="11"/>
        <v/>
      </c>
      <c r="B122" s="51" t="str">
        <f ca="1">IF(COUNTIF($V$2:V1107,A122)=1,VLOOKUP(A122,N:O,2), IF(COUNTIF($V$2:V1107,A122)=0,$B$9,""))</f>
        <v/>
      </c>
      <c r="C122" s="2" t="str">
        <f t="shared" ca="1" si="12"/>
        <v/>
      </c>
      <c r="D122" s="54" t="str">
        <f t="shared" ca="1" si="13"/>
        <v/>
      </c>
      <c r="E122" s="51" t="str">
        <f ca="1">IF(COUNTIF($V$2:V1107,A122)=1,VLOOKUP(A122,P:Q,2), IF(COUNTIF($V$2:V1107,A122)=0,$C$9,""))</f>
        <v/>
      </c>
      <c r="F122" s="2" t="str">
        <f t="shared" ca="1" si="14"/>
        <v/>
      </c>
      <c r="G122" s="54" t="str">
        <f t="shared" ca="1" si="15"/>
        <v/>
      </c>
      <c r="H122" s="51" t="str">
        <f ca="1">IF(COUNTIF($V$2:V1107,A122)=1,VLOOKUP(A122,R:S,2), IF(COUNTIF($V$2:V1107,A122)=0,$D$9,""))</f>
        <v/>
      </c>
      <c r="I122" s="2" t="str">
        <f t="shared" ca="1" si="16"/>
        <v/>
      </c>
      <c r="J122" s="54" t="str">
        <f t="shared" ca="1" si="17"/>
        <v/>
      </c>
      <c r="K122" s="52"/>
      <c r="L122" s="55" t="str">
        <f ca="1">IF(ISERROR(B122-2),"",C122+D122-F122-G122+I122+J122-SUM($K$14:K122))</f>
        <v/>
      </c>
      <c r="P122" s="4">
        <v>46062.625</v>
      </c>
      <c r="Q122" s="5">
        <v>83.9</v>
      </c>
      <c r="T122" s="4" t="str">
        <f t="shared" si="10"/>
        <v/>
      </c>
      <c r="U122" s="4" t="str">
        <f t="shared" si="9"/>
        <v/>
      </c>
    </row>
    <row r="123" spans="1:21" x14ac:dyDescent="0.25">
      <c r="A123" s="50" t="str">
        <f t="shared" ca="1" si="11"/>
        <v/>
      </c>
      <c r="B123" s="51" t="str">
        <f ca="1">IF(COUNTIF($V$2:V1108,A123)=1,VLOOKUP(A123,N:O,2), IF(COUNTIF($V$2:V1108,A123)=0,$B$9,""))</f>
        <v/>
      </c>
      <c r="C123" s="2" t="str">
        <f t="shared" ca="1" si="12"/>
        <v/>
      </c>
      <c r="D123" s="54" t="str">
        <f t="shared" ca="1" si="13"/>
        <v/>
      </c>
      <c r="E123" s="51" t="str">
        <f ca="1">IF(COUNTIF($V$2:V1108,A123)=1,VLOOKUP(A123,P:Q,2), IF(COUNTIF($V$2:V1108,A123)=0,$C$9,""))</f>
        <v/>
      </c>
      <c r="F123" s="2" t="str">
        <f t="shared" ca="1" si="14"/>
        <v/>
      </c>
      <c r="G123" s="54" t="str">
        <f t="shared" ca="1" si="15"/>
        <v/>
      </c>
      <c r="H123" s="51" t="str">
        <f ca="1">IF(COUNTIF($V$2:V1108,A123)=1,VLOOKUP(A123,R:S,2), IF(COUNTIF($V$2:V1108,A123)=0,$D$9,""))</f>
        <v/>
      </c>
      <c r="I123" s="2" t="str">
        <f t="shared" ca="1" si="16"/>
        <v/>
      </c>
      <c r="J123" s="54" t="str">
        <f t="shared" ca="1" si="17"/>
        <v/>
      </c>
      <c r="K123" s="52"/>
      <c r="L123" s="55" t="str">
        <f ca="1">IF(ISERROR(B123-2),"",C123+D123-F123-G123+I123+J123-SUM($K$14:K123))</f>
        <v/>
      </c>
      <c r="P123" s="4">
        <v>46063.625</v>
      </c>
      <c r="Q123" s="5">
        <v>84.03</v>
      </c>
      <c r="T123" s="4" t="str">
        <f t="shared" si="10"/>
        <v/>
      </c>
      <c r="U123" s="4" t="str">
        <f t="shared" si="9"/>
        <v/>
      </c>
    </row>
    <row r="124" spans="1:21" x14ac:dyDescent="0.25">
      <c r="A124" s="50" t="str">
        <f t="shared" ca="1" si="11"/>
        <v/>
      </c>
      <c r="B124" s="51" t="str">
        <f ca="1">IF(COUNTIF($V$2:V1109,A124)=1,VLOOKUP(A124,N:O,2), IF(COUNTIF($V$2:V1109,A124)=0,$B$9,""))</f>
        <v/>
      </c>
      <c r="C124" s="2" t="str">
        <f t="shared" ca="1" si="12"/>
        <v/>
      </c>
      <c r="D124" s="54" t="str">
        <f t="shared" ca="1" si="13"/>
        <v/>
      </c>
      <c r="E124" s="51" t="str">
        <f ca="1">IF(COUNTIF($V$2:V1109,A124)=1,VLOOKUP(A124,P:Q,2), IF(COUNTIF($V$2:V1109,A124)=0,$C$9,""))</f>
        <v/>
      </c>
      <c r="F124" s="2" t="str">
        <f t="shared" ca="1" si="14"/>
        <v/>
      </c>
      <c r="G124" s="54" t="str">
        <f t="shared" ca="1" si="15"/>
        <v/>
      </c>
      <c r="H124" s="51" t="str">
        <f ca="1">IF(COUNTIF($V$2:V1109,A124)=1,VLOOKUP(A124,R:S,2), IF(COUNTIF($V$2:V1109,A124)=0,$D$9,""))</f>
        <v/>
      </c>
      <c r="I124" s="2" t="str">
        <f t="shared" ca="1" si="16"/>
        <v/>
      </c>
      <c r="J124" s="54" t="str">
        <f t="shared" ca="1" si="17"/>
        <v/>
      </c>
      <c r="K124" s="52"/>
      <c r="L124" s="55" t="str">
        <f ca="1">IF(ISERROR(B124-2),"",C124+D124-F124-G124+I124+J124-SUM($K$14:K124))</f>
        <v/>
      </c>
      <c r="P124" s="4">
        <v>46064.625</v>
      </c>
      <c r="Q124" s="5">
        <v>83.96</v>
      </c>
      <c r="T124" s="4" t="str">
        <f t="shared" si="10"/>
        <v/>
      </c>
      <c r="U124" s="4" t="str">
        <f t="shared" si="9"/>
        <v/>
      </c>
    </row>
    <row r="125" spans="1:21" x14ac:dyDescent="0.25">
      <c r="A125" s="50"/>
      <c r="B125" s="51"/>
      <c r="C125" s="2"/>
      <c r="D125" s="54"/>
      <c r="E125" s="51"/>
      <c r="F125" s="2"/>
      <c r="G125" s="54"/>
      <c r="H125" s="51"/>
      <c r="I125" s="2"/>
      <c r="J125" s="54"/>
      <c r="K125" s="52"/>
      <c r="L125" s="55"/>
      <c r="P125" s="4">
        <v>46065.625</v>
      </c>
      <c r="Q125" s="5">
        <v>84.22</v>
      </c>
      <c r="T125" s="4" t="str">
        <f t="shared" si="10"/>
        <v/>
      </c>
      <c r="U125" s="4" t="str">
        <f t="shared" si="9"/>
        <v/>
      </c>
    </row>
    <row r="126" spans="1:21" x14ac:dyDescent="0.25">
      <c r="A126" s="50"/>
      <c r="B126" s="51"/>
      <c r="C126" s="2"/>
      <c r="D126" s="54"/>
      <c r="E126" s="51"/>
      <c r="F126" s="2"/>
      <c r="G126" s="54"/>
      <c r="H126" s="51"/>
      <c r="I126" s="2"/>
      <c r="J126" s="54"/>
      <c r="K126" s="52"/>
      <c r="L126" s="55"/>
      <c r="P126" s="4">
        <v>46066.625</v>
      </c>
      <c r="Q126" s="5">
        <v>84.49</v>
      </c>
      <c r="T126" s="4" t="str">
        <f t="shared" si="10"/>
        <v/>
      </c>
      <c r="U126" s="4" t="str">
        <f t="shared" si="9"/>
        <v/>
      </c>
    </row>
    <row r="127" spans="1:21" x14ac:dyDescent="0.25">
      <c r="A127" s="50"/>
      <c r="B127" s="51"/>
      <c r="C127" s="2"/>
      <c r="D127" s="54"/>
      <c r="E127" s="51"/>
      <c r="F127" s="2"/>
      <c r="G127" s="54"/>
      <c r="H127" s="51"/>
      <c r="I127" s="2"/>
      <c r="J127" s="54"/>
      <c r="K127" s="52"/>
      <c r="L127" s="55"/>
      <c r="P127" s="4">
        <v>46070.625</v>
      </c>
      <c r="Q127" s="5">
        <v>84.53</v>
      </c>
      <c r="T127" s="4" t="str">
        <f t="shared" si="10"/>
        <v/>
      </c>
      <c r="U127" s="4" t="str">
        <f t="shared" si="9"/>
        <v/>
      </c>
    </row>
    <row r="128" spans="1:21" x14ac:dyDescent="0.25">
      <c r="A128" s="50"/>
      <c r="B128" s="51"/>
      <c r="C128" s="2"/>
      <c r="D128" s="54"/>
      <c r="E128" s="51"/>
      <c r="F128" s="2"/>
      <c r="G128" s="54"/>
      <c r="H128" s="51"/>
      <c r="I128" s="2"/>
      <c r="J128" s="54"/>
      <c r="K128" s="52"/>
      <c r="L128" s="55"/>
      <c r="P128" s="4">
        <v>46071.625</v>
      </c>
      <c r="Q128" s="5">
        <v>84.46</v>
      </c>
      <c r="T128" s="4" t="str">
        <f t="shared" si="10"/>
        <v/>
      </c>
      <c r="U128" s="4" t="str">
        <f t="shared" si="9"/>
        <v/>
      </c>
    </row>
    <row r="129" spans="1:21" x14ac:dyDescent="0.25">
      <c r="A129" s="50"/>
      <c r="B129" s="51"/>
      <c r="C129" s="2"/>
      <c r="D129" s="54"/>
      <c r="E129" s="51"/>
      <c r="F129" s="2"/>
      <c r="G129" s="54"/>
      <c r="H129" s="51"/>
      <c r="I129" s="2"/>
      <c r="J129" s="54"/>
      <c r="K129" s="52"/>
      <c r="L129" s="55"/>
      <c r="P129" s="4">
        <v>46072.625</v>
      </c>
      <c r="Q129" s="5">
        <v>84.52</v>
      </c>
      <c r="T129" s="4" t="str">
        <f t="shared" si="10"/>
        <v/>
      </c>
      <c r="U129" s="4" t="str">
        <f t="shared" si="9"/>
        <v/>
      </c>
    </row>
    <row r="130" spans="1:21" x14ac:dyDescent="0.25">
      <c r="A130" s="50"/>
      <c r="B130" s="51"/>
      <c r="C130" s="2"/>
      <c r="D130" s="54"/>
      <c r="E130" s="51"/>
      <c r="F130" s="2"/>
      <c r="G130" s="54"/>
      <c r="H130" s="51"/>
      <c r="I130" s="2"/>
      <c r="J130" s="54"/>
      <c r="K130" s="52"/>
      <c r="L130" s="55"/>
      <c r="P130" s="4">
        <v>46073.625</v>
      </c>
      <c r="Q130" s="5">
        <v>84.54</v>
      </c>
      <c r="T130" s="4" t="str">
        <f t="shared" si="10"/>
        <v/>
      </c>
      <c r="U130" s="4" t="str">
        <f t="shared" si="9"/>
        <v/>
      </c>
    </row>
    <row r="131" spans="1:21" x14ac:dyDescent="0.25">
      <c r="A131" s="50"/>
      <c r="B131" s="51"/>
      <c r="C131" s="2"/>
      <c r="D131" s="54"/>
      <c r="E131" s="51"/>
      <c r="F131" s="2"/>
      <c r="G131" s="54"/>
      <c r="H131" s="51"/>
      <c r="I131" s="2"/>
      <c r="J131" s="54"/>
      <c r="K131" s="52"/>
      <c r="L131" s="55"/>
      <c r="P131" s="4">
        <v>46076.625</v>
      </c>
      <c r="Q131" s="5">
        <v>84.71</v>
      </c>
      <c r="T131" s="4" t="str">
        <f t="shared" si="10"/>
        <v/>
      </c>
      <c r="U131" s="4" t="str">
        <f t="shared" ref="U131:U194" si="18">IF(T131&gt;$A$14,T131,"")</f>
        <v/>
      </c>
    </row>
    <row r="132" spans="1:21" x14ac:dyDescent="0.25">
      <c r="A132" s="50"/>
      <c r="B132" s="51"/>
      <c r="C132" s="2"/>
      <c r="D132" s="54"/>
      <c r="E132" s="51"/>
      <c r="F132" s="2"/>
      <c r="G132" s="54"/>
      <c r="H132" s="51"/>
      <c r="I132" s="2"/>
      <c r="J132" s="54"/>
      <c r="K132" s="52"/>
      <c r="L132" s="55"/>
      <c r="P132" s="4">
        <v>46077.625</v>
      </c>
      <c r="Q132" s="5">
        <v>84.63</v>
      </c>
      <c r="T132" s="4" t="str">
        <f t="shared" ref="T132:T195" si="19">IF(COUNTIF(P:P,N132)*COUNTIF(R:R,N132),N132,"")</f>
        <v/>
      </c>
      <c r="U132" s="4" t="str">
        <f t="shared" si="18"/>
        <v/>
      </c>
    </row>
    <row r="133" spans="1:21" x14ac:dyDescent="0.25">
      <c r="A133" s="50"/>
      <c r="B133" s="51"/>
      <c r="C133" s="2"/>
      <c r="D133" s="54"/>
      <c r="E133" s="51"/>
      <c r="F133" s="2"/>
      <c r="G133" s="54"/>
      <c r="H133" s="51"/>
      <c r="I133" s="2"/>
      <c r="J133" s="54"/>
      <c r="K133" s="52"/>
      <c r="L133" s="55"/>
      <c r="P133" s="4">
        <v>46078.625</v>
      </c>
      <c r="Q133" s="5">
        <v>84.59</v>
      </c>
      <c r="T133" s="4" t="str">
        <f t="shared" si="19"/>
        <v/>
      </c>
      <c r="U133" s="4" t="str">
        <f t="shared" si="18"/>
        <v/>
      </c>
    </row>
    <row r="134" spans="1:21" x14ac:dyDescent="0.25">
      <c r="A134" s="50"/>
      <c r="B134" s="51"/>
      <c r="C134" s="2"/>
      <c r="D134" s="54"/>
      <c r="E134" s="51"/>
      <c r="F134" s="2"/>
      <c r="G134" s="54"/>
      <c r="H134" s="51"/>
      <c r="I134" s="2"/>
      <c r="J134" s="54"/>
      <c r="K134" s="52"/>
      <c r="L134" s="55"/>
      <c r="P134" s="4">
        <v>46079.625</v>
      </c>
      <c r="Q134" s="5">
        <v>84.68</v>
      </c>
      <c r="T134" s="4" t="str">
        <f t="shared" si="19"/>
        <v/>
      </c>
      <c r="U134" s="4" t="str">
        <f t="shared" si="18"/>
        <v/>
      </c>
    </row>
    <row r="135" spans="1:21" x14ac:dyDescent="0.25">
      <c r="A135" s="50"/>
      <c r="B135" s="51"/>
      <c r="C135" s="2"/>
      <c r="D135" s="54"/>
      <c r="E135" s="51"/>
      <c r="F135" s="2"/>
      <c r="G135" s="54"/>
      <c r="H135" s="51"/>
      <c r="I135" s="2"/>
      <c r="J135" s="54"/>
      <c r="K135" s="52"/>
      <c r="L135" s="55"/>
      <c r="P135" s="4">
        <v>46080.625</v>
      </c>
      <c r="Q135" s="5">
        <v>84.72</v>
      </c>
      <c r="T135" s="4" t="str">
        <f t="shared" si="19"/>
        <v/>
      </c>
      <c r="U135" s="4" t="str">
        <f t="shared" si="18"/>
        <v/>
      </c>
    </row>
    <row r="136" spans="1:21" x14ac:dyDescent="0.25">
      <c r="A136" s="50"/>
      <c r="B136" s="51"/>
      <c r="C136" s="2"/>
      <c r="D136" s="54"/>
      <c r="E136" s="51"/>
      <c r="F136" s="2"/>
      <c r="G136" s="54"/>
      <c r="H136" s="51"/>
      <c r="I136" s="2"/>
      <c r="J136" s="54"/>
      <c r="K136" s="52"/>
      <c r="L136" s="55"/>
      <c r="T136" s="4" t="str">
        <f t="shared" si="19"/>
        <v/>
      </c>
      <c r="U136" s="4" t="str">
        <f t="shared" si="18"/>
        <v/>
      </c>
    </row>
    <row r="137" spans="1:21" x14ac:dyDescent="0.25">
      <c r="A137" s="50"/>
      <c r="B137" s="51"/>
      <c r="C137" s="2"/>
      <c r="D137" s="54"/>
      <c r="E137" s="51"/>
      <c r="F137" s="2"/>
      <c r="G137" s="54"/>
      <c r="H137" s="51"/>
      <c r="I137" s="2"/>
      <c r="J137" s="54"/>
      <c r="K137" s="52"/>
      <c r="L137" s="55"/>
      <c r="T137" s="4" t="str">
        <f t="shared" si="19"/>
        <v/>
      </c>
      <c r="U137" s="4" t="str">
        <f t="shared" si="18"/>
        <v/>
      </c>
    </row>
    <row r="138" spans="1:21" x14ac:dyDescent="0.25">
      <c r="A138" s="50"/>
      <c r="B138" s="51"/>
      <c r="C138" s="2"/>
      <c r="D138" s="54"/>
      <c r="E138" s="51"/>
      <c r="F138" s="2"/>
      <c r="G138" s="54"/>
      <c r="H138" s="51"/>
      <c r="I138" s="2"/>
      <c r="J138" s="54"/>
      <c r="K138" s="52"/>
      <c r="L138" s="55"/>
      <c r="T138" s="4" t="str">
        <f t="shared" si="19"/>
        <v/>
      </c>
      <c r="U138" s="4" t="str">
        <f t="shared" si="18"/>
        <v/>
      </c>
    </row>
    <row r="139" spans="1:21" x14ac:dyDescent="0.25">
      <c r="A139" s="50"/>
      <c r="B139" s="51"/>
      <c r="C139" s="2"/>
      <c r="D139" s="54"/>
      <c r="E139" s="51"/>
      <c r="F139" s="2"/>
      <c r="G139" s="54"/>
      <c r="H139" s="51"/>
      <c r="I139" s="2"/>
      <c r="J139" s="54"/>
      <c r="K139" s="52"/>
      <c r="L139" s="55"/>
      <c r="T139" s="4" t="str">
        <f t="shared" si="19"/>
        <v/>
      </c>
      <c r="U139" s="4" t="str">
        <f t="shared" si="18"/>
        <v/>
      </c>
    </row>
    <row r="140" spans="1:21" x14ac:dyDescent="0.25">
      <c r="A140" s="50"/>
      <c r="B140" s="51"/>
      <c r="C140" s="2"/>
      <c r="D140" s="54"/>
      <c r="E140" s="51"/>
      <c r="F140" s="2"/>
      <c r="G140" s="54"/>
      <c r="H140" s="51"/>
      <c r="I140" s="2"/>
      <c r="J140" s="54"/>
      <c r="K140" s="52"/>
      <c r="L140" s="55"/>
      <c r="T140" s="4" t="str">
        <f t="shared" si="19"/>
        <v/>
      </c>
      <c r="U140" s="4" t="str">
        <f t="shared" si="18"/>
        <v/>
      </c>
    </row>
    <row r="141" spans="1:21" x14ac:dyDescent="0.25">
      <c r="A141" s="50"/>
      <c r="B141" s="51"/>
      <c r="C141" s="2"/>
      <c r="D141" s="54"/>
      <c r="E141" s="51"/>
      <c r="F141" s="2"/>
      <c r="G141" s="54"/>
      <c r="H141" s="51"/>
      <c r="I141" s="2"/>
      <c r="J141" s="54"/>
      <c r="K141" s="52"/>
      <c r="L141" s="55"/>
      <c r="T141" s="4" t="str">
        <f t="shared" si="19"/>
        <v/>
      </c>
      <c r="U141" s="4" t="str">
        <f t="shared" si="18"/>
        <v/>
      </c>
    </row>
    <row r="142" spans="1:21" x14ac:dyDescent="0.25">
      <c r="A142" s="50"/>
      <c r="B142" s="51"/>
      <c r="C142" s="2"/>
      <c r="D142" s="54"/>
      <c r="E142" s="51"/>
      <c r="F142" s="2"/>
      <c r="G142" s="54"/>
      <c r="H142" s="51"/>
      <c r="I142" s="2"/>
      <c r="J142" s="54"/>
      <c r="K142" s="52"/>
      <c r="L142" s="55"/>
      <c r="T142" s="4" t="str">
        <f t="shared" si="19"/>
        <v/>
      </c>
      <c r="U142" s="4" t="str">
        <f t="shared" si="18"/>
        <v/>
      </c>
    </row>
    <row r="143" spans="1:21" x14ac:dyDescent="0.25">
      <c r="A143" s="50"/>
      <c r="B143" s="51"/>
      <c r="C143" s="2"/>
      <c r="D143" s="54"/>
      <c r="E143" s="51"/>
      <c r="F143" s="2"/>
      <c r="G143" s="54"/>
      <c r="H143" s="51"/>
      <c r="I143" s="2"/>
      <c r="J143" s="54"/>
      <c r="K143" s="52"/>
      <c r="L143" s="55"/>
      <c r="T143" s="4" t="str">
        <f t="shared" si="19"/>
        <v/>
      </c>
      <c r="U143" s="4" t="str">
        <f t="shared" si="18"/>
        <v/>
      </c>
    </row>
    <row r="144" spans="1:21" x14ac:dyDescent="0.25">
      <c r="A144" s="50"/>
      <c r="B144" s="51"/>
      <c r="C144" s="2"/>
      <c r="D144" s="54"/>
      <c r="E144" s="51"/>
      <c r="F144" s="2"/>
      <c r="G144" s="54"/>
      <c r="H144" s="51"/>
      <c r="I144" s="2"/>
      <c r="J144" s="54"/>
      <c r="K144" s="52"/>
      <c r="L144" s="55"/>
      <c r="T144" s="4" t="str">
        <f t="shared" si="19"/>
        <v/>
      </c>
      <c r="U144" s="4" t="str">
        <f t="shared" si="18"/>
        <v/>
      </c>
    </row>
    <row r="145" spans="1:21" x14ac:dyDescent="0.25">
      <c r="A145" s="50"/>
      <c r="B145" s="51"/>
      <c r="C145" s="2"/>
      <c r="D145" s="54"/>
      <c r="E145" s="51"/>
      <c r="F145" s="2"/>
      <c r="G145" s="54"/>
      <c r="H145" s="51"/>
      <c r="I145" s="2"/>
      <c r="J145" s="54"/>
      <c r="K145" s="52"/>
      <c r="L145" s="55"/>
      <c r="T145" s="4" t="str">
        <f t="shared" si="19"/>
        <v/>
      </c>
      <c r="U145" s="4" t="str">
        <f t="shared" si="18"/>
        <v/>
      </c>
    </row>
    <row r="146" spans="1:21" x14ac:dyDescent="0.25">
      <c r="A146" s="50"/>
      <c r="B146" s="51"/>
      <c r="C146" s="2"/>
      <c r="D146" s="54"/>
      <c r="E146" s="51"/>
      <c r="F146" s="2"/>
      <c r="G146" s="54"/>
      <c r="H146" s="51"/>
      <c r="I146" s="2"/>
      <c r="J146" s="54"/>
      <c r="K146" s="52"/>
      <c r="L146" s="55"/>
      <c r="T146" s="4" t="str">
        <f t="shared" si="19"/>
        <v/>
      </c>
      <c r="U146" s="4" t="str">
        <f t="shared" si="18"/>
        <v/>
      </c>
    </row>
    <row r="147" spans="1:21" x14ac:dyDescent="0.25">
      <c r="A147" s="50"/>
      <c r="B147" s="51"/>
      <c r="C147" s="2"/>
      <c r="D147" s="54"/>
      <c r="E147" s="51"/>
      <c r="F147" s="2"/>
      <c r="G147" s="54"/>
      <c r="H147" s="51"/>
      <c r="I147" s="2"/>
      <c r="J147" s="54"/>
      <c r="K147" s="52"/>
      <c r="L147" s="55"/>
      <c r="T147" s="4" t="str">
        <f t="shared" si="19"/>
        <v/>
      </c>
      <c r="U147" s="4" t="str">
        <f t="shared" si="18"/>
        <v/>
      </c>
    </row>
    <row r="148" spans="1:21" x14ac:dyDescent="0.25">
      <c r="A148" s="50"/>
      <c r="B148" s="51"/>
      <c r="C148" s="2"/>
      <c r="D148" s="54"/>
      <c r="E148" s="51"/>
      <c r="F148" s="2"/>
      <c r="G148" s="54"/>
      <c r="H148" s="51"/>
      <c r="I148" s="2"/>
      <c r="J148" s="54"/>
      <c r="K148" s="52"/>
      <c r="L148" s="55"/>
      <c r="T148" s="4" t="str">
        <f t="shared" si="19"/>
        <v/>
      </c>
      <c r="U148" s="4" t="str">
        <f t="shared" si="18"/>
        <v/>
      </c>
    </row>
    <row r="149" spans="1:21" x14ac:dyDescent="0.25">
      <c r="A149" s="50"/>
      <c r="B149" s="51"/>
      <c r="C149" s="2"/>
      <c r="D149" s="54"/>
      <c r="E149" s="51"/>
      <c r="F149" s="2"/>
      <c r="G149" s="54"/>
      <c r="H149" s="51"/>
      <c r="I149" s="2"/>
      <c r="J149" s="54"/>
      <c r="K149" s="52"/>
      <c r="L149" s="55"/>
      <c r="T149" s="4" t="str">
        <f t="shared" si="19"/>
        <v/>
      </c>
      <c r="U149" s="4" t="str">
        <f t="shared" si="18"/>
        <v/>
      </c>
    </row>
    <row r="150" spans="1:21" x14ac:dyDescent="0.25">
      <c r="A150" s="50"/>
      <c r="B150" s="51"/>
      <c r="C150" s="2"/>
      <c r="D150" s="54"/>
      <c r="E150" s="51"/>
      <c r="F150" s="2"/>
      <c r="G150" s="54"/>
      <c r="H150" s="51"/>
      <c r="I150" s="2"/>
      <c r="J150" s="54"/>
      <c r="K150" s="52"/>
      <c r="L150" s="55"/>
      <c r="T150" s="4" t="str">
        <f t="shared" si="19"/>
        <v/>
      </c>
      <c r="U150" s="4" t="str">
        <f t="shared" si="18"/>
        <v/>
      </c>
    </row>
    <row r="151" spans="1:21" x14ac:dyDescent="0.25">
      <c r="A151" s="50"/>
      <c r="B151" s="51"/>
      <c r="C151" s="2"/>
      <c r="D151" s="54"/>
      <c r="E151" s="51"/>
      <c r="F151" s="2"/>
      <c r="G151" s="54"/>
      <c r="H151" s="51"/>
      <c r="I151" s="2"/>
      <c r="J151" s="54"/>
      <c r="K151" s="52"/>
      <c r="L151" s="55"/>
      <c r="T151" s="4" t="str">
        <f t="shared" si="19"/>
        <v/>
      </c>
      <c r="U151" s="4" t="str">
        <f t="shared" si="18"/>
        <v/>
      </c>
    </row>
    <row r="152" spans="1:21" x14ac:dyDescent="0.25">
      <c r="A152" s="50"/>
      <c r="B152" s="51"/>
      <c r="C152" s="2"/>
      <c r="D152" s="54"/>
      <c r="E152" s="51"/>
      <c r="F152" s="2"/>
      <c r="G152" s="54"/>
      <c r="H152" s="51"/>
      <c r="I152" s="2"/>
      <c r="J152" s="54"/>
      <c r="K152" s="52"/>
      <c r="L152" s="55"/>
      <c r="T152" s="4" t="str">
        <f t="shared" si="19"/>
        <v/>
      </c>
      <c r="U152" s="4" t="str">
        <f t="shared" si="18"/>
        <v/>
      </c>
    </row>
    <row r="153" spans="1:21" x14ac:dyDescent="0.25">
      <c r="A153" s="50"/>
      <c r="B153" s="51"/>
      <c r="C153" s="2"/>
      <c r="D153" s="54"/>
      <c r="E153" s="51"/>
      <c r="F153" s="2"/>
      <c r="G153" s="54"/>
      <c r="H153" s="51"/>
      <c r="I153" s="2"/>
      <c r="J153" s="54"/>
      <c r="K153" s="52"/>
      <c r="L153" s="55"/>
      <c r="T153" s="4" t="str">
        <f t="shared" si="19"/>
        <v/>
      </c>
      <c r="U153" s="4" t="str">
        <f t="shared" si="18"/>
        <v/>
      </c>
    </row>
    <row r="154" spans="1:21" x14ac:dyDescent="0.25">
      <c r="A154" s="50"/>
      <c r="B154" s="51"/>
      <c r="C154" s="2"/>
      <c r="D154" s="54"/>
      <c r="E154" s="51"/>
      <c r="F154" s="2"/>
      <c r="G154" s="54"/>
      <c r="H154" s="51"/>
      <c r="I154" s="2"/>
      <c r="J154" s="54"/>
      <c r="K154" s="52"/>
      <c r="L154" s="55"/>
      <c r="T154" s="4" t="str">
        <f t="shared" si="19"/>
        <v/>
      </c>
      <c r="U154" s="4" t="str">
        <f t="shared" si="18"/>
        <v/>
      </c>
    </row>
    <row r="155" spans="1:21" x14ac:dyDescent="0.25">
      <c r="A155" s="50"/>
      <c r="B155" s="51"/>
      <c r="C155" s="2"/>
      <c r="D155" s="54"/>
      <c r="E155" s="51"/>
      <c r="F155" s="2"/>
      <c r="G155" s="54"/>
      <c r="H155" s="51"/>
      <c r="I155" s="2"/>
      <c r="J155" s="54"/>
      <c r="K155" s="52"/>
      <c r="L155" s="55"/>
      <c r="T155" s="4" t="str">
        <f t="shared" si="19"/>
        <v/>
      </c>
      <c r="U155" s="4" t="str">
        <f t="shared" si="18"/>
        <v/>
      </c>
    </row>
    <row r="156" spans="1:21" x14ac:dyDescent="0.25">
      <c r="A156" s="50"/>
      <c r="B156" s="51"/>
      <c r="C156" s="2"/>
      <c r="D156" s="54"/>
      <c r="E156" s="51"/>
      <c r="F156" s="2"/>
      <c r="G156" s="54"/>
      <c r="H156" s="51"/>
      <c r="I156" s="2"/>
      <c r="J156" s="54"/>
      <c r="K156" s="52"/>
      <c r="L156" s="55"/>
      <c r="T156" s="4" t="str">
        <f t="shared" si="19"/>
        <v/>
      </c>
      <c r="U156" s="4" t="str">
        <f t="shared" si="18"/>
        <v/>
      </c>
    </row>
    <row r="157" spans="1:21" x14ac:dyDescent="0.25">
      <c r="A157" s="50"/>
      <c r="B157" s="51"/>
      <c r="C157" s="2"/>
      <c r="D157" s="54"/>
      <c r="E157" s="51"/>
      <c r="F157" s="2"/>
      <c r="G157" s="54"/>
      <c r="H157" s="51"/>
      <c r="I157" s="2"/>
      <c r="J157" s="54"/>
      <c r="K157" s="52"/>
      <c r="L157" s="55"/>
      <c r="T157" s="4" t="str">
        <f t="shared" si="19"/>
        <v/>
      </c>
      <c r="U157" s="4" t="str">
        <f t="shared" si="18"/>
        <v/>
      </c>
    </row>
    <row r="158" spans="1:21" x14ac:dyDescent="0.25">
      <c r="A158" s="50"/>
      <c r="B158" s="51"/>
      <c r="C158" s="2"/>
      <c r="D158" s="54"/>
      <c r="E158" s="51"/>
      <c r="F158" s="2"/>
      <c r="G158" s="54"/>
      <c r="H158" s="51"/>
      <c r="I158" s="2"/>
      <c r="J158" s="54"/>
      <c r="K158" s="52"/>
      <c r="L158" s="55"/>
      <c r="T158" s="4" t="str">
        <f t="shared" si="19"/>
        <v/>
      </c>
      <c r="U158" s="4" t="str">
        <f t="shared" si="18"/>
        <v/>
      </c>
    </row>
    <row r="159" spans="1:21" x14ac:dyDescent="0.25">
      <c r="A159" s="50"/>
      <c r="B159" s="51"/>
      <c r="C159" s="2"/>
      <c r="D159" s="54"/>
      <c r="E159" s="51"/>
      <c r="F159" s="2"/>
      <c r="G159" s="54"/>
      <c r="H159" s="51"/>
      <c r="I159" s="2"/>
      <c r="J159" s="54"/>
      <c r="K159" s="52"/>
      <c r="L159" s="55"/>
      <c r="T159" s="4" t="str">
        <f t="shared" si="19"/>
        <v/>
      </c>
      <c r="U159" s="4" t="str">
        <f t="shared" si="18"/>
        <v/>
      </c>
    </row>
    <row r="160" spans="1:21" x14ac:dyDescent="0.25">
      <c r="A160" s="50"/>
      <c r="B160" s="51"/>
      <c r="C160" s="2"/>
      <c r="D160" s="54"/>
      <c r="E160" s="51"/>
      <c r="F160" s="2"/>
      <c r="G160" s="54"/>
      <c r="H160" s="51"/>
      <c r="I160" s="2"/>
      <c r="J160" s="54"/>
      <c r="K160" s="52"/>
      <c r="L160" s="55"/>
      <c r="T160" s="4" t="str">
        <f t="shared" si="19"/>
        <v/>
      </c>
      <c r="U160" s="4" t="str">
        <f t="shared" si="18"/>
        <v/>
      </c>
    </row>
    <row r="161" spans="1:21" x14ac:dyDescent="0.25">
      <c r="A161" s="50"/>
      <c r="B161" s="51"/>
      <c r="C161" s="2"/>
      <c r="D161" s="54"/>
      <c r="E161" s="51"/>
      <c r="F161" s="2"/>
      <c r="G161" s="54"/>
      <c r="H161" s="51"/>
      <c r="I161" s="2"/>
      <c r="J161" s="54"/>
      <c r="K161" s="52"/>
      <c r="L161" s="55"/>
      <c r="T161" s="4" t="str">
        <f t="shared" si="19"/>
        <v/>
      </c>
      <c r="U161" s="4" t="str">
        <f t="shared" si="18"/>
        <v/>
      </c>
    </row>
    <row r="162" spans="1:21" x14ac:dyDescent="0.25">
      <c r="A162" s="50"/>
      <c r="B162" s="51"/>
      <c r="C162" s="2"/>
      <c r="D162" s="54"/>
      <c r="E162" s="51"/>
      <c r="F162" s="2"/>
      <c r="G162" s="54"/>
      <c r="H162" s="51"/>
      <c r="I162" s="2"/>
      <c r="J162" s="54"/>
      <c r="K162" s="52"/>
      <c r="L162" s="55"/>
      <c r="T162" s="4" t="str">
        <f t="shared" si="19"/>
        <v/>
      </c>
      <c r="U162" s="4" t="str">
        <f t="shared" si="18"/>
        <v/>
      </c>
    </row>
    <row r="163" spans="1:21" x14ac:dyDescent="0.25">
      <c r="A163" s="50"/>
      <c r="B163" s="51"/>
      <c r="C163" s="2"/>
      <c r="D163" s="54"/>
      <c r="E163" s="51"/>
      <c r="F163" s="2"/>
      <c r="G163" s="54"/>
      <c r="H163" s="51"/>
      <c r="I163" s="2"/>
      <c r="J163" s="54"/>
      <c r="K163" s="52"/>
      <c r="L163" s="55"/>
      <c r="T163" s="4" t="str">
        <f t="shared" si="19"/>
        <v/>
      </c>
      <c r="U163" s="4" t="str">
        <f t="shared" si="18"/>
        <v/>
      </c>
    </row>
    <row r="164" spans="1:21" x14ac:dyDescent="0.25">
      <c r="A164" s="50"/>
      <c r="B164" s="51"/>
      <c r="C164" s="2"/>
      <c r="D164" s="54"/>
      <c r="E164" s="51"/>
      <c r="F164" s="2"/>
      <c r="G164" s="54"/>
      <c r="H164" s="51"/>
      <c r="I164" s="2"/>
      <c r="J164" s="54"/>
      <c r="K164" s="52"/>
      <c r="L164" s="55"/>
      <c r="T164" s="4" t="str">
        <f t="shared" si="19"/>
        <v/>
      </c>
      <c r="U164" s="4" t="str">
        <f t="shared" si="18"/>
        <v/>
      </c>
    </row>
    <row r="165" spans="1:21" x14ac:dyDescent="0.25">
      <c r="A165" s="50"/>
      <c r="B165" s="51"/>
      <c r="C165" s="2"/>
      <c r="D165" s="54"/>
      <c r="E165" s="51"/>
      <c r="F165" s="2"/>
      <c r="G165" s="54"/>
      <c r="H165" s="51"/>
      <c r="I165" s="2"/>
      <c r="J165" s="54"/>
      <c r="K165" s="52"/>
      <c r="L165" s="55"/>
      <c r="T165" s="4" t="str">
        <f t="shared" si="19"/>
        <v/>
      </c>
      <c r="U165" s="4" t="str">
        <f t="shared" si="18"/>
        <v/>
      </c>
    </row>
    <row r="166" spans="1:21" x14ac:dyDescent="0.25">
      <c r="A166" s="50"/>
      <c r="B166" s="51"/>
      <c r="C166" s="2"/>
      <c r="D166" s="54"/>
      <c r="E166" s="51"/>
      <c r="F166" s="2"/>
      <c r="G166" s="54"/>
      <c r="H166" s="51"/>
      <c r="I166" s="2"/>
      <c r="J166" s="54"/>
      <c r="K166" s="52"/>
      <c r="L166" s="55"/>
      <c r="T166" s="4" t="str">
        <f t="shared" si="19"/>
        <v/>
      </c>
      <c r="U166" s="4" t="str">
        <f t="shared" si="18"/>
        <v/>
      </c>
    </row>
    <row r="167" spans="1:21" x14ac:dyDescent="0.25">
      <c r="A167" s="50"/>
      <c r="B167" s="51"/>
      <c r="C167" s="2"/>
      <c r="D167" s="54"/>
      <c r="E167" s="51"/>
      <c r="F167" s="2"/>
      <c r="G167" s="54"/>
      <c r="H167" s="51"/>
      <c r="I167" s="2"/>
      <c r="J167" s="54"/>
      <c r="K167" s="52"/>
      <c r="L167" s="55"/>
      <c r="T167" s="4" t="str">
        <f t="shared" si="19"/>
        <v/>
      </c>
      <c r="U167" s="4" t="str">
        <f t="shared" si="18"/>
        <v/>
      </c>
    </row>
    <row r="168" spans="1:21" x14ac:dyDescent="0.25">
      <c r="A168" s="50"/>
      <c r="B168" s="51"/>
      <c r="C168" s="2"/>
      <c r="D168" s="54"/>
      <c r="E168" s="51"/>
      <c r="F168" s="2"/>
      <c r="G168" s="54"/>
      <c r="H168" s="51"/>
      <c r="I168" s="2"/>
      <c r="J168" s="54"/>
      <c r="K168" s="52"/>
      <c r="L168" s="55"/>
      <c r="T168" s="4" t="str">
        <f t="shared" si="19"/>
        <v/>
      </c>
      <c r="U168" s="4" t="str">
        <f t="shared" si="18"/>
        <v/>
      </c>
    </row>
    <row r="169" spans="1:21" x14ac:dyDescent="0.25">
      <c r="A169" s="50"/>
      <c r="B169" s="51"/>
      <c r="C169" s="2"/>
      <c r="D169" s="54"/>
      <c r="E169" s="51"/>
      <c r="F169" s="2"/>
      <c r="G169" s="54"/>
      <c r="H169" s="51"/>
      <c r="I169" s="2"/>
      <c r="J169" s="54"/>
      <c r="K169" s="52"/>
      <c r="L169" s="55"/>
      <c r="T169" s="4" t="str">
        <f t="shared" si="19"/>
        <v/>
      </c>
      <c r="U169" s="4" t="str">
        <f t="shared" si="18"/>
        <v/>
      </c>
    </row>
    <row r="170" spans="1:21" x14ac:dyDescent="0.25">
      <c r="A170" s="50"/>
      <c r="B170" s="51"/>
      <c r="C170" s="2"/>
      <c r="D170" s="54"/>
      <c r="E170" s="51"/>
      <c r="F170" s="2"/>
      <c r="G170" s="54"/>
      <c r="H170" s="51"/>
      <c r="I170" s="2"/>
      <c r="J170" s="54"/>
      <c r="K170" s="52"/>
      <c r="L170" s="55"/>
      <c r="T170" s="4" t="str">
        <f t="shared" si="19"/>
        <v/>
      </c>
      <c r="U170" s="4" t="str">
        <f t="shared" si="18"/>
        <v/>
      </c>
    </row>
    <row r="171" spans="1:21" x14ac:dyDescent="0.25">
      <c r="A171" s="50"/>
      <c r="B171" s="51"/>
      <c r="C171" s="2"/>
      <c r="D171" s="54"/>
      <c r="E171" s="51"/>
      <c r="F171" s="2"/>
      <c r="G171" s="54"/>
      <c r="H171" s="51"/>
      <c r="I171" s="2"/>
      <c r="J171" s="54"/>
      <c r="K171" s="52"/>
      <c r="L171" s="55"/>
      <c r="T171" s="4" t="str">
        <f t="shared" si="19"/>
        <v/>
      </c>
      <c r="U171" s="4" t="str">
        <f t="shared" si="18"/>
        <v/>
      </c>
    </row>
    <row r="172" spans="1:21" x14ac:dyDescent="0.25">
      <c r="A172" s="50"/>
      <c r="B172" s="51"/>
      <c r="C172" s="2"/>
      <c r="D172" s="54"/>
      <c r="E172" s="51"/>
      <c r="F172" s="2"/>
      <c r="G172" s="54"/>
      <c r="H172" s="51"/>
      <c r="I172" s="2"/>
      <c r="J172" s="54"/>
      <c r="K172" s="52"/>
      <c r="L172" s="55"/>
      <c r="T172" s="4" t="str">
        <f t="shared" si="19"/>
        <v/>
      </c>
      <c r="U172" s="4" t="str">
        <f t="shared" si="18"/>
        <v/>
      </c>
    </row>
    <row r="173" spans="1:21" x14ac:dyDescent="0.25">
      <c r="A173" s="50"/>
      <c r="B173" s="51"/>
      <c r="C173" s="2"/>
      <c r="D173" s="54"/>
      <c r="E173" s="51"/>
      <c r="F173" s="2"/>
      <c r="G173" s="54"/>
      <c r="H173" s="51"/>
      <c r="I173" s="2"/>
      <c r="J173" s="54"/>
      <c r="K173" s="52"/>
      <c r="L173" s="55"/>
      <c r="T173" s="4" t="str">
        <f t="shared" si="19"/>
        <v/>
      </c>
      <c r="U173" s="4" t="str">
        <f t="shared" si="18"/>
        <v/>
      </c>
    </row>
    <row r="174" spans="1:21" x14ac:dyDescent="0.25">
      <c r="A174" s="50"/>
      <c r="B174" s="51"/>
      <c r="C174" s="2"/>
      <c r="D174" s="54"/>
      <c r="E174" s="51"/>
      <c r="F174" s="2"/>
      <c r="G174" s="54"/>
      <c r="H174" s="51"/>
      <c r="I174" s="2"/>
      <c r="J174" s="54"/>
      <c r="K174" s="52"/>
      <c r="L174" s="55"/>
      <c r="T174" s="4" t="str">
        <f t="shared" si="19"/>
        <v/>
      </c>
      <c r="U174" s="4" t="str">
        <f t="shared" si="18"/>
        <v/>
      </c>
    </row>
    <row r="175" spans="1:21" x14ac:dyDescent="0.25">
      <c r="A175" s="50"/>
      <c r="B175" s="51"/>
      <c r="C175" s="2"/>
      <c r="D175" s="54"/>
      <c r="E175" s="51"/>
      <c r="F175" s="2"/>
      <c r="G175" s="54"/>
      <c r="H175" s="51"/>
      <c r="I175" s="2"/>
      <c r="J175" s="54"/>
      <c r="K175" s="52"/>
      <c r="L175" s="55"/>
      <c r="T175" s="4" t="str">
        <f t="shared" si="19"/>
        <v/>
      </c>
      <c r="U175" s="4" t="str">
        <f t="shared" si="18"/>
        <v/>
      </c>
    </row>
    <row r="176" spans="1:21" x14ac:dyDescent="0.25">
      <c r="A176" s="50"/>
      <c r="B176" s="51"/>
      <c r="C176" s="2"/>
      <c r="D176" s="54"/>
      <c r="E176" s="51"/>
      <c r="F176" s="2"/>
      <c r="G176" s="54"/>
      <c r="H176" s="51"/>
      <c r="I176" s="2"/>
      <c r="J176" s="54"/>
      <c r="K176" s="52"/>
      <c r="L176" s="55"/>
      <c r="T176" s="4" t="str">
        <f t="shared" si="19"/>
        <v/>
      </c>
      <c r="U176" s="4" t="str">
        <f t="shared" si="18"/>
        <v/>
      </c>
    </row>
    <row r="177" spans="1:21" x14ac:dyDescent="0.25">
      <c r="A177" s="50"/>
      <c r="B177" s="51"/>
      <c r="C177" s="2"/>
      <c r="D177" s="54"/>
      <c r="E177" s="51"/>
      <c r="F177" s="2"/>
      <c r="G177" s="54"/>
      <c r="H177" s="51"/>
      <c r="I177" s="2"/>
      <c r="J177" s="54"/>
      <c r="K177" s="52"/>
      <c r="L177" s="55"/>
      <c r="T177" s="4" t="str">
        <f t="shared" si="19"/>
        <v/>
      </c>
      <c r="U177" s="4" t="str">
        <f t="shared" si="18"/>
        <v/>
      </c>
    </row>
    <row r="178" spans="1:21" x14ac:dyDescent="0.25">
      <c r="A178" s="50"/>
      <c r="B178" s="51"/>
      <c r="C178" s="2"/>
      <c r="D178" s="54"/>
      <c r="E178" s="51"/>
      <c r="F178" s="2"/>
      <c r="G178" s="54"/>
      <c r="H178" s="51"/>
      <c r="I178" s="2"/>
      <c r="J178" s="54"/>
      <c r="K178" s="52"/>
      <c r="L178" s="55"/>
      <c r="T178" s="4" t="str">
        <f t="shared" si="19"/>
        <v/>
      </c>
      <c r="U178" s="4" t="str">
        <f t="shared" si="18"/>
        <v/>
      </c>
    </row>
    <row r="179" spans="1:21" x14ac:dyDescent="0.25">
      <c r="A179" s="50"/>
      <c r="B179" s="51"/>
      <c r="C179" s="2"/>
      <c r="D179" s="54"/>
      <c r="E179" s="51"/>
      <c r="F179" s="2"/>
      <c r="G179" s="54"/>
      <c r="H179" s="51"/>
      <c r="I179" s="2"/>
      <c r="J179" s="54"/>
      <c r="K179" s="52"/>
      <c r="L179" s="55"/>
      <c r="T179" s="4" t="str">
        <f t="shared" si="19"/>
        <v/>
      </c>
      <c r="U179" s="4" t="str">
        <f t="shared" si="18"/>
        <v/>
      </c>
    </row>
    <row r="180" spans="1:21" x14ac:dyDescent="0.25">
      <c r="A180" s="50"/>
      <c r="B180" s="51"/>
      <c r="C180" s="2"/>
      <c r="D180" s="54"/>
      <c r="E180" s="51"/>
      <c r="F180" s="2"/>
      <c r="G180" s="54"/>
      <c r="H180" s="51"/>
      <c r="I180" s="2"/>
      <c r="J180" s="54"/>
      <c r="K180" s="52"/>
      <c r="L180" s="55"/>
      <c r="T180" s="4" t="str">
        <f t="shared" si="19"/>
        <v/>
      </c>
      <c r="U180" s="4" t="str">
        <f t="shared" si="18"/>
        <v/>
      </c>
    </row>
    <row r="181" spans="1:21" x14ac:dyDescent="0.25">
      <c r="A181" s="50"/>
      <c r="B181" s="51"/>
      <c r="C181" s="2"/>
      <c r="D181" s="54"/>
      <c r="E181" s="51"/>
      <c r="F181" s="2"/>
      <c r="G181" s="54"/>
      <c r="H181" s="51"/>
      <c r="I181" s="2"/>
      <c r="J181" s="54"/>
      <c r="K181" s="52"/>
      <c r="L181" s="55"/>
      <c r="T181" s="4" t="str">
        <f t="shared" si="19"/>
        <v/>
      </c>
      <c r="U181" s="4" t="str">
        <f t="shared" si="18"/>
        <v/>
      </c>
    </row>
    <row r="182" spans="1:21" x14ac:dyDescent="0.25">
      <c r="A182" s="50"/>
      <c r="B182" s="51"/>
      <c r="C182" s="2"/>
      <c r="D182" s="54"/>
      <c r="E182" s="51"/>
      <c r="F182" s="2"/>
      <c r="G182" s="54"/>
      <c r="H182" s="51"/>
      <c r="I182" s="2"/>
      <c r="J182" s="54"/>
      <c r="K182" s="52"/>
      <c r="L182" s="55"/>
      <c r="T182" s="4" t="str">
        <f t="shared" si="19"/>
        <v/>
      </c>
      <c r="U182" s="4" t="str">
        <f t="shared" si="18"/>
        <v/>
      </c>
    </row>
    <row r="183" spans="1:21" x14ac:dyDescent="0.25">
      <c r="A183" s="50"/>
      <c r="B183" s="51"/>
      <c r="C183" s="2"/>
      <c r="D183" s="54"/>
      <c r="E183" s="51"/>
      <c r="F183" s="2"/>
      <c r="G183" s="54"/>
      <c r="H183" s="51"/>
      <c r="I183" s="2"/>
      <c r="J183" s="54"/>
      <c r="K183" s="52"/>
      <c r="L183" s="55"/>
      <c r="T183" s="4" t="str">
        <f t="shared" si="19"/>
        <v/>
      </c>
      <c r="U183" s="4" t="str">
        <f t="shared" si="18"/>
        <v/>
      </c>
    </row>
    <row r="184" spans="1:21" x14ac:dyDescent="0.25">
      <c r="A184" s="50"/>
      <c r="B184" s="51"/>
      <c r="C184" s="2"/>
      <c r="D184" s="54"/>
      <c r="E184" s="51"/>
      <c r="F184" s="2"/>
      <c r="G184" s="54"/>
      <c r="H184" s="51"/>
      <c r="I184" s="2"/>
      <c r="J184" s="54"/>
      <c r="K184" s="52"/>
      <c r="L184" s="55"/>
      <c r="T184" s="4" t="str">
        <f t="shared" si="19"/>
        <v/>
      </c>
      <c r="U184" s="4" t="str">
        <f t="shared" si="18"/>
        <v/>
      </c>
    </row>
    <row r="185" spans="1:21" x14ac:dyDescent="0.25">
      <c r="A185" s="50"/>
      <c r="B185" s="51"/>
      <c r="C185" s="2"/>
      <c r="D185" s="54"/>
      <c r="E185" s="51"/>
      <c r="F185" s="2"/>
      <c r="G185" s="54"/>
      <c r="H185" s="51"/>
      <c r="I185" s="2"/>
      <c r="J185" s="54"/>
      <c r="K185" s="52"/>
      <c r="L185" s="55"/>
      <c r="T185" s="4" t="str">
        <f t="shared" si="19"/>
        <v/>
      </c>
      <c r="U185" s="4" t="str">
        <f t="shared" si="18"/>
        <v/>
      </c>
    </row>
    <row r="186" spans="1:21" x14ac:dyDescent="0.25">
      <c r="A186" s="50"/>
      <c r="B186" s="51"/>
      <c r="C186" s="2"/>
      <c r="D186" s="54"/>
      <c r="E186" s="51"/>
      <c r="F186" s="2"/>
      <c r="G186" s="54"/>
      <c r="H186" s="51"/>
      <c r="I186" s="2"/>
      <c r="J186" s="54"/>
      <c r="K186" s="52"/>
      <c r="L186" s="55"/>
      <c r="T186" s="4" t="str">
        <f t="shared" si="19"/>
        <v/>
      </c>
      <c r="U186" s="4" t="str">
        <f t="shared" si="18"/>
        <v/>
      </c>
    </row>
    <row r="187" spans="1:21" x14ac:dyDescent="0.25">
      <c r="A187" s="50"/>
      <c r="B187" s="51"/>
      <c r="C187" s="2"/>
      <c r="D187" s="54"/>
      <c r="E187" s="51"/>
      <c r="F187" s="2"/>
      <c r="G187" s="54"/>
      <c r="H187" s="51"/>
      <c r="I187" s="2"/>
      <c r="J187" s="54"/>
      <c r="K187" s="52"/>
      <c r="L187" s="55"/>
      <c r="T187" s="4" t="str">
        <f t="shared" si="19"/>
        <v/>
      </c>
      <c r="U187" s="4" t="str">
        <f t="shared" si="18"/>
        <v/>
      </c>
    </row>
    <row r="188" spans="1:21" x14ac:dyDescent="0.25">
      <c r="A188" s="50"/>
      <c r="B188" s="51"/>
      <c r="C188" s="2"/>
      <c r="D188" s="54"/>
      <c r="E188" s="51"/>
      <c r="F188" s="2"/>
      <c r="G188" s="54"/>
      <c r="H188" s="51"/>
      <c r="I188" s="2"/>
      <c r="J188" s="54"/>
      <c r="K188" s="52"/>
      <c r="L188" s="55"/>
      <c r="T188" s="4" t="str">
        <f t="shared" si="19"/>
        <v/>
      </c>
      <c r="U188" s="4" t="str">
        <f t="shared" si="18"/>
        <v/>
      </c>
    </row>
    <row r="189" spans="1:21" x14ac:dyDescent="0.25">
      <c r="A189" s="50"/>
      <c r="B189" s="51"/>
      <c r="C189" s="2"/>
      <c r="D189" s="54"/>
      <c r="E189" s="51"/>
      <c r="F189" s="2"/>
      <c r="G189" s="54"/>
      <c r="H189" s="51"/>
      <c r="I189" s="2"/>
      <c r="J189" s="54"/>
      <c r="K189" s="52"/>
      <c r="L189" s="55"/>
      <c r="T189" s="4" t="str">
        <f t="shared" si="19"/>
        <v/>
      </c>
      <c r="U189" s="4" t="str">
        <f t="shared" si="18"/>
        <v/>
      </c>
    </row>
    <row r="190" spans="1:21" x14ac:dyDescent="0.25">
      <c r="A190" s="50"/>
      <c r="B190" s="51"/>
      <c r="C190" s="2"/>
      <c r="D190" s="54"/>
      <c r="E190" s="51"/>
      <c r="F190" s="2"/>
      <c r="G190" s="54"/>
      <c r="H190" s="51"/>
      <c r="I190" s="2"/>
      <c r="J190" s="54"/>
      <c r="K190" s="52"/>
      <c r="L190" s="55"/>
      <c r="T190" s="4" t="str">
        <f t="shared" si="19"/>
        <v/>
      </c>
      <c r="U190" s="4" t="str">
        <f t="shared" si="18"/>
        <v/>
      </c>
    </row>
    <row r="191" spans="1:21" x14ac:dyDescent="0.25">
      <c r="A191" s="50"/>
      <c r="B191" s="51"/>
      <c r="C191" s="2"/>
      <c r="D191" s="54"/>
      <c r="E191" s="51"/>
      <c r="F191" s="2"/>
      <c r="G191" s="54"/>
      <c r="H191" s="51"/>
      <c r="I191" s="2"/>
      <c r="J191" s="54"/>
      <c r="K191" s="52"/>
      <c r="L191" s="55"/>
      <c r="T191" s="4" t="str">
        <f t="shared" si="19"/>
        <v/>
      </c>
      <c r="U191" s="4" t="str">
        <f t="shared" si="18"/>
        <v/>
      </c>
    </row>
    <row r="192" spans="1:21" x14ac:dyDescent="0.25">
      <c r="A192" s="50"/>
      <c r="B192" s="51"/>
      <c r="C192" s="2"/>
      <c r="D192" s="54"/>
      <c r="E192" s="51"/>
      <c r="F192" s="2"/>
      <c r="G192" s="54"/>
      <c r="H192" s="51"/>
      <c r="I192" s="2"/>
      <c r="J192" s="54"/>
      <c r="K192" s="52"/>
      <c r="L192" s="55"/>
      <c r="T192" s="4" t="str">
        <f t="shared" si="19"/>
        <v/>
      </c>
      <c r="U192" s="4" t="str">
        <f t="shared" si="18"/>
        <v/>
      </c>
    </row>
    <row r="193" spans="1:21" x14ac:dyDescent="0.25">
      <c r="A193" s="50"/>
      <c r="B193" s="51"/>
      <c r="C193" s="2"/>
      <c r="D193" s="54"/>
      <c r="E193" s="51"/>
      <c r="F193" s="2"/>
      <c r="G193" s="54"/>
      <c r="H193" s="51"/>
      <c r="I193" s="2"/>
      <c r="J193" s="54"/>
      <c r="K193" s="52"/>
      <c r="L193" s="55"/>
      <c r="T193" s="4" t="str">
        <f t="shared" si="19"/>
        <v/>
      </c>
      <c r="U193" s="4" t="str">
        <f t="shared" si="18"/>
        <v/>
      </c>
    </row>
    <row r="194" spans="1:21" x14ac:dyDescent="0.25">
      <c r="A194" s="50"/>
      <c r="B194" s="51"/>
      <c r="C194" s="2"/>
      <c r="D194" s="54"/>
      <c r="E194" s="51"/>
      <c r="F194" s="2"/>
      <c r="G194" s="54"/>
      <c r="H194" s="51"/>
      <c r="I194" s="2"/>
      <c r="J194" s="54"/>
      <c r="K194" s="52"/>
      <c r="L194" s="55"/>
      <c r="T194" s="4" t="str">
        <f t="shared" si="19"/>
        <v/>
      </c>
      <c r="U194" s="4" t="str">
        <f t="shared" si="18"/>
        <v/>
      </c>
    </row>
    <row r="195" spans="1:21" x14ac:dyDescent="0.25">
      <c r="A195" s="50"/>
      <c r="B195" s="51"/>
      <c r="C195" s="2"/>
      <c r="D195" s="54"/>
      <c r="E195" s="51"/>
      <c r="F195" s="2"/>
      <c r="G195" s="54"/>
      <c r="H195" s="51"/>
      <c r="I195" s="2"/>
      <c r="J195" s="54"/>
      <c r="K195" s="52"/>
      <c r="L195" s="55"/>
      <c r="T195" s="4" t="str">
        <f t="shared" si="19"/>
        <v/>
      </c>
      <c r="U195" s="4" t="str">
        <f t="shared" ref="U195:U258" si="20">IF(T195&gt;$A$14,T195,"")</f>
        <v/>
      </c>
    </row>
    <row r="196" spans="1:21" x14ac:dyDescent="0.25">
      <c r="A196" s="50"/>
      <c r="B196" s="51"/>
      <c r="C196" s="2"/>
      <c r="D196" s="54"/>
      <c r="E196" s="51"/>
      <c r="F196" s="2"/>
      <c r="G196" s="54"/>
      <c r="H196" s="51"/>
      <c r="I196" s="2"/>
      <c r="J196" s="54"/>
      <c r="K196" s="52"/>
      <c r="L196" s="55"/>
      <c r="T196" s="4" t="str">
        <f t="shared" ref="T196:T259" si="21">IF(COUNTIF(P:P,N196)*COUNTIF(R:R,N196),N196,"")</f>
        <v/>
      </c>
      <c r="U196" s="4" t="str">
        <f t="shared" si="20"/>
        <v/>
      </c>
    </row>
    <row r="197" spans="1:21" x14ac:dyDescent="0.25">
      <c r="A197" s="50"/>
      <c r="B197" s="51"/>
      <c r="C197" s="2"/>
      <c r="D197" s="54"/>
      <c r="E197" s="51"/>
      <c r="F197" s="2"/>
      <c r="G197" s="54"/>
      <c r="H197" s="51"/>
      <c r="I197" s="2"/>
      <c r="J197" s="54"/>
      <c r="K197" s="52"/>
      <c r="L197" s="55"/>
      <c r="T197" s="4" t="str">
        <f t="shared" si="21"/>
        <v/>
      </c>
      <c r="U197" s="4" t="str">
        <f t="shared" si="20"/>
        <v/>
      </c>
    </row>
    <row r="198" spans="1:21" x14ac:dyDescent="0.25">
      <c r="A198" s="50"/>
      <c r="B198" s="51"/>
      <c r="C198" s="2"/>
      <c r="D198" s="54"/>
      <c r="E198" s="51"/>
      <c r="F198" s="2"/>
      <c r="G198" s="54"/>
      <c r="H198" s="51"/>
      <c r="I198" s="2"/>
      <c r="J198" s="54"/>
      <c r="K198" s="52"/>
      <c r="L198" s="55"/>
      <c r="T198" s="4" t="str">
        <f t="shared" si="21"/>
        <v/>
      </c>
      <c r="U198" s="4" t="str">
        <f t="shared" si="20"/>
        <v/>
      </c>
    </row>
    <row r="199" spans="1:21" x14ac:dyDescent="0.25">
      <c r="A199" s="50"/>
      <c r="B199" s="51"/>
      <c r="C199" s="2"/>
      <c r="D199" s="54"/>
      <c r="E199" s="51"/>
      <c r="F199" s="2"/>
      <c r="G199" s="54"/>
      <c r="H199" s="51"/>
      <c r="I199" s="2"/>
      <c r="J199" s="54"/>
      <c r="K199" s="52"/>
      <c r="L199" s="55"/>
      <c r="T199" s="4" t="str">
        <f t="shared" si="21"/>
        <v/>
      </c>
      <c r="U199" s="4" t="str">
        <f t="shared" si="20"/>
        <v/>
      </c>
    </row>
    <row r="200" spans="1:21" x14ac:dyDescent="0.25">
      <c r="A200" s="50"/>
      <c r="B200" s="51"/>
      <c r="C200" s="2"/>
      <c r="D200" s="54"/>
      <c r="E200" s="51"/>
      <c r="F200" s="2"/>
      <c r="G200" s="54"/>
      <c r="H200" s="51"/>
      <c r="I200" s="2"/>
      <c r="J200" s="54"/>
      <c r="K200" s="52"/>
      <c r="L200" s="55"/>
      <c r="T200" s="4" t="str">
        <f t="shared" si="21"/>
        <v/>
      </c>
      <c r="U200" s="4" t="str">
        <f t="shared" si="20"/>
        <v/>
      </c>
    </row>
    <row r="201" spans="1:21" x14ac:dyDescent="0.25">
      <c r="A201" s="50"/>
      <c r="B201" s="51"/>
      <c r="C201" s="2"/>
      <c r="D201" s="54"/>
      <c r="E201" s="51"/>
      <c r="F201" s="2"/>
      <c r="G201" s="54"/>
      <c r="H201" s="51"/>
      <c r="I201" s="2"/>
      <c r="J201" s="54"/>
      <c r="K201" s="52"/>
      <c r="L201" s="55"/>
      <c r="T201" s="4" t="str">
        <f t="shared" si="21"/>
        <v/>
      </c>
      <c r="U201" s="4" t="str">
        <f t="shared" si="20"/>
        <v/>
      </c>
    </row>
    <row r="202" spans="1:21" x14ac:dyDescent="0.25">
      <c r="A202" s="50"/>
      <c r="B202" s="51"/>
      <c r="C202" s="2"/>
      <c r="D202" s="54"/>
      <c r="E202" s="51"/>
      <c r="F202" s="2"/>
      <c r="G202" s="54"/>
      <c r="H202" s="51"/>
      <c r="I202" s="2"/>
      <c r="J202" s="54"/>
      <c r="K202" s="52"/>
      <c r="L202" s="55"/>
      <c r="T202" s="4" t="str">
        <f t="shared" si="21"/>
        <v/>
      </c>
      <c r="U202" s="4" t="str">
        <f t="shared" si="20"/>
        <v/>
      </c>
    </row>
    <row r="203" spans="1:21" x14ac:dyDescent="0.25">
      <c r="A203" s="50"/>
      <c r="B203" s="51"/>
      <c r="C203" s="2"/>
      <c r="D203" s="54"/>
      <c r="E203" s="51"/>
      <c r="F203" s="2"/>
      <c r="G203" s="54"/>
      <c r="H203" s="51"/>
      <c r="I203" s="2"/>
      <c r="J203" s="54"/>
      <c r="K203" s="52"/>
      <c r="L203" s="55"/>
      <c r="T203" s="4" t="str">
        <f t="shared" si="21"/>
        <v/>
      </c>
      <c r="U203" s="4" t="str">
        <f t="shared" si="20"/>
        <v/>
      </c>
    </row>
    <row r="204" spans="1:21" x14ac:dyDescent="0.25">
      <c r="A204" s="50"/>
      <c r="B204" s="51"/>
      <c r="C204" s="2"/>
      <c r="D204" s="54"/>
      <c r="E204" s="51"/>
      <c r="F204" s="2"/>
      <c r="G204" s="54"/>
      <c r="H204" s="51"/>
      <c r="I204" s="2"/>
      <c r="J204" s="54"/>
      <c r="K204" s="52"/>
      <c r="L204" s="55"/>
      <c r="T204" s="4" t="str">
        <f t="shared" si="21"/>
        <v/>
      </c>
      <c r="U204" s="4" t="str">
        <f t="shared" si="20"/>
        <v/>
      </c>
    </row>
    <row r="205" spans="1:21" x14ac:dyDescent="0.25">
      <c r="A205" s="50"/>
      <c r="B205" s="51"/>
      <c r="C205" s="2"/>
      <c r="D205" s="54"/>
      <c r="E205" s="51"/>
      <c r="F205" s="2"/>
      <c r="G205" s="54"/>
      <c r="H205" s="51"/>
      <c r="I205" s="2"/>
      <c r="J205" s="54"/>
      <c r="K205" s="52"/>
      <c r="L205" s="55"/>
      <c r="T205" s="4" t="str">
        <f t="shared" si="21"/>
        <v/>
      </c>
      <c r="U205" s="4" t="str">
        <f t="shared" si="20"/>
        <v/>
      </c>
    </row>
    <row r="206" spans="1:21" x14ac:dyDescent="0.25">
      <c r="A206" s="50"/>
      <c r="B206" s="51"/>
      <c r="C206" s="2"/>
      <c r="D206" s="54"/>
      <c r="E206" s="51"/>
      <c r="F206" s="2"/>
      <c r="G206" s="54"/>
      <c r="H206" s="51"/>
      <c r="I206" s="2"/>
      <c r="J206" s="54"/>
      <c r="K206" s="52"/>
      <c r="L206" s="55"/>
      <c r="T206" s="4" t="str">
        <f t="shared" si="21"/>
        <v/>
      </c>
      <c r="U206" s="4" t="str">
        <f t="shared" si="20"/>
        <v/>
      </c>
    </row>
    <row r="207" spans="1:21" x14ac:dyDescent="0.25">
      <c r="A207" s="50"/>
      <c r="B207" s="51"/>
      <c r="C207" s="2"/>
      <c r="D207" s="54"/>
      <c r="E207" s="51"/>
      <c r="F207" s="2"/>
      <c r="G207" s="54"/>
      <c r="H207" s="51"/>
      <c r="I207" s="2"/>
      <c r="J207" s="54"/>
      <c r="K207" s="52"/>
      <c r="L207" s="55"/>
      <c r="T207" s="4" t="str">
        <f t="shared" si="21"/>
        <v/>
      </c>
      <c r="U207" s="4" t="str">
        <f t="shared" si="20"/>
        <v/>
      </c>
    </row>
    <row r="208" spans="1:21" x14ac:dyDescent="0.25">
      <c r="A208" s="50"/>
      <c r="B208" s="51"/>
      <c r="C208" s="2"/>
      <c r="D208" s="54"/>
      <c r="E208" s="51"/>
      <c r="F208" s="2"/>
      <c r="G208" s="54"/>
      <c r="H208" s="51"/>
      <c r="I208" s="2"/>
      <c r="J208" s="54"/>
      <c r="K208" s="52"/>
      <c r="L208" s="55"/>
      <c r="T208" s="4" t="str">
        <f t="shared" si="21"/>
        <v/>
      </c>
      <c r="U208" s="4" t="str">
        <f t="shared" si="20"/>
        <v/>
      </c>
    </row>
    <row r="209" spans="1:21" x14ac:dyDescent="0.25">
      <c r="A209" s="50"/>
      <c r="B209" s="51"/>
      <c r="C209" s="2"/>
      <c r="D209" s="54"/>
      <c r="E209" s="51"/>
      <c r="F209" s="2"/>
      <c r="G209" s="54"/>
      <c r="H209" s="51"/>
      <c r="I209" s="2"/>
      <c r="J209" s="54"/>
      <c r="K209" s="52"/>
      <c r="L209" s="55"/>
      <c r="T209" s="4" t="str">
        <f t="shared" si="21"/>
        <v/>
      </c>
      <c r="U209" s="4" t="str">
        <f t="shared" si="20"/>
        <v/>
      </c>
    </row>
    <row r="210" spans="1:21" x14ac:dyDescent="0.25">
      <c r="A210" s="50"/>
      <c r="B210" s="51"/>
      <c r="C210" s="2"/>
      <c r="D210" s="54"/>
      <c r="E210" s="51"/>
      <c r="F210" s="2"/>
      <c r="G210" s="54"/>
      <c r="H210" s="51"/>
      <c r="I210" s="2"/>
      <c r="J210" s="54"/>
      <c r="K210" s="52"/>
      <c r="L210" s="55"/>
      <c r="T210" s="4" t="str">
        <f t="shared" si="21"/>
        <v/>
      </c>
      <c r="U210" s="4" t="str">
        <f t="shared" si="20"/>
        <v/>
      </c>
    </row>
    <row r="211" spans="1:21" x14ac:dyDescent="0.25">
      <c r="A211" s="50"/>
      <c r="B211" s="51"/>
      <c r="C211" s="2"/>
      <c r="D211" s="54"/>
      <c r="E211" s="51"/>
      <c r="F211" s="2"/>
      <c r="G211" s="54"/>
      <c r="H211" s="51"/>
      <c r="I211" s="2"/>
      <c r="J211" s="54"/>
      <c r="K211" s="52"/>
      <c r="L211" s="55"/>
      <c r="T211" s="4" t="str">
        <f t="shared" si="21"/>
        <v/>
      </c>
      <c r="U211" s="4" t="str">
        <f t="shared" si="20"/>
        <v/>
      </c>
    </row>
    <row r="212" spans="1:21" x14ac:dyDescent="0.25">
      <c r="A212" s="50"/>
      <c r="B212" s="51"/>
      <c r="C212" s="2"/>
      <c r="D212" s="54"/>
      <c r="E212" s="51"/>
      <c r="F212" s="2"/>
      <c r="G212" s="54"/>
      <c r="H212" s="51"/>
      <c r="I212" s="2"/>
      <c r="J212" s="54"/>
      <c r="K212" s="52"/>
      <c r="L212" s="55"/>
      <c r="T212" s="4" t="str">
        <f t="shared" si="21"/>
        <v/>
      </c>
      <c r="U212" s="4" t="str">
        <f t="shared" si="20"/>
        <v/>
      </c>
    </row>
    <row r="213" spans="1:21" x14ac:dyDescent="0.25">
      <c r="A213" s="50"/>
      <c r="B213" s="51"/>
      <c r="C213" s="2"/>
      <c r="D213" s="54"/>
      <c r="E213" s="51"/>
      <c r="F213" s="2"/>
      <c r="G213" s="54"/>
      <c r="H213" s="51"/>
      <c r="I213" s="2"/>
      <c r="J213" s="54"/>
      <c r="K213" s="52"/>
      <c r="L213" s="55"/>
      <c r="T213" s="4" t="str">
        <f t="shared" si="21"/>
        <v/>
      </c>
      <c r="U213" s="4" t="str">
        <f t="shared" si="20"/>
        <v/>
      </c>
    </row>
    <row r="214" spans="1:21" x14ac:dyDescent="0.25">
      <c r="A214" s="50"/>
      <c r="B214" s="51"/>
      <c r="C214" s="2"/>
      <c r="D214" s="54"/>
      <c r="E214" s="51"/>
      <c r="F214" s="2"/>
      <c r="G214" s="54"/>
      <c r="H214" s="51"/>
      <c r="I214" s="2"/>
      <c r="J214" s="54"/>
      <c r="K214" s="52"/>
      <c r="L214" s="55"/>
      <c r="T214" s="4" t="str">
        <f t="shared" si="21"/>
        <v/>
      </c>
      <c r="U214" s="4" t="str">
        <f t="shared" si="20"/>
        <v/>
      </c>
    </row>
    <row r="215" spans="1:21" x14ac:dyDescent="0.25">
      <c r="A215" s="50"/>
      <c r="B215" s="51"/>
      <c r="C215" s="2"/>
      <c r="D215" s="54"/>
      <c r="E215" s="51"/>
      <c r="F215" s="2"/>
      <c r="G215" s="54"/>
      <c r="H215" s="51"/>
      <c r="I215" s="2"/>
      <c r="J215" s="54"/>
      <c r="K215" s="52"/>
      <c r="L215" s="55"/>
      <c r="T215" s="4" t="str">
        <f t="shared" si="21"/>
        <v/>
      </c>
      <c r="U215" s="4" t="str">
        <f t="shared" si="20"/>
        <v/>
      </c>
    </row>
    <row r="216" spans="1:21" x14ac:dyDescent="0.25">
      <c r="A216" s="50"/>
      <c r="B216" s="51"/>
      <c r="C216" s="2"/>
      <c r="D216" s="54"/>
      <c r="E216" s="51"/>
      <c r="F216" s="2"/>
      <c r="G216" s="54"/>
      <c r="H216" s="51"/>
      <c r="I216" s="2"/>
      <c r="J216" s="54"/>
      <c r="K216" s="52"/>
      <c r="L216" s="55"/>
      <c r="T216" s="4" t="str">
        <f t="shared" si="21"/>
        <v/>
      </c>
      <c r="U216" s="4" t="str">
        <f t="shared" si="20"/>
        <v/>
      </c>
    </row>
    <row r="217" spans="1:21" x14ac:dyDescent="0.25">
      <c r="A217" s="50"/>
      <c r="B217" s="51"/>
      <c r="C217" s="2"/>
      <c r="D217" s="54"/>
      <c r="E217" s="51"/>
      <c r="F217" s="2"/>
      <c r="G217" s="54"/>
      <c r="H217" s="51"/>
      <c r="I217" s="2"/>
      <c r="J217" s="54"/>
      <c r="K217" s="52"/>
      <c r="L217" s="55"/>
      <c r="T217" s="4" t="str">
        <f t="shared" si="21"/>
        <v/>
      </c>
      <c r="U217" s="4" t="str">
        <f t="shared" si="20"/>
        <v/>
      </c>
    </row>
    <row r="218" spans="1:21" x14ac:dyDescent="0.25">
      <c r="A218" s="50"/>
      <c r="B218" s="51"/>
      <c r="C218" s="2"/>
      <c r="D218" s="54"/>
      <c r="E218" s="51"/>
      <c r="F218" s="2"/>
      <c r="G218" s="54"/>
      <c r="H218" s="51"/>
      <c r="I218" s="2"/>
      <c r="J218" s="54"/>
      <c r="K218" s="52"/>
      <c r="L218" s="55"/>
      <c r="T218" s="4" t="str">
        <f t="shared" si="21"/>
        <v/>
      </c>
      <c r="U218" s="4" t="str">
        <f t="shared" si="20"/>
        <v/>
      </c>
    </row>
    <row r="219" spans="1:21" x14ac:dyDescent="0.25">
      <c r="A219" s="50"/>
      <c r="B219" s="51"/>
      <c r="C219" s="2"/>
      <c r="D219" s="54"/>
      <c r="E219" s="51"/>
      <c r="F219" s="2"/>
      <c r="G219" s="54"/>
      <c r="H219" s="51"/>
      <c r="I219" s="2"/>
      <c r="J219" s="54"/>
      <c r="K219" s="52"/>
      <c r="L219" s="55"/>
      <c r="T219" s="4" t="str">
        <f t="shared" si="21"/>
        <v/>
      </c>
      <c r="U219" s="4" t="str">
        <f t="shared" si="20"/>
        <v/>
      </c>
    </row>
    <row r="220" spans="1:21" x14ac:dyDescent="0.25">
      <c r="A220" s="50"/>
      <c r="B220" s="51"/>
      <c r="C220" s="2"/>
      <c r="D220" s="54"/>
      <c r="E220" s="51"/>
      <c r="F220" s="2"/>
      <c r="G220" s="54"/>
      <c r="H220" s="51"/>
      <c r="I220" s="2"/>
      <c r="J220" s="54"/>
      <c r="K220" s="52"/>
      <c r="L220" s="55"/>
      <c r="T220" s="4" t="str">
        <f t="shared" si="21"/>
        <v/>
      </c>
      <c r="U220" s="4" t="str">
        <f t="shared" si="20"/>
        <v/>
      </c>
    </row>
    <row r="221" spans="1:21" x14ac:dyDescent="0.25">
      <c r="A221" s="50"/>
      <c r="B221" s="51"/>
      <c r="C221" s="2"/>
      <c r="D221" s="54"/>
      <c r="E221" s="51"/>
      <c r="F221" s="2"/>
      <c r="G221" s="54"/>
      <c r="H221" s="51"/>
      <c r="I221" s="2"/>
      <c r="J221" s="54"/>
      <c r="K221" s="52"/>
      <c r="L221" s="55"/>
      <c r="T221" s="4" t="str">
        <f t="shared" si="21"/>
        <v/>
      </c>
      <c r="U221" s="4" t="str">
        <f t="shared" si="20"/>
        <v/>
      </c>
    </row>
    <row r="222" spans="1:21" x14ac:dyDescent="0.25">
      <c r="A222" s="50"/>
      <c r="B222" s="51"/>
      <c r="C222" s="2"/>
      <c r="D222" s="54"/>
      <c r="E222" s="51"/>
      <c r="F222" s="2"/>
      <c r="G222" s="54"/>
      <c r="H222" s="51"/>
      <c r="I222" s="2"/>
      <c r="J222" s="54"/>
      <c r="K222" s="52"/>
      <c r="L222" s="55"/>
      <c r="T222" s="4" t="str">
        <f t="shared" si="21"/>
        <v/>
      </c>
      <c r="U222" s="4" t="str">
        <f t="shared" si="20"/>
        <v/>
      </c>
    </row>
    <row r="223" spans="1:21" x14ac:dyDescent="0.25">
      <c r="A223" s="50"/>
      <c r="B223" s="51"/>
      <c r="C223" s="2"/>
      <c r="D223" s="54"/>
      <c r="E223" s="51"/>
      <c r="F223" s="2"/>
      <c r="G223" s="54"/>
      <c r="H223" s="51"/>
      <c r="I223" s="2"/>
      <c r="J223" s="54"/>
      <c r="K223" s="52"/>
      <c r="L223" s="55"/>
      <c r="T223" s="4" t="str">
        <f t="shared" si="21"/>
        <v/>
      </c>
      <c r="U223" s="4" t="str">
        <f t="shared" si="20"/>
        <v/>
      </c>
    </row>
    <row r="224" spans="1:21" x14ac:dyDescent="0.25">
      <c r="A224" s="50"/>
      <c r="B224" s="51"/>
      <c r="C224" s="2"/>
      <c r="D224" s="54"/>
      <c r="E224" s="51"/>
      <c r="F224" s="2"/>
      <c r="G224" s="54"/>
      <c r="H224" s="51"/>
      <c r="I224" s="2"/>
      <c r="J224" s="54"/>
      <c r="K224" s="52"/>
      <c r="L224" s="55"/>
      <c r="T224" s="4" t="str">
        <f t="shared" si="21"/>
        <v/>
      </c>
      <c r="U224" s="4" t="str">
        <f t="shared" si="20"/>
        <v/>
      </c>
    </row>
    <row r="225" spans="1:21" x14ac:dyDescent="0.25">
      <c r="A225" s="50"/>
      <c r="B225" s="51"/>
      <c r="C225" s="2"/>
      <c r="D225" s="54"/>
      <c r="E225" s="51"/>
      <c r="F225" s="2"/>
      <c r="G225" s="54"/>
      <c r="H225" s="51"/>
      <c r="I225" s="2"/>
      <c r="J225" s="54"/>
      <c r="K225" s="52"/>
      <c r="L225" s="55"/>
      <c r="T225" s="4" t="str">
        <f t="shared" si="21"/>
        <v/>
      </c>
      <c r="U225" s="4" t="str">
        <f t="shared" si="20"/>
        <v/>
      </c>
    </row>
    <row r="226" spans="1:21" x14ac:dyDescent="0.25">
      <c r="A226" s="50"/>
      <c r="B226" s="51"/>
      <c r="C226" s="2"/>
      <c r="D226" s="54"/>
      <c r="E226" s="51"/>
      <c r="F226" s="2"/>
      <c r="G226" s="54"/>
      <c r="H226" s="51"/>
      <c r="I226" s="2"/>
      <c r="J226" s="54"/>
      <c r="K226" s="52"/>
      <c r="L226" s="55"/>
      <c r="T226" s="4" t="str">
        <f t="shared" si="21"/>
        <v/>
      </c>
      <c r="U226" s="4" t="str">
        <f t="shared" si="20"/>
        <v/>
      </c>
    </row>
    <row r="227" spans="1:21" x14ac:dyDescent="0.25">
      <c r="A227" s="50"/>
      <c r="B227" s="51"/>
      <c r="C227" s="2"/>
      <c r="D227" s="54"/>
      <c r="E227" s="51"/>
      <c r="F227" s="2"/>
      <c r="G227" s="54"/>
      <c r="H227" s="51"/>
      <c r="I227" s="2"/>
      <c r="J227" s="54"/>
      <c r="K227" s="52"/>
      <c r="L227" s="55"/>
      <c r="T227" s="4" t="str">
        <f t="shared" si="21"/>
        <v/>
      </c>
      <c r="U227" s="4" t="str">
        <f t="shared" si="20"/>
        <v/>
      </c>
    </row>
    <row r="228" spans="1:21" x14ac:dyDescent="0.25">
      <c r="A228" s="50"/>
      <c r="B228" s="51"/>
      <c r="C228" s="2"/>
      <c r="D228" s="54"/>
      <c r="E228" s="51"/>
      <c r="F228" s="2"/>
      <c r="G228" s="54"/>
      <c r="H228" s="51"/>
      <c r="I228" s="2"/>
      <c r="J228" s="54"/>
      <c r="K228" s="52"/>
      <c r="L228" s="55"/>
      <c r="T228" s="4" t="str">
        <f t="shared" si="21"/>
        <v/>
      </c>
      <c r="U228" s="4" t="str">
        <f t="shared" si="20"/>
        <v/>
      </c>
    </row>
    <row r="229" spans="1:21" x14ac:dyDescent="0.25">
      <c r="A229" s="50"/>
      <c r="B229" s="51"/>
      <c r="C229" s="2"/>
      <c r="D229" s="54"/>
      <c r="E229" s="51"/>
      <c r="F229" s="2"/>
      <c r="G229" s="54"/>
      <c r="H229" s="51"/>
      <c r="I229" s="2"/>
      <c r="J229" s="54"/>
      <c r="K229" s="52"/>
      <c r="L229" s="55"/>
      <c r="T229" s="4" t="str">
        <f t="shared" si="21"/>
        <v/>
      </c>
      <c r="U229" s="4" t="str">
        <f t="shared" si="20"/>
        <v/>
      </c>
    </row>
    <row r="230" spans="1:21" x14ac:dyDescent="0.25">
      <c r="A230" s="50"/>
      <c r="B230" s="51"/>
      <c r="C230" s="2"/>
      <c r="D230" s="54"/>
      <c r="E230" s="51"/>
      <c r="F230" s="2"/>
      <c r="G230" s="54"/>
      <c r="H230" s="51"/>
      <c r="I230" s="2"/>
      <c r="J230" s="54"/>
      <c r="K230" s="52"/>
      <c r="L230" s="55"/>
      <c r="T230" s="4" t="str">
        <f t="shared" si="21"/>
        <v/>
      </c>
      <c r="U230" s="4" t="str">
        <f t="shared" si="20"/>
        <v/>
      </c>
    </row>
    <row r="231" spans="1:21" x14ac:dyDescent="0.25">
      <c r="A231" s="50"/>
      <c r="B231" s="51"/>
      <c r="C231" s="2"/>
      <c r="D231" s="54"/>
      <c r="E231" s="51"/>
      <c r="F231" s="2"/>
      <c r="G231" s="54"/>
      <c r="H231" s="51"/>
      <c r="I231" s="2"/>
      <c r="J231" s="54"/>
      <c r="K231" s="52"/>
      <c r="L231" s="55"/>
      <c r="T231" s="4" t="str">
        <f t="shared" si="21"/>
        <v/>
      </c>
      <c r="U231" s="4" t="str">
        <f t="shared" si="20"/>
        <v/>
      </c>
    </row>
    <row r="232" spans="1:21" x14ac:dyDescent="0.25">
      <c r="A232" s="50"/>
      <c r="B232" s="51"/>
      <c r="C232" s="2"/>
      <c r="D232" s="54"/>
      <c r="E232" s="51"/>
      <c r="F232" s="2"/>
      <c r="G232" s="54"/>
      <c r="H232" s="51"/>
      <c r="I232" s="2"/>
      <c r="J232" s="54"/>
      <c r="K232" s="52"/>
      <c r="L232" s="55"/>
      <c r="T232" s="4" t="str">
        <f t="shared" si="21"/>
        <v/>
      </c>
      <c r="U232" s="4" t="str">
        <f t="shared" si="20"/>
        <v/>
      </c>
    </row>
    <row r="233" spans="1:21" x14ac:dyDescent="0.25">
      <c r="A233" s="50"/>
      <c r="B233" s="51"/>
      <c r="C233" s="2"/>
      <c r="D233" s="54"/>
      <c r="E233" s="51"/>
      <c r="F233" s="2"/>
      <c r="G233" s="54"/>
      <c r="H233" s="51"/>
      <c r="I233" s="2"/>
      <c r="J233" s="54"/>
      <c r="K233" s="52"/>
      <c r="L233" s="55"/>
      <c r="T233" s="4" t="str">
        <f t="shared" si="21"/>
        <v/>
      </c>
      <c r="U233" s="4" t="str">
        <f t="shared" si="20"/>
        <v/>
      </c>
    </row>
    <row r="234" spans="1:21" x14ac:dyDescent="0.25">
      <c r="A234" s="50"/>
      <c r="B234" s="51"/>
      <c r="C234" s="2"/>
      <c r="D234" s="54"/>
      <c r="E234" s="51"/>
      <c r="F234" s="2"/>
      <c r="G234" s="54"/>
      <c r="H234" s="51"/>
      <c r="I234" s="2"/>
      <c r="J234" s="54"/>
      <c r="K234" s="52"/>
      <c r="L234" s="55"/>
      <c r="T234" s="4" t="str">
        <f t="shared" si="21"/>
        <v/>
      </c>
      <c r="U234" s="4" t="str">
        <f t="shared" si="20"/>
        <v/>
      </c>
    </row>
    <row r="235" spans="1:21" x14ac:dyDescent="0.25">
      <c r="A235" s="50"/>
      <c r="B235" s="51"/>
      <c r="C235" s="2"/>
      <c r="D235" s="54"/>
      <c r="E235" s="51"/>
      <c r="F235" s="2"/>
      <c r="G235" s="54"/>
      <c r="H235" s="51"/>
      <c r="I235" s="2"/>
      <c r="J235" s="54"/>
      <c r="K235" s="52"/>
      <c r="L235" s="55"/>
      <c r="T235" s="4" t="str">
        <f t="shared" si="21"/>
        <v/>
      </c>
      <c r="U235" s="4" t="str">
        <f t="shared" si="20"/>
        <v/>
      </c>
    </row>
    <row r="236" spans="1:21" x14ac:dyDescent="0.25">
      <c r="A236" s="50"/>
      <c r="B236" s="51"/>
      <c r="C236" s="2"/>
      <c r="D236" s="54"/>
      <c r="E236" s="51"/>
      <c r="F236" s="2"/>
      <c r="G236" s="54"/>
      <c r="H236" s="51"/>
      <c r="I236" s="2"/>
      <c r="J236" s="54"/>
      <c r="K236" s="52"/>
      <c r="L236" s="55"/>
      <c r="T236" s="4" t="str">
        <f t="shared" si="21"/>
        <v/>
      </c>
      <c r="U236" s="4" t="str">
        <f t="shared" si="20"/>
        <v/>
      </c>
    </row>
    <row r="237" spans="1:21" x14ac:dyDescent="0.25">
      <c r="A237" s="50"/>
      <c r="B237" s="51"/>
      <c r="C237" s="2"/>
      <c r="D237" s="54"/>
      <c r="E237" s="51"/>
      <c r="F237" s="2"/>
      <c r="G237" s="54"/>
      <c r="H237" s="51"/>
      <c r="I237" s="2"/>
      <c r="J237" s="54"/>
      <c r="K237" s="52"/>
      <c r="L237" s="55"/>
      <c r="T237" s="4" t="str">
        <f t="shared" si="21"/>
        <v/>
      </c>
      <c r="U237" s="4" t="str">
        <f t="shared" si="20"/>
        <v/>
      </c>
    </row>
    <row r="238" spans="1:21" x14ac:dyDescent="0.25">
      <c r="A238" s="50"/>
      <c r="B238" s="51"/>
      <c r="C238" s="2"/>
      <c r="D238" s="54"/>
      <c r="E238" s="51"/>
      <c r="F238" s="2"/>
      <c r="G238" s="54"/>
      <c r="H238" s="51"/>
      <c r="I238" s="2"/>
      <c r="J238" s="54"/>
      <c r="K238" s="52"/>
      <c r="L238" s="55"/>
      <c r="T238" s="4" t="str">
        <f t="shared" si="21"/>
        <v/>
      </c>
      <c r="U238" s="4" t="str">
        <f t="shared" si="20"/>
        <v/>
      </c>
    </row>
    <row r="239" spans="1:21" x14ac:dyDescent="0.25">
      <c r="A239" s="50"/>
      <c r="B239" s="51"/>
      <c r="C239" s="2"/>
      <c r="D239" s="54"/>
      <c r="E239" s="51"/>
      <c r="F239" s="2"/>
      <c r="G239" s="54"/>
      <c r="H239" s="51"/>
      <c r="I239" s="2"/>
      <c r="J239" s="54"/>
      <c r="K239" s="52"/>
      <c r="L239" s="55"/>
      <c r="T239" s="4" t="str">
        <f t="shared" si="21"/>
        <v/>
      </c>
      <c r="U239" s="4" t="str">
        <f t="shared" si="20"/>
        <v/>
      </c>
    </row>
    <row r="240" spans="1:21" x14ac:dyDescent="0.25">
      <c r="A240" s="50"/>
      <c r="B240" s="51"/>
      <c r="C240" s="2"/>
      <c r="D240" s="54"/>
      <c r="E240" s="51"/>
      <c r="F240" s="2"/>
      <c r="G240" s="54"/>
      <c r="H240" s="51"/>
      <c r="I240" s="2"/>
      <c r="J240" s="54"/>
      <c r="K240" s="52"/>
      <c r="L240" s="55"/>
      <c r="T240" s="4" t="str">
        <f t="shared" si="21"/>
        <v/>
      </c>
      <c r="U240" s="4" t="str">
        <f t="shared" si="20"/>
        <v/>
      </c>
    </row>
    <row r="241" spans="1:21" x14ac:dyDescent="0.25">
      <c r="A241" s="50"/>
      <c r="B241" s="51"/>
      <c r="C241" s="2"/>
      <c r="D241" s="54"/>
      <c r="E241" s="51"/>
      <c r="F241" s="2"/>
      <c r="G241" s="54"/>
      <c r="H241" s="51"/>
      <c r="I241" s="2"/>
      <c r="J241" s="54"/>
      <c r="K241" s="52"/>
      <c r="L241" s="55"/>
      <c r="T241" s="4" t="str">
        <f t="shared" si="21"/>
        <v/>
      </c>
      <c r="U241" s="4" t="str">
        <f t="shared" si="20"/>
        <v/>
      </c>
    </row>
    <row r="242" spans="1:21" x14ac:dyDescent="0.25">
      <c r="A242" s="50"/>
      <c r="B242" s="51"/>
      <c r="C242" s="2"/>
      <c r="D242" s="54"/>
      <c r="E242" s="51"/>
      <c r="F242" s="2"/>
      <c r="G242" s="54"/>
      <c r="H242" s="51"/>
      <c r="I242" s="2"/>
      <c r="J242" s="54"/>
      <c r="K242" s="52"/>
      <c r="L242" s="55"/>
      <c r="T242" s="4" t="str">
        <f t="shared" si="21"/>
        <v/>
      </c>
      <c r="U242" s="4" t="str">
        <f t="shared" si="20"/>
        <v/>
      </c>
    </row>
    <row r="243" spans="1:21" x14ac:dyDescent="0.25">
      <c r="A243" s="50"/>
      <c r="B243" s="51"/>
      <c r="C243" s="2"/>
      <c r="D243" s="54"/>
      <c r="E243" s="51"/>
      <c r="F243" s="2"/>
      <c r="G243" s="54"/>
      <c r="H243" s="51"/>
      <c r="I243" s="2"/>
      <c r="J243" s="54"/>
      <c r="K243" s="52"/>
      <c r="L243" s="55"/>
      <c r="T243" s="4" t="str">
        <f t="shared" si="21"/>
        <v/>
      </c>
      <c r="U243" s="4" t="str">
        <f t="shared" si="20"/>
        <v/>
      </c>
    </row>
    <row r="244" spans="1:21" x14ac:dyDescent="0.25">
      <c r="A244" s="50"/>
      <c r="B244" s="51"/>
      <c r="C244" s="2"/>
      <c r="D244" s="54"/>
      <c r="E244" s="51"/>
      <c r="F244" s="2"/>
      <c r="G244" s="54"/>
      <c r="H244" s="51"/>
      <c r="I244" s="2"/>
      <c r="J244" s="54"/>
      <c r="K244" s="52"/>
      <c r="L244" s="55"/>
      <c r="T244" s="4" t="str">
        <f t="shared" si="21"/>
        <v/>
      </c>
      <c r="U244" s="4" t="str">
        <f t="shared" si="20"/>
        <v/>
      </c>
    </row>
    <row r="245" spans="1:21" x14ac:dyDescent="0.25">
      <c r="A245" s="50"/>
      <c r="B245" s="51"/>
      <c r="C245" s="2"/>
      <c r="D245" s="54"/>
      <c r="E245" s="51"/>
      <c r="F245" s="2"/>
      <c r="G245" s="54"/>
      <c r="H245" s="51"/>
      <c r="I245" s="2"/>
      <c r="J245" s="54"/>
      <c r="K245" s="52"/>
      <c r="L245" s="55"/>
      <c r="T245" s="4" t="str">
        <f t="shared" si="21"/>
        <v/>
      </c>
      <c r="U245" s="4" t="str">
        <f t="shared" si="20"/>
        <v/>
      </c>
    </row>
    <row r="246" spans="1:21" x14ac:dyDescent="0.25">
      <c r="A246" s="50"/>
      <c r="B246" s="51"/>
      <c r="C246" s="2"/>
      <c r="D246" s="54"/>
      <c r="E246" s="51"/>
      <c r="F246" s="2"/>
      <c r="G246" s="54"/>
      <c r="H246" s="51"/>
      <c r="I246" s="2"/>
      <c r="J246" s="54"/>
      <c r="K246" s="52"/>
      <c r="L246" s="55"/>
      <c r="T246" s="4" t="str">
        <f t="shared" si="21"/>
        <v/>
      </c>
      <c r="U246" s="4" t="str">
        <f t="shared" si="20"/>
        <v/>
      </c>
    </row>
    <row r="247" spans="1:21" x14ac:dyDescent="0.25">
      <c r="A247" s="50"/>
      <c r="B247" s="51"/>
      <c r="C247" s="2"/>
      <c r="D247" s="54"/>
      <c r="E247" s="51"/>
      <c r="F247" s="2"/>
      <c r="G247" s="54"/>
      <c r="H247" s="51"/>
      <c r="I247" s="2"/>
      <c r="J247" s="54"/>
      <c r="K247" s="52"/>
      <c r="L247" s="55"/>
      <c r="T247" s="4" t="str">
        <f t="shared" si="21"/>
        <v/>
      </c>
      <c r="U247" s="4" t="str">
        <f t="shared" si="20"/>
        <v/>
      </c>
    </row>
    <row r="248" spans="1:21" x14ac:dyDescent="0.25">
      <c r="A248" s="50"/>
      <c r="B248" s="51"/>
      <c r="C248" s="2"/>
      <c r="D248" s="54"/>
      <c r="E248" s="51"/>
      <c r="F248" s="2"/>
      <c r="G248" s="54"/>
      <c r="H248" s="51"/>
      <c r="I248" s="2"/>
      <c r="J248" s="54"/>
      <c r="K248" s="52"/>
      <c r="L248" s="55"/>
      <c r="T248" s="4" t="str">
        <f t="shared" si="21"/>
        <v/>
      </c>
      <c r="U248" s="4" t="str">
        <f t="shared" si="20"/>
        <v/>
      </c>
    </row>
    <row r="249" spans="1:21" x14ac:dyDescent="0.25">
      <c r="A249" s="50"/>
      <c r="B249" s="51"/>
      <c r="C249" s="2"/>
      <c r="D249" s="54"/>
      <c r="E249" s="51"/>
      <c r="F249" s="2"/>
      <c r="G249" s="54"/>
      <c r="H249" s="51"/>
      <c r="I249" s="2"/>
      <c r="J249" s="54"/>
      <c r="K249" s="52"/>
      <c r="L249" s="55"/>
      <c r="T249" s="4" t="str">
        <f t="shared" si="21"/>
        <v/>
      </c>
      <c r="U249" s="4" t="str">
        <f t="shared" si="20"/>
        <v/>
      </c>
    </row>
    <row r="250" spans="1:21" x14ac:dyDescent="0.25">
      <c r="A250" s="50"/>
      <c r="B250" s="51"/>
      <c r="C250" s="2"/>
      <c r="D250" s="54"/>
      <c r="E250" s="51"/>
      <c r="F250" s="2"/>
      <c r="G250" s="54"/>
      <c r="H250" s="51"/>
      <c r="I250" s="2"/>
      <c r="J250" s="54"/>
      <c r="K250" s="52"/>
      <c r="L250" s="55"/>
      <c r="T250" s="4" t="str">
        <f t="shared" si="21"/>
        <v/>
      </c>
      <c r="U250" s="4" t="str">
        <f t="shared" si="20"/>
        <v/>
      </c>
    </row>
    <row r="251" spans="1:21" x14ac:dyDescent="0.25">
      <c r="A251" s="50"/>
      <c r="B251" s="51"/>
      <c r="C251" s="2"/>
      <c r="D251" s="54"/>
      <c r="E251" s="51"/>
      <c r="F251" s="2"/>
      <c r="G251" s="54"/>
      <c r="H251" s="51"/>
      <c r="I251" s="2"/>
      <c r="J251" s="54"/>
      <c r="K251" s="52"/>
      <c r="L251" s="55"/>
      <c r="T251" s="4" t="str">
        <f t="shared" si="21"/>
        <v/>
      </c>
      <c r="U251" s="4" t="str">
        <f t="shared" si="20"/>
        <v/>
      </c>
    </row>
    <row r="252" spans="1:21" x14ac:dyDescent="0.25">
      <c r="A252" s="50"/>
      <c r="B252" s="51"/>
      <c r="C252" s="2"/>
      <c r="D252" s="54"/>
      <c r="E252" s="51"/>
      <c r="F252" s="2"/>
      <c r="G252" s="54"/>
      <c r="H252" s="51"/>
      <c r="I252" s="2"/>
      <c r="J252" s="54"/>
      <c r="K252" s="52"/>
      <c r="L252" s="55"/>
      <c r="T252" s="4" t="str">
        <f t="shared" si="21"/>
        <v/>
      </c>
      <c r="U252" s="4" t="str">
        <f t="shared" si="20"/>
        <v/>
      </c>
    </row>
    <row r="253" spans="1:21" x14ac:dyDescent="0.25">
      <c r="A253" s="50"/>
      <c r="B253" s="51"/>
      <c r="C253" s="2"/>
      <c r="D253" s="54"/>
      <c r="E253" s="51"/>
      <c r="F253" s="2"/>
      <c r="G253" s="54"/>
      <c r="H253" s="51"/>
      <c r="I253" s="2"/>
      <c r="J253" s="54"/>
      <c r="K253" s="52"/>
      <c r="L253" s="55"/>
      <c r="T253" s="4" t="str">
        <f t="shared" si="21"/>
        <v/>
      </c>
      <c r="U253" s="4" t="str">
        <f t="shared" si="20"/>
        <v/>
      </c>
    </row>
    <row r="254" spans="1:21" x14ac:dyDescent="0.25">
      <c r="A254" s="50"/>
      <c r="B254" s="51"/>
      <c r="C254" s="2"/>
      <c r="D254" s="54"/>
      <c r="E254" s="51"/>
      <c r="F254" s="2"/>
      <c r="G254" s="54"/>
      <c r="H254" s="51"/>
      <c r="I254" s="2"/>
      <c r="J254" s="54"/>
      <c r="K254" s="52"/>
      <c r="L254" s="55"/>
      <c r="T254" s="4" t="str">
        <f t="shared" si="21"/>
        <v/>
      </c>
      <c r="U254" s="4" t="str">
        <f t="shared" si="20"/>
        <v/>
      </c>
    </row>
    <row r="255" spans="1:21" x14ac:dyDescent="0.25">
      <c r="A255" s="50"/>
      <c r="B255" s="51"/>
      <c r="C255" s="2"/>
      <c r="D255" s="54"/>
      <c r="E255" s="51"/>
      <c r="F255" s="2"/>
      <c r="G255" s="54"/>
      <c r="H255" s="51"/>
      <c r="I255" s="2"/>
      <c r="J255" s="54"/>
      <c r="K255" s="52"/>
      <c r="L255" s="55"/>
      <c r="T255" s="4" t="str">
        <f t="shared" si="21"/>
        <v/>
      </c>
      <c r="U255" s="4" t="str">
        <f t="shared" si="20"/>
        <v/>
      </c>
    </row>
    <row r="256" spans="1:21" x14ac:dyDescent="0.25">
      <c r="A256" s="50"/>
      <c r="B256" s="51"/>
      <c r="C256" s="2"/>
      <c r="D256" s="54"/>
      <c r="E256" s="51"/>
      <c r="F256" s="2"/>
      <c r="G256" s="54"/>
      <c r="H256" s="51"/>
      <c r="I256" s="2"/>
      <c r="J256" s="54"/>
      <c r="K256" s="52"/>
      <c r="L256" s="55"/>
      <c r="T256" s="4" t="str">
        <f t="shared" si="21"/>
        <v/>
      </c>
      <c r="U256" s="4" t="str">
        <f t="shared" si="20"/>
        <v/>
      </c>
    </row>
    <row r="257" spans="1:21" x14ac:dyDescent="0.25">
      <c r="A257" s="50"/>
      <c r="B257" s="51"/>
      <c r="C257" s="2"/>
      <c r="D257" s="54"/>
      <c r="E257" s="51"/>
      <c r="F257" s="2"/>
      <c r="G257" s="54"/>
      <c r="H257" s="51"/>
      <c r="I257" s="2"/>
      <c r="J257" s="54"/>
      <c r="K257" s="52"/>
      <c r="L257" s="55"/>
      <c r="T257" s="4" t="str">
        <f t="shared" si="21"/>
        <v/>
      </c>
      <c r="U257" s="4" t="str">
        <f t="shared" si="20"/>
        <v/>
      </c>
    </row>
    <row r="258" spans="1:21" x14ac:dyDescent="0.25">
      <c r="A258" s="50"/>
      <c r="B258" s="51"/>
      <c r="C258" s="2"/>
      <c r="D258" s="54"/>
      <c r="E258" s="51"/>
      <c r="F258" s="2"/>
      <c r="G258" s="54"/>
      <c r="H258" s="51"/>
      <c r="I258" s="2"/>
      <c r="J258" s="54"/>
      <c r="K258" s="52"/>
      <c r="L258" s="55"/>
      <c r="T258" s="4" t="str">
        <f t="shared" si="21"/>
        <v/>
      </c>
      <c r="U258" s="4" t="str">
        <f t="shared" si="20"/>
        <v/>
      </c>
    </row>
    <row r="259" spans="1:21" x14ac:dyDescent="0.25">
      <c r="A259" s="50"/>
      <c r="B259" s="51"/>
      <c r="C259" s="2"/>
      <c r="D259" s="54"/>
      <c r="E259" s="51"/>
      <c r="F259" s="2"/>
      <c r="G259" s="54"/>
      <c r="H259" s="51"/>
      <c r="I259" s="2"/>
      <c r="J259" s="54"/>
      <c r="K259" s="52"/>
      <c r="L259" s="55"/>
      <c r="T259" s="4" t="str">
        <f t="shared" si="21"/>
        <v/>
      </c>
      <c r="U259" s="4" t="str">
        <f t="shared" ref="U259:U322" si="22">IF(T259&gt;$A$14,T259,"")</f>
        <v/>
      </c>
    </row>
    <row r="260" spans="1:21" x14ac:dyDescent="0.25">
      <c r="A260" s="50"/>
      <c r="B260" s="51"/>
      <c r="C260" s="2"/>
      <c r="D260" s="54"/>
      <c r="E260" s="51"/>
      <c r="F260" s="2"/>
      <c r="G260" s="54"/>
      <c r="H260" s="51"/>
      <c r="I260" s="2"/>
      <c r="J260" s="54"/>
      <c r="K260" s="52"/>
      <c r="L260" s="55"/>
      <c r="T260" s="4" t="str">
        <f t="shared" ref="T260:T323" si="23">IF(COUNTIF(P:P,N260)*COUNTIF(R:R,N260),N260,"")</f>
        <v/>
      </c>
      <c r="U260" s="4" t="str">
        <f t="shared" si="22"/>
        <v/>
      </c>
    </row>
    <row r="261" spans="1:21" x14ac:dyDescent="0.25">
      <c r="A261" s="50"/>
      <c r="B261" s="51"/>
      <c r="C261" s="2"/>
      <c r="D261" s="54"/>
      <c r="E261" s="51"/>
      <c r="F261" s="2"/>
      <c r="G261" s="54"/>
      <c r="H261" s="51"/>
      <c r="I261" s="2"/>
      <c r="J261" s="54"/>
      <c r="K261" s="52"/>
      <c r="L261" s="55"/>
      <c r="T261" s="4" t="str">
        <f t="shared" si="23"/>
        <v/>
      </c>
      <c r="U261" s="4" t="str">
        <f t="shared" si="22"/>
        <v/>
      </c>
    </row>
    <row r="262" spans="1:21" x14ac:dyDescent="0.25">
      <c r="A262" s="50"/>
      <c r="B262" s="51"/>
      <c r="C262" s="2"/>
      <c r="D262" s="54"/>
      <c r="E262" s="51"/>
      <c r="F262" s="2"/>
      <c r="G262" s="54"/>
      <c r="H262" s="51"/>
      <c r="I262" s="2"/>
      <c r="J262" s="54"/>
      <c r="K262" s="52"/>
      <c r="L262" s="55"/>
      <c r="T262" s="4" t="str">
        <f t="shared" si="23"/>
        <v/>
      </c>
      <c r="U262" s="4" t="str">
        <f t="shared" si="22"/>
        <v/>
      </c>
    </row>
    <row r="263" spans="1:21" x14ac:dyDescent="0.25">
      <c r="A263" s="50"/>
      <c r="B263" s="51"/>
      <c r="C263" s="2"/>
      <c r="D263" s="54"/>
      <c r="E263" s="51"/>
      <c r="F263" s="2"/>
      <c r="G263" s="54"/>
      <c r="H263" s="51"/>
      <c r="I263" s="2"/>
      <c r="J263" s="54"/>
      <c r="K263" s="52"/>
      <c r="L263" s="55"/>
      <c r="T263" s="4" t="str">
        <f t="shared" si="23"/>
        <v/>
      </c>
      <c r="U263" s="4" t="str">
        <f t="shared" si="22"/>
        <v/>
      </c>
    </row>
    <row r="264" spans="1:21" x14ac:dyDescent="0.25">
      <c r="A264" s="50"/>
      <c r="B264" s="51"/>
      <c r="C264" s="2"/>
      <c r="D264" s="54"/>
      <c r="E264" s="51"/>
      <c r="F264" s="2"/>
      <c r="G264" s="54"/>
      <c r="H264" s="51"/>
      <c r="I264" s="2"/>
      <c r="J264" s="54"/>
      <c r="K264" s="52"/>
      <c r="L264" s="55"/>
      <c r="T264" s="4" t="str">
        <f t="shared" si="23"/>
        <v/>
      </c>
      <c r="U264" s="4" t="str">
        <f t="shared" si="22"/>
        <v/>
      </c>
    </row>
    <row r="265" spans="1:21" x14ac:dyDescent="0.25">
      <c r="A265" s="50"/>
      <c r="B265" s="51"/>
      <c r="C265" s="2"/>
      <c r="D265" s="54"/>
      <c r="E265" s="51"/>
      <c r="F265" s="2"/>
      <c r="G265" s="54"/>
      <c r="H265" s="51"/>
      <c r="I265" s="2"/>
      <c r="J265" s="54"/>
      <c r="K265" s="52"/>
      <c r="L265" s="55"/>
      <c r="T265" s="4" t="str">
        <f t="shared" si="23"/>
        <v/>
      </c>
      <c r="U265" s="4" t="str">
        <f t="shared" si="22"/>
        <v/>
      </c>
    </row>
    <row r="266" spans="1:21" x14ac:dyDescent="0.25">
      <c r="A266" s="50"/>
      <c r="B266" s="51"/>
      <c r="C266" s="2"/>
      <c r="D266" s="54"/>
      <c r="E266" s="51"/>
      <c r="F266" s="2"/>
      <c r="G266" s="54"/>
      <c r="H266" s="51"/>
      <c r="I266" s="2"/>
      <c r="J266" s="54"/>
      <c r="K266" s="52"/>
      <c r="L266" s="55"/>
      <c r="T266" s="4" t="str">
        <f t="shared" si="23"/>
        <v/>
      </c>
      <c r="U266" s="4" t="str">
        <f t="shared" si="22"/>
        <v/>
      </c>
    </row>
    <row r="267" spans="1:21" x14ac:dyDescent="0.25">
      <c r="A267" s="50"/>
      <c r="B267" s="51"/>
      <c r="C267" s="2"/>
      <c r="D267" s="54"/>
      <c r="E267" s="51"/>
      <c r="F267" s="2"/>
      <c r="G267" s="54"/>
      <c r="H267" s="51"/>
      <c r="I267" s="2"/>
      <c r="J267" s="54"/>
      <c r="K267" s="52"/>
      <c r="L267" s="55"/>
      <c r="T267" s="4" t="str">
        <f t="shared" si="23"/>
        <v/>
      </c>
      <c r="U267" s="4" t="str">
        <f t="shared" si="22"/>
        <v/>
      </c>
    </row>
    <row r="268" spans="1:21" x14ac:dyDescent="0.25">
      <c r="A268" s="50"/>
      <c r="B268" s="51"/>
      <c r="C268" s="2"/>
      <c r="D268" s="54"/>
      <c r="E268" s="51"/>
      <c r="F268" s="2"/>
      <c r="G268" s="54"/>
      <c r="H268" s="51"/>
      <c r="I268" s="2"/>
      <c r="J268" s="54"/>
      <c r="K268" s="52"/>
      <c r="L268" s="55"/>
      <c r="T268" s="4" t="str">
        <f t="shared" si="23"/>
        <v/>
      </c>
      <c r="U268" s="4" t="str">
        <f t="shared" si="22"/>
        <v/>
      </c>
    </row>
    <row r="269" spans="1:21" x14ac:dyDescent="0.25">
      <c r="A269" s="50"/>
      <c r="B269" s="51"/>
      <c r="C269" s="2"/>
      <c r="D269" s="54"/>
      <c r="E269" s="51"/>
      <c r="F269" s="2"/>
      <c r="G269" s="54"/>
      <c r="H269" s="51"/>
      <c r="I269" s="2"/>
      <c r="J269" s="54"/>
      <c r="K269" s="52"/>
      <c r="L269" s="55"/>
      <c r="T269" s="4" t="str">
        <f t="shared" si="23"/>
        <v/>
      </c>
      <c r="U269" s="4" t="str">
        <f t="shared" si="22"/>
        <v/>
      </c>
    </row>
    <row r="270" spans="1:21" x14ac:dyDescent="0.25">
      <c r="A270" s="50"/>
      <c r="B270" s="51"/>
      <c r="C270" s="2"/>
      <c r="D270" s="54"/>
      <c r="E270" s="51"/>
      <c r="F270" s="2"/>
      <c r="G270" s="54"/>
      <c r="H270" s="51"/>
      <c r="I270" s="2"/>
      <c r="J270" s="54"/>
      <c r="K270" s="52"/>
      <c r="L270" s="55"/>
      <c r="T270" s="4" t="str">
        <f t="shared" si="23"/>
        <v/>
      </c>
      <c r="U270" s="4" t="str">
        <f t="shared" si="22"/>
        <v/>
      </c>
    </row>
    <row r="271" spans="1:21" x14ac:dyDescent="0.25">
      <c r="A271" s="50"/>
      <c r="B271" s="51"/>
      <c r="C271" s="2"/>
      <c r="D271" s="54"/>
      <c r="E271" s="51"/>
      <c r="F271" s="2"/>
      <c r="G271" s="54"/>
      <c r="H271" s="51"/>
      <c r="I271" s="2"/>
      <c r="J271" s="54"/>
      <c r="K271" s="52"/>
      <c r="L271" s="55"/>
      <c r="T271" s="4" t="str">
        <f t="shared" si="23"/>
        <v/>
      </c>
      <c r="U271" s="4" t="str">
        <f t="shared" si="22"/>
        <v/>
      </c>
    </row>
    <row r="272" spans="1:21" x14ac:dyDescent="0.25">
      <c r="A272" s="50"/>
      <c r="B272" s="51"/>
      <c r="C272" s="2"/>
      <c r="D272" s="54"/>
      <c r="E272" s="51"/>
      <c r="F272" s="2"/>
      <c r="G272" s="54"/>
      <c r="H272" s="51"/>
      <c r="I272" s="2"/>
      <c r="J272" s="54"/>
      <c r="K272" s="52"/>
      <c r="L272" s="55"/>
      <c r="T272" s="4" t="str">
        <f t="shared" si="23"/>
        <v/>
      </c>
      <c r="U272" s="4" t="str">
        <f t="shared" si="22"/>
        <v/>
      </c>
    </row>
    <row r="273" spans="1:21" x14ac:dyDescent="0.25">
      <c r="A273" s="50"/>
      <c r="B273" s="51"/>
      <c r="C273" s="2"/>
      <c r="D273" s="54"/>
      <c r="E273" s="51"/>
      <c r="F273" s="2"/>
      <c r="G273" s="54"/>
      <c r="H273" s="51"/>
      <c r="I273" s="2"/>
      <c r="J273" s="54"/>
      <c r="K273" s="52"/>
      <c r="L273" s="55"/>
      <c r="T273" s="4" t="str">
        <f t="shared" si="23"/>
        <v/>
      </c>
      <c r="U273" s="4" t="str">
        <f t="shared" si="22"/>
        <v/>
      </c>
    </row>
    <row r="274" spans="1:21" x14ac:dyDescent="0.25">
      <c r="A274" s="50"/>
      <c r="B274" s="51"/>
      <c r="C274" s="2"/>
      <c r="D274" s="54"/>
      <c r="E274" s="51"/>
      <c r="F274" s="2"/>
      <c r="G274" s="54"/>
      <c r="H274" s="51"/>
      <c r="I274" s="2"/>
      <c r="J274" s="54"/>
      <c r="K274" s="52"/>
      <c r="L274" s="55"/>
      <c r="T274" s="4" t="str">
        <f t="shared" si="23"/>
        <v/>
      </c>
      <c r="U274" s="4" t="str">
        <f t="shared" si="22"/>
        <v/>
      </c>
    </row>
    <row r="275" spans="1:21" x14ac:dyDescent="0.25">
      <c r="A275" s="50"/>
      <c r="B275" s="51"/>
      <c r="C275" s="2"/>
      <c r="D275" s="54"/>
      <c r="E275" s="51"/>
      <c r="F275" s="2"/>
      <c r="G275" s="54"/>
      <c r="H275" s="51"/>
      <c r="I275" s="2"/>
      <c r="J275" s="54"/>
      <c r="K275" s="52"/>
      <c r="L275" s="55"/>
      <c r="T275" s="4" t="str">
        <f t="shared" si="23"/>
        <v/>
      </c>
      <c r="U275" s="4" t="str">
        <f t="shared" si="22"/>
        <v/>
      </c>
    </row>
    <row r="276" spans="1:21" x14ac:dyDescent="0.25">
      <c r="A276" s="50"/>
      <c r="B276" s="51"/>
      <c r="C276" s="2"/>
      <c r="D276" s="54"/>
      <c r="E276" s="51"/>
      <c r="F276" s="2"/>
      <c r="G276" s="54"/>
      <c r="H276" s="51"/>
      <c r="I276" s="2"/>
      <c r="J276" s="54"/>
      <c r="K276" s="52"/>
      <c r="L276" s="55"/>
      <c r="T276" s="4" t="str">
        <f t="shared" si="23"/>
        <v/>
      </c>
      <c r="U276" s="4" t="str">
        <f t="shared" si="22"/>
        <v/>
      </c>
    </row>
    <row r="277" spans="1:21" x14ac:dyDescent="0.25">
      <c r="A277" s="50"/>
      <c r="B277" s="51"/>
      <c r="C277" s="2"/>
      <c r="D277" s="54"/>
      <c r="E277" s="51"/>
      <c r="F277" s="2"/>
      <c r="G277" s="54"/>
      <c r="H277" s="51"/>
      <c r="I277" s="2"/>
      <c r="J277" s="54"/>
      <c r="K277" s="52"/>
      <c r="L277" s="55"/>
      <c r="T277" s="4" t="str">
        <f t="shared" si="23"/>
        <v/>
      </c>
      <c r="U277" s="4" t="str">
        <f t="shared" si="22"/>
        <v/>
      </c>
    </row>
    <row r="278" spans="1:21" x14ac:dyDescent="0.25">
      <c r="A278" s="50"/>
      <c r="B278" s="51"/>
      <c r="C278" s="2"/>
      <c r="D278" s="54"/>
      <c r="E278" s="51"/>
      <c r="F278" s="2"/>
      <c r="G278" s="54"/>
      <c r="H278" s="51"/>
      <c r="I278" s="2"/>
      <c r="J278" s="54"/>
      <c r="K278" s="52"/>
      <c r="L278" s="55"/>
      <c r="T278" s="4" t="str">
        <f t="shared" si="23"/>
        <v/>
      </c>
      <c r="U278" s="4" t="str">
        <f t="shared" si="22"/>
        <v/>
      </c>
    </row>
    <row r="279" spans="1:21" x14ac:dyDescent="0.25">
      <c r="A279" s="50"/>
      <c r="B279" s="51"/>
      <c r="C279" s="2"/>
      <c r="D279" s="54"/>
      <c r="E279" s="51"/>
      <c r="F279" s="2"/>
      <c r="G279" s="54"/>
      <c r="H279" s="51"/>
      <c r="I279" s="2"/>
      <c r="J279" s="54"/>
      <c r="K279" s="52"/>
      <c r="L279" s="55"/>
      <c r="T279" s="4" t="str">
        <f t="shared" si="23"/>
        <v/>
      </c>
      <c r="U279" s="4" t="str">
        <f t="shared" si="22"/>
        <v/>
      </c>
    </row>
    <row r="280" spans="1:21" x14ac:dyDescent="0.25">
      <c r="A280" s="50"/>
      <c r="B280" s="51"/>
      <c r="C280" s="2"/>
      <c r="D280" s="54"/>
      <c r="E280" s="51"/>
      <c r="F280" s="2"/>
      <c r="G280" s="54"/>
      <c r="H280" s="51"/>
      <c r="I280" s="2"/>
      <c r="J280" s="54"/>
      <c r="K280" s="52"/>
      <c r="L280" s="55"/>
      <c r="T280" s="4" t="str">
        <f t="shared" si="23"/>
        <v/>
      </c>
      <c r="U280" s="4" t="str">
        <f t="shared" si="22"/>
        <v/>
      </c>
    </row>
    <row r="281" spans="1:21" x14ac:dyDescent="0.25">
      <c r="A281" s="50"/>
      <c r="B281" s="51"/>
      <c r="C281" s="2"/>
      <c r="D281" s="54"/>
      <c r="E281" s="51"/>
      <c r="F281" s="2"/>
      <c r="G281" s="54"/>
      <c r="H281" s="51"/>
      <c r="I281" s="2"/>
      <c r="J281" s="54"/>
      <c r="K281" s="52"/>
      <c r="L281" s="55"/>
      <c r="T281" s="4" t="str">
        <f t="shared" si="23"/>
        <v/>
      </c>
      <c r="U281" s="4" t="str">
        <f t="shared" si="22"/>
        <v/>
      </c>
    </row>
    <row r="282" spans="1:21" x14ac:dyDescent="0.25">
      <c r="A282" s="50"/>
      <c r="B282" s="51"/>
      <c r="C282" s="2"/>
      <c r="D282" s="54"/>
      <c r="E282" s="51"/>
      <c r="F282" s="2"/>
      <c r="G282" s="54"/>
      <c r="H282" s="51"/>
      <c r="I282" s="2"/>
      <c r="J282" s="54"/>
      <c r="K282" s="52"/>
      <c r="L282" s="55"/>
      <c r="T282" s="4" t="str">
        <f t="shared" si="23"/>
        <v/>
      </c>
      <c r="U282" s="4" t="str">
        <f t="shared" si="22"/>
        <v/>
      </c>
    </row>
    <row r="283" spans="1:21" x14ac:dyDescent="0.25">
      <c r="A283" s="50"/>
      <c r="B283" s="51"/>
      <c r="C283" s="2"/>
      <c r="D283" s="54"/>
      <c r="E283" s="51"/>
      <c r="F283" s="2"/>
      <c r="G283" s="54"/>
      <c r="H283" s="51"/>
      <c r="I283" s="2"/>
      <c r="J283" s="54"/>
      <c r="K283" s="52"/>
      <c r="L283" s="55"/>
      <c r="T283" s="4" t="str">
        <f t="shared" si="23"/>
        <v/>
      </c>
      <c r="U283" s="4" t="str">
        <f t="shared" si="22"/>
        <v/>
      </c>
    </row>
    <row r="284" spans="1:21" x14ac:dyDescent="0.25">
      <c r="A284" s="50"/>
      <c r="B284" s="51"/>
      <c r="C284" s="2"/>
      <c r="D284" s="54"/>
      <c r="E284" s="51"/>
      <c r="F284" s="2"/>
      <c r="G284" s="54"/>
      <c r="H284" s="51"/>
      <c r="I284" s="2"/>
      <c r="J284" s="54"/>
      <c r="K284" s="52"/>
      <c r="L284" s="55"/>
      <c r="T284" s="4" t="str">
        <f t="shared" si="23"/>
        <v/>
      </c>
      <c r="U284" s="4" t="str">
        <f t="shared" si="22"/>
        <v/>
      </c>
    </row>
    <row r="285" spans="1:21" x14ac:dyDescent="0.25">
      <c r="A285" s="50"/>
      <c r="B285" s="51"/>
      <c r="C285" s="2"/>
      <c r="D285" s="54"/>
      <c r="E285" s="51"/>
      <c r="F285" s="2"/>
      <c r="G285" s="54"/>
      <c r="H285" s="51"/>
      <c r="I285" s="2"/>
      <c r="J285" s="54"/>
      <c r="K285" s="52"/>
      <c r="L285" s="55"/>
      <c r="T285" s="4" t="str">
        <f t="shared" si="23"/>
        <v/>
      </c>
      <c r="U285" s="4" t="str">
        <f t="shared" si="22"/>
        <v/>
      </c>
    </row>
    <row r="286" spans="1:21" x14ac:dyDescent="0.25">
      <c r="A286" s="50"/>
      <c r="B286" s="51"/>
      <c r="C286" s="2"/>
      <c r="D286" s="54"/>
      <c r="E286" s="51"/>
      <c r="F286" s="2"/>
      <c r="G286" s="54"/>
      <c r="H286" s="51"/>
      <c r="I286" s="2"/>
      <c r="J286" s="54"/>
      <c r="K286" s="52"/>
      <c r="L286" s="55"/>
      <c r="T286" s="4" t="str">
        <f t="shared" si="23"/>
        <v/>
      </c>
      <c r="U286" s="4" t="str">
        <f t="shared" si="22"/>
        <v/>
      </c>
    </row>
    <row r="287" spans="1:21" x14ac:dyDescent="0.25">
      <c r="A287" s="50"/>
      <c r="B287" s="51"/>
      <c r="C287" s="2"/>
      <c r="D287" s="54"/>
      <c r="E287" s="51"/>
      <c r="F287" s="2"/>
      <c r="G287" s="54"/>
      <c r="H287" s="51"/>
      <c r="I287" s="2"/>
      <c r="J287" s="54"/>
      <c r="K287" s="52"/>
      <c r="L287" s="55"/>
      <c r="T287" s="4" t="str">
        <f t="shared" si="23"/>
        <v/>
      </c>
      <c r="U287" s="4" t="str">
        <f t="shared" si="22"/>
        <v/>
      </c>
    </row>
    <row r="288" spans="1:21" x14ac:dyDescent="0.25">
      <c r="A288" s="50"/>
      <c r="B288" s="51"/>
      <c r="C288" s="2"/>
      <c r="D288" s="54"/>
      <c r="E288" s="51"/>
      <c r="F288" s="2"/>
      <c r="G288" s="54"/>
      <c r="H288" s="51"/>
      <c r="I288" s="2"/>
      <c r="J288" s="54"/>
      <c r="K288" s="52"/>
      <c r="L288" s="55"/>
      <c r="T288" s="4" t="str">
        <f t="shared" si="23"/>
        <v/>
      </c>
      <c r="U288" s="4" t="str">
        <f t="shared" si="22"/>
        <v/>
      </c>
    </row>
    <row r="289" spans="1:21" x14ac:dyDescent="0.25">
      <c r="A289" s="50"/>
      <c r="B289" s="51"/>
      <c r="C289" s="2"/>
      <c r="D289" s="54"/>
      <c r="E289" s="51"/>
      <c r="F289" s="2"/>
      <c r="G289" s="54"/>
      <c r="H289" s="51"/>
      <c r="I289" s="2"/>
      <c r="J289" s="54"/>
      <c r="K289" s="52"/>
      <c r="L289" s="55"/>
      <c r="T289" s="4" t="str">
        <f t="shared" si="23"/>
        <v/>
      </c>
      <c r="U289" s="4" t="str">
        <f t="shared" si="22"/>
        <v/>
      </c>
    </row>
    <row r="290" spans="1:21" x14ac:dyDescent="0.25">
      <c r="A290" s="50"/>
      <c r="B290" s="51"/>
      <c r="C290" s="2"/>
      <c r="D290" s="54"/>
      <c r="E290" s="51"/>
      <c r="F290" s="2"/>
      <c r="G290" s="54"/>
      <c r="H290" s="51"/>
      <c r="I290" s="2"/>
      <c r="J290" s="54"/>
      <c r="K290" s="52"/>
      <c r="L290" s="55"/>
      <c r="T290" s="4" t="str">
        <f t="shared" si="23"/>
        <v/>
      </c>
      <c r="U290" s="4" t="str">
        <f t="shared" si="22"/>
        <v/>
      </c>
    </row>
    <row r="291" spans="1:21" x14ac:dyDescent="0.25">
      <c r="A291" s="50"/>
      <c r="B291" s="51"/>
      <c r="C291" s="2"/>
      <c r="D291" s="54"/>
      <c r="E291" s="51"/>
      <c r="F291" s="2"/>
      <c r="G291" s="54"/>
      <c r="H291" s="51"/>
      <c r="I291" s="2"/>
      <c r="J291" s="54"/>
      <c r="K291" s="52"/>
      <c r="L291" s="55"/>
      <c r="T291" s="4" t="str">
        <f t="shared" si="23"/>
        <v/>
      </c>
      <c r="U291" s="4" t="str">
        <f t="shared" si="22"/>
        <v/>
      </c>
    </row>
    <row r="292" spans="1:21" x14ac:dyDescent="0.25">
      <c r="A292" s="50"/>
      <c r="B292" s="51"/>
      <c r="C292" s="2"/>
      <c r="D292" s="54"/>
      <c r="E292" s="51"/>
      <c r="F292" s="2"/>
      <c r="G292" s="54"/>
      <c r="H292" s="51"/>
      <c r="I292" s="2"/>
      <c r="J292" s="54"/>
      <c r="K292" s="52"/>
      <c r="L292" s="55"/>
      <c r="T292" s="4" t="str">
        <f t="shared" si="23"/>
        <v/>
      </c>
      <c r="U292" s="4" t="str">
        <f t="shared" si="22"/>
        <v/>
      </c>
    </row>
    <row r="293" spans="1:21" x14ac:dyDescent="0.25">
      <c r="A293" s="50"/>
      <c r="B293" s="51"/>
      <c r="C293" s="2"/>
      <c r="D293" s="54"/>
      <c r="E293" s="51"/>
      <c r="F293" s="2"/>
      <c r="G293" s="54"/>
      <c r="H293" s="51"/>
      <c r="I293" s="2"/>
      <c r="J293" s="54"/>
      <c r="K293" s="52"/>
      <c r="L293" s="55"/>
      <c r="T293" s="4" t="str">
        <f t="shared" si="23"/>
        <v/>
      </c>
      <c r="U293" s="4" t="str">
        <f t="shared" si="22"/>
        <v/>
      </c>
    </row>
    <row r="294" spans="1:21" x14ac:dyDescent="0.25">
      <c r="A294" s="50"/>
      <c r="B294" s="51"/>
      <c r="C294" s="2"/>
      <c r="D294" s="54"/>
      <c r="E294" s="51"/>
      <c r="F294" s="2"/>
      <c r="G294" s="54"/>
      <c r="H294" s="51"/>
      <c r="I294" s="2"/>
      <c r="J294" s="54"/>
      <c r="K294" s="52"/>
      <c r="L294" s="55"/>
      <c r="T294" s="4" t="str">
        <f t="shared" si="23"/>
        <v/>
      </c>
      <c r="U294" s="4" t="str">
        <f t="shared" si="22"/>
        <v/>
      </c>
    </row>
    <row r="295" spans="1:21" x14ac:dyDescent="0.25">
      <c r="A295" s="50"/>
      <c r="B295" s="51"/>
      <c r="C295" s="2"/>
      <c r="D295" s="54"/>
      <c r="E295" s="51"/>
      <c r="F295" s="2"/>
      <c r="G295" s="54"/>
      <c r="H295" s="51"/>
      <c r="I295" s="2"/>
      <c r="J295" s="54"/>
      <c r="K295" s="52"/>
      <c r="L295" s="55"/>
      <c r="T295" s="4" t="str">
        <f t="shared" si="23"/>
        <v/>
      </c>
      <c r="U295" s="4" t="str">
        <f t="shared" si="22"/>
        <v/>
      </c>
    </row>
    <row r="296" spans="1:21" x14ac:dyDescent="0.25">
      <c r="A296" s="50"/>
      <c r="B296" s="51"/>
      <c r="C296" s="2"/>
      <c r="D296" s="54"/>
      <c r="E296" s="51"/>
      <c r="F296" s="2"/>
      <c r="G296" s="54"/>
      <c r="H296" s="51"/>
      <c r="I296" s="2"/>
      <c r="J296" s="54"/>
      <c r="K296" s="52"/>
      <c r="L296" s="55"/>
      <c r="T296" s="4" t="str">
        <f t="shared" si="23"/>
        <v/>
      </c>
      <c r="U296" s="4" t="str">
        <f t="shared" si="22"/>
        <v/>
      </c>
    </row>
    <row r="297" spans="1:21" x14ac:dyDescent="0.25">
      <c r="A297" s="50"/>
      <c r="B297" s="51"/>
      <c r="C297" s="2"/>
      <c r="D297" s="54"/>
      <c r="E297" s="51"/>
      <c r="F297" s="2"/>
      <c r="G297" s="54"/>
      <c r="H297" s="51"/>
      <c r="I297" s="2"/>
      <c r="J297" s="54"/>
      <c r="K297" s="52"/>
      <c r="L297" s="55"/>
      <c r="T297" s="4" t="str">
        <f t="shared" si="23"/>
        <v/>
      </c>
      <c r="U297" s="4" t="str">
        <f t="shared" si="22"/>
        <v/>
      </c>
    </row>
    <row r="298" spans="1:21" x14ac:dyDescent="0.25">
      <c r="A298" s="50"/>
      <c r="B298" s="51"/>
      <c r="C298" s="2"/>
      <c r="D298" s="54"/>
      <c r="E298" s="51"/>
      <c r="F298" s="2"/>
      <c r="G298" s="54"/>
      <c r="H298" s="51"/>
      <c r="I298" s="2"/>
      <c r="J298" s="54"/>
      <c r="K298" s="52"/>
      <c r="L298" s="55"/>
      <c r="T298" s="4" t="str">
        <f t="shared" si="23"/>
        <v/>
      </c>
      <c r="U298" s="4" t="str">
        <f t="shared" si="22"/>
        <v/>
      </c>
    </row>
    <row r="299" spans="1:21" x14ac:dyDescent="0.25">
      <c r="A299" s="50"/>
      <c r="B299" s="51"/>
      <c r="C299" s="2"/>
      <c r="D299" s="54"/>
      <c r="E299" s="51"/>
      <c r="F299" s="2"/>
      <c r="G299" s="54"/>
      <c r="H299" s="51"/>
      <c r="I299" s="2"/>
      <c r="J299" s="54"/>
      <c r="K299" s="52"/>
      <c r="L299" s="55"/>
      <c r="T299" s="4" t="str">
        <f t="shared" si="23"/>
        <v/>
      </c>
      <c r="U299" s="4" t="str">
        <f t="shared" si="22"/>
        <v/>
      </c>
    </row>
    <row r="300" spans="1:21" x14ac:dyDescent="0.25">
      <c r="A300" s="50"/>
      <c r="B300" s="51"/>
      <c r="C300" s="2"/>
      <c r="D300" s="54"/>
      <c r="E300" s="51"/>
      <c r="F300" s="2"/>
      <c r="G300" s="54"/>
      <c r="H300" s="51"/>
      <c r="I300" s="2"/>
      <c r="J300" s="54"/>
      <c r="K300" s="52"/>
      <c r="L300" s="55"/>
      <c r="T300" s="4" t="str">
        <f t="shared" si="23"/>
        <v/>
      </c>
      <c r="U300" s="4" t="str">
        <f t="shared" si="22"/>
        <v/>
      </c>
    </row>
    <row r="301" spans="1:21" x14ac:dyDescent="0.25">
      <c r="A301" s="50"/>
      <c r="B301" s="51"/>
      <c r="C301" s="2"/>
      <c r="D301" s="54"/>
      <c r="E301" s="51"/>
      <c r="F301" s="2"/>
      <c r="G301" s="54"/>
      <c r="H301" s="51"/>
      <c r="I301" s="2"/>
      <c r="J301" s="54"/>
      <c r="K301" s="52"/>
      <c r="L301" s="55"/>
      <c r="T301" s="4" t="str">
        <f t="shared" si="23"/>
        <v/>
      </c>
      <c r="U301" s="4" t="str">
        <f t="shared" si="22"/>
        <v/>
      </c>
    </row>
    <row r="302" spans="1:21" x14ac:dyDescent="0.25">
      <c r="A302" s="50"/>
      <c r="B302" s="51"/>
      <c r="C302" s="2"/>
      <c r="D302" s="54"/>
      <c r="E302" s="51"/>
      <c r="F302" s="2"/>
      <c r="G302" s="54"/>
      <c r="H302" s="51"/>
      <c r="I302" s="2"/>
      <c r="J302" s="54"/>
      <c r="K302" s="52"/>
      <c r="L302" s="55"/>
      <c r="T302" s="4" t="str">
        <f t="shared" si="23"/>
        <v/>
      </c>
      <c r="U302" s="4" t="str">
        <f t="shared" si="22"/>
        <v/>
      </c>
    </row>
    <row r="303" spans="1:21" x14ac:dyDescent="0.25">
      <c r="A303" s="50"/>
      <c r="B303" s="51"/>
      <c r="C303" s="2"/>
      <c r="D303" s="54"/>
      <c r="E303" s="51"/>
      <c r="F303" s="2"/>
      <c r="G303" s="54"/>
      <c r="H303" s="51"/>
      <c r="I303" s="2"/>
      <c r="J303" s="54"/>
      <c r="K303" s="52"/>
      <c r="L303" s="55"/>
      <c r="T303" s="4" t="str">
        <f t="shared" si="23"/>
        <v/>
      </c>
      <c r="U303" s="4" t="str">
        <f t="shared" si="22"/>
        <v/>
      </c>
    </row>
    <row r="304" spans="1:21" x14ac:dyDescent="0.25">
      <c r="A304" s="50"/>
      <c r="B304" s="51"/>
      <c r="C304" s="2"/>
      <c r="D304" s="54"/>
      <c r="E304" s="51"/>
      <c r="F304" s="2"/>
      <c r="G304" s="54"/>
      <c r="H304" s="51"/>
      <c r="I304" s="2"/>
      <c r="J304" s="54"/>
      <c r="K304" s="52"/>
      <c r="L304" s="55"/>
      <c r="T304" s="4" t="str">
        <f t="shared" si="23"/>
        <v/>
      </c>
      <c r="U304" s="4" t="str">
        <f t="shared" si="22"/>
        <v/>
      </c>
    </row>
    <row r="305" spans="1:21" x14ac:dyDescent="0.25">
      <c r="A305" s="50"/>
      <c r="B305" s="51"/>
      <c r="C305" s="2"/>
      <c r="D305" s="54"/>
      <c r="E305" s="51"/>
      <c r="F305" s="2"/>
      <c r="G305" s="54"/>
      <c r="H305" s="51"/>
      <c r="I305" s="2"/>
      <c r="J305" s="54"/>
      <c r="K305" s="52"/>
      <c r="L305" s="55"/>
      <c r="T305" s="4" t="str">
        <f t="shared" si="23"/>
        <v/>
      </c>
      <c r="U305" s="4" t="str">
        <f t="shared" si="22"/>
        <v/>
      </c>
    </row>
    <row r="306" spans="1:21" x14ac:dyDescent="0.25">
      <c r="A306" s="50"/>
      <c r="B306" s="51"/>
      <c r="C306" s="2"/>
      <c r="D306" s="54"/>
      <c r="E306" s="51"/>
      <c r="F306" s="2"/>
      <c r="G306" s="54"/>
      <c r="H306" s="51"/>
      <c r="I306" s="2"/>
      <c r="J306" s="54"/>
      <c r="K306" s="52"/>
      <c r="L306" s="55"/>
      <c r="T306" s="4" t="str">
        <f t="shared" si="23"/>
        <v/>
      </c>
      <c r="U306" s="4" t="str">
        <f t="shared" si="22"/>
        <v/>
      </c>
    </row>
    <row r="307" spans="1:21" x14ac:dyDescent="0.25">
      <c r="A307" s="50"/>
      <c r="B307" s="51"/>
      <c r="C307" s="2"/>
      <c r="D307" s="54"/>
      <c r="E307" s="51"/>
      <c r="F307" s="2"/>
      <c r="G307" s="54"/>
      <c r="H307" s="51"/>
      <c r="I307" s="2"/>
      <c r="J307" s="54"/>
      <c r="K307" s="52"/>
      <c r="L307" s="55"/>
      <c r="T307" s="4" t="str">
        <f t="shared" si="23"/>
        <v/>
      </c>
      <c r="U307" s="4" t="str">
        <f t="shared" si="22"/>
        <v/>
      </c>
    </row>
    <row r="308" spans="1:21" x14ac:dyDescent="0.25">
      <c r="A308" s="50"/>
      <c r="B308" s="51"/>
      <c r="C308" s="2"/>
      <c r="D308" s="54"/>
      <c r="E308" s="51"/>
      <c r="F308" s="2"/>
      <c r="G308" s="54"/>
      <c r="H308" s="51"/>
      <c r="I308" s="2"/>
      <c r="J308" s="54"/>
      <c r="K308" s="52"/>
      <c r="L308" s="55"/>
      <c r="T308" s="4" t="str">
        <f t="shared" si="23"/>
        <v/>
      </c>
      <c r="U308" s="4" t="str">
        <f t="shared" si="22"/>
        <v/>
      </c>
    </row>
    <row r="309" spans="1:21" x14ac:dyDescent="0.25">
      <c r="A309" s="50"/>
      <c r="B309" s="51"/>
      <c r="C309" s="2"/>
      <c r="D309" s="54"/>
      <c r="E309" s="51"/>
      <c r="F309" s="2"/>
      <c r="G309" s="54"/>
      <c r="H309" s="51"/>
      <c r="I309" s="2"/>
      <c r="J309" s="54"/>
      <c r="K309" s="52"/>
      <c r="L309" s="55"/>
      <c r="T309" s="4" t="str">
        <f t="shared" si="23"/>
        <v/>
      </c>
      <c r="U309" s="4" t="str">
        <f t="shared" si="22"/>
        <v/>
      </c>
    </row>
    <row r="310" spans="1:21" x14ac:dyDescent="0.25">
      <c r="A310" s="50"/>
      <c r="B310" s="51"/>
      <c r="C310" s="2"/>
      <c r="D310" s="54"/>
      <c r="E310" s="51"/>
      <c r="F310" s="2"/>
      <c r="G310" s="54"/>
      <c r="H310" s="51"/>
      <c r="I310" s="2"/>
      <c r="J310" s="54"/>
      <c r="K310" s="52"/>
      <c r="L310" s="55"/>
      <c r="T310" s="4" t="str">
        <f t="shared" si="23"/>
        <v/>
      </c>
      <c r="U310" s="4" t="str">
        <f t="shared" si="22"/>
        <v/>
      </c>
    </row>
    <row r="311" spans="1:21" x14ac:dyDescent="0.25">
      <c r="A311" s="50"/>
      <c r="B311" s="51"/>
      <c r="C311" s="2"/>
      <c r="D311" s="54"/>
      <c r="E311" s="51"/>
      <c r="F311" s="2"/>
      <c r="G311" s="54"/>
      <c r="H311" s="51"/>
      <c r="I311" s="2"/>
      <c r="J311" s="54"/>
      <c r="K311" s="52"/>
      <c r="L311" s="55"/>
      <c r="T311" s="4" t="str">
        <f t="shared" si="23"/>
        <v/>
      </c>
      <c r="U311" s="4" t="str">
        <f t="shared" si="22"/>
        <v/>
      </c>
    </row>
    <row r="312" spans="1:21" x14ac:dyDescent="0.25">
      <c r="A312" s="50"/>
      <c r="B312" s="51"/>
      <c r="C312" s="2"/>
      <c r="D312" s="54"/>
      <c r="E312" s="51"/>
      <c r="F312" s="2"/>
      <c r="G312" s="54"/>
      <c r="H312" s="51"/>
      <c r="I312" s="2"/>
      <c r="J312" s="54"/>
      <c r="K312" s="52"/>
      <c r="L312" s="55"/>
      <c r="T312" s="4" t="str">
        <f t="shared" si="23"/>
        <v/>
      </c>
      <c r="U312" s="4" t="str">
        <f t="shared" si="22"/>
        <v/>
      </c>
    </row>
    <row r="313" spans="1:21" x14ac:dyDescent="0.25">
      <c r="A313" s="50"/>
      <c r="B313" s="51"/>
      <c r="C313" s="2"/>
      <c r="D313" s="54"/>
      <c r="E313" s="51"/>
      <c r="F313" s="2"/>
      <c r="G313" s="54"/>
      <c r="H313" s="51"/>
      <c r="I313" s="2"/>
      <c r="J313" s="54"/>
      <c r="K313" s="52"/>
      <c r="L313" s="55"/>
      <c r="T313" s="4" t="str">
        <f t="shared" si="23"/>
        <v/>
      </c>
      <c r="U313" s="4" t="str">
        <f t="shared" si="22"/>
        <v/>
      </c>
    </row>
    <row r="314" spans="1:21" x14ac:dyDescent="0.25">
      <c r="A314" s="50"/>
      <c r="B314" s="51"/>
      <c r="C314" s="2"/>
      <c r="D314" s="54"/>
      <c r="E314" s="51"/>
      <c r="F314" s="2"/>
      <c r="G314" s="54"/>
      <c r="H314" s="51"/>
      <c r="I314" s="2"/>
      <c r="J314" s="54"/>
      <c r="K314" s="52"/>
      <c r="L314" s="55"/>
      <c r="T314" s="4" t="str">
        <f t="shared" si="23"/>
        <v/>
      </c>
      <c r="U314" s="4" t="str">
        <f t="shared" si="22"/>
        <v/>
      </c>
    </row>
    <row r="315" spans="1:21" x14ac:dyDescent="0.25">
      <c r="A315" s="50"/>
      <c r="B315" s="51"/>
      <c r="C315" s="2"/>
      <c r="D315" s="54"/>
      <c r="E315" s="51"/>
      <c r="F315" s="2"/>
      <c r="G315" s="54"/>
      <c r="H315" s="51"/>
      <c r="I315" s="2"/>
      <c r="J315" s="54"/>
      <c r="K315" s="52"/>
      <c r="L315" s="55"/>
      <c r="T315" s="4" t="str">
        <f t="shared" si="23"/>
        <v/>
      </c>
      <c r="U315" s="4" t="str">
        <f t="shared" si="22"/>
        <v/>
      </c>
    </row>
    <row r="316" spans="1:21" x14ac:dyDescent="0.25">
      <c r="A316" s="50"/>
      <c r="B316" s="51"/>
      <c r="C316" s="2"/>
      <c r="D316" s="54"/>
      <c r="E316" s="51"/>
      <c r="F316" s="2"/>
      <c r="G316" s="54"/>
      <c r="H316" s="51"/>
      <c r="I316" s="2"/>
      <c r="J316" s="54"/>
      <c r="K316" s="52"/>
      <c r="L316" s="55"/>
      <c r="T316" s="4" t="str">
        <f t="shared" si="23"/>
        <v/>
      </c>
      <c r="U316" s="4" t="str">
        <f t="shared" si="22"/>
        <v/>
      </c>
    </row>
    <row r="317" spans="1:21" x14ac:dyDescent="0.25">
      <c r="A317" s="50"/>
      <c r="B317" s="51"/>
      <c r="C317" s="2"/>
      <c r="D317" s="54"/>
      <c r="E317" s="51"/>
      <c r="F317" s="2"/>
      <c r="G317" s="54"/>
      <c r="H317" s="51"/>
      <c r="I317" s="2"/>
      <c r="J317" s="54"/>
      <c r="K317" s="52"/>
      <c r="L317" s="55"/>
      <c r="T317" s="4" t="str">
        <f t="shared" si="23"/>
        <v/>
      </c>
      <c r="U317" s="4" t="str">
        <f t="shared" si="22"/>
        <v/>
      </c>
    </row>
    <row r="318" spans="1:21" x14ac:dyDescent="0.25">
      <c r="A318" s="50"/>
      <c r="B318" s="51"/>
      <c r="C318" s="2"/>
      <c r="D318" s="54"/>
      <c r="E318" s="51"/>
      <c r="F318" s="2"/>
      <c r="G318" s="54"/>
      <c r="H318" s="51"/>
      <c r="I318" s="2"/>
      <c r="J318" s="54"/>
      <c r="K318" s="52"/>
      <c r="L318" s="55"/>
      <c r="T318" s="4" t="str">
        <f t="shared" si="23"/>
        <v/>
      </c>
      <c r="U318" s="4" t="str">
        <f t="shared" si="22"/>
        <v/>
      </c>
    </row>
    <row r="319" spans="1:21" x14ac:dyDescent="0.25">
      <c r="A319" s="50"/>
      <c r="B319" s="51"/>
      <c r="C319" s="2"/>
      <c r="D319" s="54"/>
      <c r="E319" s="51"/>
      <c r="F319" s="2"/>
      <c r="G319" s="54"/>
      <c r="H319" s="51"/>
      <c r="I319" s="2"/>
      <c r="J319" s="54"/>
      <c r="K319" s="52"/>
      <c r="L319" s="55"/>
      <c r="T319" s="4" t="str">
        <f t="shared" si="23"/>
        <v/>
      </c>
      <c r="U319" s="4" t="str">
        <f t="shared" si="22"/>
        <v/>
      </c>
    </row>
    <row r="320" spans="1:21" x14ac:dyDescent="0.25">
      <c r="A320" s="50"/>
      <c r="B320" s="51"/>
      <c r="C320" s="2"/>
      <c r="D320" s="54"/>
      <c r="E320" s="51"/>
      <c r="F320" s="2"/>
      <c r="G320" s="54"/>
      <c r="H320" s="51"/>
      <c r="I320" s="2"/>
      <c r="J320" s="54"/>
      <c r="K320" s="52"/>
      <c r="L320" s="55"/>
      <c r="T320" s="4" t="str">
        <f t="shared" si="23"/>
        <v/>
      </c>
      <c r="U320" s="4" t="str">
        <f t="shared" si="22"/>
        <v/>
      </c>
    </row>
    <row r="321" spans="1:21" x14ac:dyDescent="0.25">
      <c r="A321" s="50"/>
      <c r="B321" s="51"/>
      <c r="C321" s="2"/>
      <c r="D321" s="54"/>
      <c r="E321" s="51"/>
      <c r="F321" s="2"/>
      <c r="G321" s="54"/>
      <c r="H321" s="51"/>
      <c r="I321" s="2"/>
      <c r="J321" s="54"/>
      <c r="K321" s="52"/>
      <c r="L321" s="55"/>
      <c r="T321" s="4" t="str">
        <f t="shared" si="23"/>
        <v/>
      </c>
      <c r="U321" s="4" t="str">
        <f t="shared" si="22"/>
        <v/>
      </c>
    </row>
    <row r="322" spans="1:21" x14ac:dyDescent="0.25">
      <c r="A322" s="50"/>
      <c r="B322" s="51"/>
      <c r="C322" s="2"/>
      <c r="D322" s="54"/>
      <c r="E322" s="51"/>
      <c r="F322" s="2"/>
      <c r="G322" s="54"/>
      <c r="H322" s="51"/>
      <c r="I322" s="2"/>
      <c r="J322" s="54"/>
      <c r="K322" s="52"/>
      <c r="L322" s="55"/>
      <c r="T322" s="4" t="str">
        <f t="shared" si="23"/>
        <v/>
      </c>
      <c r="U322" s="4" t="str">
        <f t="shared" si="22"/>
        <v/>
      </c>
    </row>
    <row r="323" spans="1:21" x14ac:dyDescent="0.25">
      <c r="A323" s="50"/>
      <c r="B323" s="51"/>
      <c r="C323" s="2"/>
      <c r="D323" s="54"/>
      <c r="E323" s="51"/>
      <c r="F323" s="2"/>
      <c r="G323" s="54"/>
      <c r="H323" s="51"/>
      <c r="I323" s="2"/>
      <c r="J323" s="54"/>
      <c r="K323" s="52"/>
      <c r="L323" s="55"/>
      <c r="T323" s="4" t="str">
        <f t="shared" si="23"/>
        <v/>
      </c>
      <c r="U323" s="4" t="str">
        <f t="shared" ref="U323:U386" si="24">IF(T323&gt;$A$14,T323,"")</f>
        <v/>
      </c>
    </row>
    <row r="324" spans="1:21" x14ac:dyDescent="0.25">
      <c r="A324" s="50"/>
      <c r="B324" s="51"/>
      <c r="C324" s="2"/>
      <c r="D324" s="54"/>
      <c r="E324" s="51"/>
      <c r="F324" s="2"/>
      <c r="G324" s="54"/>
      <c r="H324" s="51"/>
      <c r="I324" s="2"/>
      <c r="J324" s="54"/>
      <c r="K324" s="52"/>
      <c r="L324" s="55"/>
      <c r="T324" s="4" t="str">
        <f t="shared" ref="T324:T387" si="25">IF(COUNTIF(P:P,N324)*COUNTIF(R:R,N324),N324,"")</f>
        <v/>
      </c>
      <c r="U324" s="4" t="str">
        <f t="shared" si="24"/>
        <v/>
      </c>
    </row>
    <row r="325" spans="1:21" x14ac:dyDescent="0.25">
      <c r="A325" s="50"/>
      <c r="B325" s="51"/>
      <c r="C325" s="2"/>
      <c r="D325" s="54"/>
      <c r="E325" s="51"/>
      <c r="F325" s="2"/>
      <c r="G325" s="54"/>
      <c r="H325" s="51"/>
      <c r="I325" s="2"/>
      <c r="J325" s="54"/>
      <c r="K325" s="52"/>
      <c r="L325" s="55"/>
      <c r="T325" s="4" t="str">
        <f t="shared" si="25"/>
        <v/>
      </c>
      <c r="U325" s="4" t="str">
        <f t="shared" si="24"/>
        <v/>
      </c>
    </row>
    <row r="326" spans="1:21" x14ac:dyDescent="0.25">
      <c r="A326" s="50"/>
      <c r="B326" s="51"/>
      <c r="C326" s="2"/>
      <c r="D326" s="54"/>
      <c r="E326" s="51"/>
      <c r="F326" s="2"/>
      <c r="G326" s="54"/>
      <c r="H326" s="51"/>
      <c r="I326" s="2"/>
      <c r="J326" s="54"/>
      <c r="K326" s="52"/>
      <c r="L326" s="55"/>
      <c r="T326" s="4" t="str">
        <f t="shared" si="25"/>
        <v/>
      </c>
      <c r="U326" s="4" t="str">
        <f t="shared" si="24"/>
        <v/>
      </c>
    </row>
    <row r="327" spans="1:21" x14ac:dyDescent="0.25">
      <c r="A327" s="50"/>
      <c r="B327" s="51"/>
      <c r="C327" s="2"/>
      <c r="D327" s="54"/>
      <c r="E327" s="51"/>
      <c r="F327" s="2"/>
      <c r="G327" s="54"/>
      <c r="H327" s="51"/>
      <c r="I327" s="2"/>
      <c r="J327" s="54"/>
      <c r="K327" s="52"/>
      <c r="L327" s="55"/>
      <c r="T327" s="4" t="str">
        <f t="shared" si="25"/>
        <v/>
      </c>
      <c r="U327" s="4" t="str">
        <f t="shared" si="24"/>
        <v/>
      </c>
    </row>
    <row r="328" spans="1:21" x14ac:dyDescent="0.25">
      <c r="A328" s="50"/>
      <c r="B328" s="51"/>
      <c r="C328" s="2"/>
      <c r="D328" s="54"/>
      <c r="E328" s="51"/>
      <c r="F328" s="2"/>
      <c r="G328" s="54"/>
      <c r="H328" s="51"/>
      <c r="I328" s="2"/>
      <c r="J328" s="54"/>
      <c r="K328" s="52"/>
      <c r="L328" s="55"/>
      <c r="T328" s="4" t="str">
        <f t="shared" si="25"/>
        <v/>
      </c>
      <c r="U328" s="4" t="str">
        <f t="shared" si="24"/>
        <v/>
      </c>
    </row>
    <row r="329" spans="1:21" x14ac:dyDescent="0.25">
      <c r="A329" s="50"/>
      <c r="B329" s="51"/>
      <c r="C329" s="2"/>
      <c r="D329" s="54"/>
      <c r="E329" s="51"/>
      <c r="F329" s="2"/>
      <c r="G329" s="54"/>
      <c r="H329" s="51"/>
      <c r="I329" s="2"/>
      <c r="J329" s="54"/>
      <c r="K329" s="52"/>
      <c r="L329" s="55"/>
      <c r="T329" s="4" t="str">
        <f t="shared" si="25"/>
        <v/>
      </c>
      <c r="U329" s="4" t="str">
        <f t="shared" si="24"/>
        <v/>
      </c>
    </row>
    <row r="330" spans="1:21" x14ac:dyDescent="0.25">
      <c r="A330" s="50"/>
      <c r="B330" s="51"/>
      <c r="C330" s="2"/>
      <c r="D330" s="54"/>
      <c r="E330" s="51"/>
      <c r="F330" s="2"/>
      <c r="G330" s="54"/>
      <c r="H330" s="51"/>
      <c r="I330" s="2"/>
      <c r="J330" s="54"/>
      <c r="K330" s="52"/>
      <c r="L330" s="55"/>
      <c r="T330" s="4" t="str">
        <f t="shared" si="25"/>
        <v/>
      </c>
      <c r="U330" s="4" t="str">
        <f t="shared" si="24"/>
        <v/>
      </c>
    </row>
    <row r="331" spans="1:21" x14ac:dyDescent="0.25">
      <c r="A331" s="50"/>
      <c r="B331" s="51"/>
      <c r="C331" s="2"/>
      <c r="D331" s="54"/>
      <c r="E331" s="51"/>
      <c r="F331" s="2"/>
      <c r="G331" s="54"/>
      <c r="H331" s="51"/>
      <c r="I331" s="2"/>
      <c r="J331" s="54"/>
      <c r="K331" s="52"/>
      <c r="L331" s="55"/>
      <c r="T331" s="4" t="str">
        <f t="shared" si="25"/>
        <v/>
      </c>
      <c r="U331" s="4" t="str">
        <f t="shared" si="24"/>
        <v/>
      </c>
    </row>
    <row r="332" spans="1:21" x14ac:dyDescent="0.25">
      <c r="A332" s="50"/>
      <c r="B332" s="51"/>
      <c r="C332" s="2"/>
      <c r="D332" s="54"/>
      <c r="E332" s="51"/>
      <c r="F332" s="2"/>
      <c r="G332" s="54"/>
      <c r="H332" s="51"/>
      <c r="I332" s="2"/>
      <c r="J332" s="54"/>
      <c r="K332" s="52"/>
      <c r="L332" s="55"/>
      <c r="T332" s="4" t="str">
        <f t="shared" si="25"/>
        <v/>
      </c>
      <c r="U332" s="4" t="str">
        <f t="shared" si="24"/>
        <v/>
      </c>
    </row>
    <row r="333" spans="1:21" x14ac:dyDescent="0.25">
      <c r="A333" s="50"/>
      <c r="B333" s="51"/>
      <c r="C333" s="2"/>
      <c r="D333" s="54"/>
      <c r="E333" s="51"/>
      <c r="F333" s="2"/>
      <c r="G333" s="54"/>
      <c r="H333" s="51"/>
      <c r="I333" s="2"/>
      <c r="J333" s="54"/>
      <c r="K333" s="52"/>
      <c r="L333" s="55"/>
      <c r="T333" s="4" t="str">
        <f t="shared" si="25"/>
        <v/>
      </c>
      <c r="U333" s="4" t="str">
        <f t="shared" si="24"/>
        <v/>
      </c>
    </row>
    <row r="334" spans="1:21" x14ac:dyDescent="0.25">
      <c r="A334" s="50"/>
      <c r="B334" s="51"/>
      <c r="C334" s="2"/>
      <c r="D334" s="54"/>
      <c r="E334" s="51"/>
      <c r="F334" s="2"/>
      <c r="G334" s="54"/>
      <c r="H334" s="51"/>
      <c r="I334" s="2"/>
      <c r="J334" s="54"/>
      <c r="K334" s="52"/>
      <c r="L334" s="55"/>
      <c r="T334" s="4" t="str">
        <f t="shared" si="25"/>
        <v/>
      </c>
      <c r="U334" s="4" t="str">
        <f t="shared" si="24"/>
        <v/>
      </c>
    </row>
    <row r="335" spans="1:21" x14ac:dyDescent="0.25">
      <c r="A335" s="50"/>
      <c r="B335" s="51"/>
      <c r="C335" s="2"/>
      <c r="D335" s="54"/>
      <c r="E335" s="51"/>
      <c r="F335" s="2"/>
      <c r="G335" s="54"/>
      <c r="H335" s="51"/>
      <c r="I335" s="2"/>
      <c r="J335" s="54"/>
      <c r="K335" s="52"/>
      <c r="L335" s="55"/>
      <c r="T335" s="4" t="str">
        <f t="shared" si="25"/>
        <v/>
      </c>
      <c r="U335" s="4" t="str">
        <f t="shared" si="24"/>
        <v/>
      </c>
    </row>
    <row r="336" spans="1:21" x14ac:dyDescent="0.25">
      <c r="A336" s="50"/>
      <c r="B336" s="51"/>
      <c r="C336" s="2"/>
      <c r="D336" s="54"/>
      <c r="E336" s="51"/>
      <c r="F336" s="2"/>
      <c r="G336" s="54"/>
      <c r="H336" s="51"/>
      <c r="I336" s="2"/>
      <c r="J336" s="54"/>
      <c r="K336" s="52"/>
      <c r="L336" s="55"/>
      <c r="T336" s="4" t="str">
        <f t="shared" si="25"/>
        <v/>
      </c>
      <c r="U336" s="4" t="str">
        <f t="shared" si="24"/>
        <v/>
      </c>
    </row>
    <row r="337" spans="1:21" x14ac:dyDescent="0.25">
      <c r="A337" s="50"/>
      <c r="B337" s="51"/>
      <c r="C337" s="2"/>
      <c r="D337" s="54"/>
      <c r="E337" s="51"/>
      <c r="F337" s="2"/>
      <c r="G337" s="54"/>
      <c r="H337" s="51"/>
      <c r="I337" s="2"/>
      <c r="J337" s="54"/>
      <c r="K337" s="52"/>
      <c r="L337" s="55"/>
      <c r="T337" s="4" t="str">
        <f t="shared" si="25"/>
        <v/>
      </c>
      <c r="U337" s="4" t="str">
        <f t="shared" si="24"/>
        <v/>
      </c>
    </row>
    <row r="338" spans="1:21" x14ac:dyDescent="0.25">
      <c r="A338" s="50"/>
      <c r="B338" s="51"/>
      <c r="C338" s="2"/>
      <c r="D338" s="54"/>
      <c r="E338" s="51"/>
      <c r="F338" s="2"/>
      <c r="G338" s="54"/>
      <c r="H338" s="51"/>
      <c r="I338" s="2"/>
      <c r="J338" s="54"/>
      <c r="K338" s="52"/>
      <c r="L338" s="55"/>
      <c r="T338" s="4" t="str">
        <f t="shared" si="25"/>
        <v/>
      </c>
      <c r="U338" s="4" t="str">
        <f t="shared" si="24"/>
        <v/>
      </c>
    </row>
    <row r="339" spans="1:21" x14ac:dyDescent="0.25">
      <c r="A339" s="50"/>
      <c r="B339" s="51"/>
      <c r="C339" s="2"/>
      <c r="D339" s="54"/>
      <c r="E339" s="51"/>
      <c r="F339" s="2"/>
      <c r="G339" s="54"/>
      <c r="H339" s="51"/>
      <c r="I339" s="2"/>
      <c r="J339" s="54"/>
      <c r="K339" s="52"/>
      <c r="L339" s="55"/>
      <c r="T339" s="4" t="str">
        <f t="shared" si="25"/>
        <v/>
      </c>
      <c r="U339" s="4" t="str">
        <f t="shared" si="24"/>
        <v/>
      </c>
    </row>
    <row r="340" spans="1:21" x14ac:dyDescent="0.25">
      <c r="A340" s="50"/>
      <c r="B340" s="51"/>
      <c r="C340" s="2"/>
      <c r="D340" s="54"/>
      <c r="E340" s="51"/>
      <c r="F340" s="2"/>
      <c r="G340" s="54"/>
      <c r="H340" s="51"/>
      <c r="I340" s="2"/>
      <c r="J340" s="54"/>
      <c r="K340" s="52"/>
      <c r="L340" s="55"/>
      <c r="T340" s="4" t="str">
        <f t="shared" si="25"/>
        <v/>
      </c>
      <c r="U340" s="4" t="str">
        <f t="shared" si="24"/>
        <v/>
      </c>
    </row>
    <row r="341" spans="1:21" x14ac:dyDescent="0.25">
      <c r="A341" s="50"/>
      <c r="B341" s="51"/>
      <c r="C341" s="2"/>
      <c r="D341" s="54"/>
      <c r="E341" s="51"/>
      <c r="F341" s="2"/>
      <c r="G341" s="54"/>
      <c r="H341" s="51"/>
      <c r="I341" s="2"/>
      <c r="J341" s="54"/>
      <c r="K341" s="52"/>
      <c r="L341" s="55"/>
      <c r="T341" s="4" t="str">
        <f t="shared" si="25"/>
        <v/>
      </c>
      <c r="U341" s="4" t="str">
        <f t="shared" si="24"/>
        <v/>
      </c>
    </row>
    <row r="342" spans="1:21" x14ac:dyDescent="0.25">
      <c r="A342" s="50"/>
      <c r="B342" s="51"/>
      <c r="C342" s="2"/>
      <c r="D342" s="54"/>
      <c r="E342" s="51"/>
      <c r="F342" s="2"/>
      <c r="G342" s="54"/>
      <c r="H342" s="51"/>
      <c r="I342" s="2"/>
      <c r="J342" s="54"/>
      <c r="K342" s="52"/>
      <c r="L342" s="55"/>
      <c r="T342" s="4" t="str">
        <f t="shared" si="25"/>
        <v/>
      </c>
      <c r="U342" s="4" t="str">
        <f t="shared" si="24"/>
        <v/>
      </c>
    </row>
    <row r="343" spans="1:21" x14ac:dyDescent="0.25">
      <c r="A343" s="50"/>
      <c r="B343" s="51"/>
      <c r="C343" s="2"/>
      <c r="D343" s="54"/>
      <c r="E343" s="51"/>
      <c r="F343" s="2"/>
      <c r="G343" s="54"/>
      <c r="H343" s="51"/>
      <c r="I343" s="2"/>
      <c r="J343" s="54"/>
      <c r="K343" s="52"/>
      <c r="L343" s="55"/>
      <c r="T343" s="4" t="str">
        <f t="shared" si="25"/>
        <v/>
      </c>
      <c r="U343" s="4" t="str">
        <f t="shared" si="24"/>
        <v/>
      </c>
    </row>
    <row r="344" spans="1:21" x14ac:dyDescent="0.25">
      <c r="A344" s="50"/>
      <c r="B344" s="51"/>
      <c r="C344" s="2"/>
      <c r="D344" s="54"/>
      <c r="E344" s="51"/>
      <c r="F344" s="2"/>
      <c r="G344" s="54"/>
      <c r="H344" s="51"/>
      <c r="I344" s="2"/>
      <c r="J344" s="54"/>
      <c r="K344" s="52"/>
      <c r="L344" s="55"/>
      <c r="T344" s="4" t="str">
        <f t="shared" si="25"/>
        <v/>
      </c>
      <c r="U344" s="4" t="str">
        <f t="shared" si="24"/>
        <v/>
      </c>
    </row>
    <row r="345" spans="1:21" x14ac:dyDescent="0.25">
      <c r="A345" s="50"/>
      <c r="B345" s="51"/>
      <c r="C345" s="2"/>
      <c r="D345" s="54"/>
      <c r="E345" s="51"/>
      <c r="F345" s="2"/>
      <c r="G345" s="54"/>
      <c r="H345" s="51"/>
      <c r="I345" s="2"/>
      <c r="J345" s="54"/>
      <c r="K345" s="52"/>
      <c r="L345" s="55"/>
      <c r="T345" s="4" t="str">
        <f t="shared" si="25"/>
        <v/>
      </c>
      <c r="U345" s="4" t="str">
        <f t="shared" si="24"/>
        <v/>
      </c>
    </row>
    <row r="346" spans="1:21" x14ac:dyDescent="0.25">
      <c r="A346" s="50"/>
      <c r="B346" s="51"/>
      <c r="C346" s="2"/>
      <c r="D346" s="54"/>
      <c r="E346" s="51"/>
      <c r="F346" s="2"/>
      <c r="G346" s="54"/>
      <c r="H346" s="51"/>
      <c r="I346" s="2"/>
      <c r="J346" s="54"/>
      <c r="K346" s="52"/>
      <c r="L346" s="55"/>
      <c r="T346" s="4" t="str">
        <f t="shared" si="25"/>
        <v/>
      </c>
      <c r="U346" s="4" t="str">
        <f t="shared" si="24"/>
        <v/>
      </c>
    </row>
    <row r="347" spans="1:21" x14ac:dyDescent="0.25">
      <c r="A347" s="50"/>
      <c r="B347" s="51"/>
      <c r="C347" s="2"/>
      <c r="D347" s="54"/>
      <c r="E347" s="51"/>
      <c r="F347" s="2"/>
      <c r="G347" s="54"/>
      <c r="H347" s="51"/>
      <c r="I347" s="2"/>
      <c r="J347" s="54"/>
      <c r="K347" s="52"/>
      <c r="L347" s="55"/>
      <c r="T347" s="4" t="str">
        <f t="shared" si="25"/>
        <v/>
      </c>
      <c r="U347" s="4" t="str">
        <f t="shared" si="24"/>
        <v/>
      </c>
    </row>
    <row r="348" spans="1:21" x14ac:dyDescent="0.25">
      <c r="A348" s="50"/>
      <c r="B348" s="51"/>
      <c r="C348" s="2"/>
      <c r="D348" s="54"/>
      <c r="E348" s="51"/>
      <c r="F348" s="2"/>
      <c r="G348" s="54"/>
      <c r="H348" s="51"/>
      <c r="I348" s="2"/>
      <c r="J348" s="54"/>
      <c r="K348" s="52"/>
      <c r="L348" s="55"/>
      <c r="T348" s="4" t="str">
        <f t="shared" si="25"/>
        <v/>
      </c>
      <c r="U348" s="4" t="str">
        <f t="shared" si="24"/>
        <v/>
      </c>
    </row>
    <row r="349" spans="1:21" x14ac:dyDescent="0.25">
      <c r="A349" s="50"/>
      <c r="B349" s="51"/>
      <c r="C349" s="2"/>
      <c r="D349" s="54"/>
      <c r="E349" s="51"/>
      <c r="F349" s="2"/>
      <c r="G349" s="54"/>
      <c r="H349" s="51"/>
      <c r="I349" s="2"/>
      <c r="J349" s="54"/>
      <c r="K349" s="52"/>
      <c r="L349" s="55"/>
      <c r="T349" s="4" t="str">
        <f t="shared" si="25"/>
        <v/>
      </c>
      <c r="U349" s="4" t="str">
        <f t="shared" si="24"/>
        <v/>
      </c>
    </row>
    <row r="350" spans="1:21" x14ac:dyDescent="0.25">
      <c r="A350" s="50"/>
      <c r="B350" s="51"/>
      <c r="C350" s="2"/>
      <c r="D350" s="54"/>
      <c r="E350" s="51"/>
      <c r="F350" s="2"/>
      <c r="G350" s="54"/>
      <c r="H350" s="51"/>
      <c r="I350" s="2"/>
      <c r="J350" s="54"/>
      <c r="K350" s="52"/>
      <c r="L350" s="55"/>
      <c r="T350" s="4" t="str">
        <f t="shared" si="25"/>
        <v/>
      </c>
      <c r="U350" s="4" t="str">
        <f t="shared" si="24"/>
        <v/>
      </c>
    </row>
    <row r="351" spans="1:21" x14ac:dyDescent="0.25">
      <c r="A351" s="50"/>
      <c r="B351" s="51"/>
      <c r="C351" s="2"/>
      <c r="D351" s="54"/>
      <c r="E351" s="51"/>
      <c r="F351" s="2"/>
      <c r="G351" s="54"/>
      <c r="H351" s="51"/>
      <c r="I351" s="2"/>
      <c r="J351" s="54"/>
      <c r="K351" s="52"/>
      <c r="L351" s="55"/>
      <c r="T351" s="4" t="str">
        <f t="shared" si="25"/>
        <v/>
      </c>
      <c r="U351" s="4" t="str">
        <f t="shared" si="24"/>
        <v/>
      </c>
    </row>
    <row r="352" spans="1:21" x14ac:dyDescent="0.25">
      <c r="A352" s="50"/>
      <c r="B352" s="51"/>
      <c r="C352" s="2"/>
      <c r="D352" s="54"/>
      <c r="E352" s="51"/>
      <c r="F352" s="2"/>
      <c r="G352" s="54"/>
      <c r="H352" s="51"/>
      <c r="I352" s="2"/>
      <c r="J352" s="54"/>
      <c r="K352" s="52"/>
      <c r="L352" s="55"/>
      <c r="T352" s="4" t="str">
        <f t="shared" si="25"/>
        <v/>
      </c>
      <c r="U352" s="4" t="str">
        <f t="shared" si="24"/>
        <v/>
      </c>
    </row>
    <row r="353" spans="1:21" x14ac:dyDescent="0.25">
      <c r="A353" s="50"/>
      <c r="B353" s="51"/>
      <c r="C353" s="2"/>
      <c r="D353" s="54"/>
      <c r="E353" s="51"/>
      <c r="F353" s="2"/>
      <c r="G353" s="54"/>
      <c r="H353" s="51"/>
      <c r="I353" s="2"/>
      <c r="J353" s="54"/>
      <c r="K353" s="52"/>
      <c r="L353" s="55"/>
      <c r="T353" s="4" t="str">
        <f t="shared" si="25"/>
        <v/>
      </c>
      <c r="U353" s="4" t="str">
        <f t="shared" si="24"/>
        <v/>
      </c>
    </row>
    <row r="354" spans="1:21" x14ac:dyDescent="0.25">
      <c r="A354" s="50"/>
      <c r="B354" s="51"/>
      <c r="C354" s="2"/>
      <c r="D354" s="54"/>
      <c r="E354" s="51"/>
      <c r="F354" s="2"/>
      <c r="G354" s="54"/>
      <c r="H354" s="51"/>
      <c r="I354" s="2"/>
      <c r="J354" s="54"/>
      <c r="K354" s="52"/>
      <c r="L354" s="55"/>
      <c r="T354" s="4" t="str">
        <f t="shared" si="25"/>
        <v/>
      </c>
      <c r="U354" s="4" t="str">
        <f t="shared" si="24"/>
        <v/>
      </c>
    </row>
    <row r="355" spans="1:21" x14ac:dyDescent="0.25">
      <c r="A355" s="50"/>
      <c r="B355" s="51"/>
      <c r="C355" s="2"/>
      <c r="D355" s="54"/>
      <c r="E355" s="51"/>
      <c r="F355" s="2"/>
      <c r="G355" s="54"/>
      <c r="H355" s="51"/>
      <c r="I355" s="2"/>
      <c r="J355" s="54"/>
      <c r="K355" s="52"/>
      <c r="L355" s="55"/>
      <c r="T355" s="4" t="str">
        <f t="shared" si="25"/>
        <v/>
      </c>
      <c r="U355" s="4" t="str">
        <f t="shared" si="24"/>
        <v/>
      </c>
    </row>
    <row r="356" spans="1:21" x14ac:dyDescent="0.25">
      <c r="A356" s="50"/>
      <c r="B356" s="51"/>
      <c r="C356" s="2"/>
      <c r="D356" s="54"/>
      <c r="E356" s="51"/>
      <c r="F356" s="2"/>
      <c r="G356" s="54"/>
      <c r="H356" s="51"/>
      <c r="I356" s="2"/>
      <c r="J356" s="54"/>
      <c r="K356" s="52"/>
      <c r="L356" s="55"/>
      <c r="T356" s="4" t="str">
        <f t="shared" si="25"/>
        <v/>
      </c>
      <c r="U356" s="4" t="str">
        <f t="shared" si="24"/>
        <v/>
      </c>
    </row>
    <row r="357" spans="1:21" x14ac:dyDescent="0.25">
      <c r="A357" s="50"/>
      <c r="B357" s="51"/>
      <c r="C357" s="2"/>
      <c r="D357" s="54"/>
      <c r="E357" s="51"/>
      <c r="F357" s="2"/>
      <c r="G357" s="54"/>
      <c r="H357" s="51"/>
      <c r="I357" s="2"/>
      <c r="J357" s="54"/>
      <c r="K357" s="52"/>
      <c r="L357" s="55"/>
      <c r="T357" s="4" t="str">
        <f t="shared" si="25"/>
        <v/>
      </c>
      <c r="U357" s="4" t="str">
        <f t="shared" si="24"/>
        <v/>
      </c>
    </row>
    <row r="358" spans="1:21" x14ac:dyDescent="0.25">
      <c r="A358" s="50"/>
      <c r="B358" s="51"/>
      <c r="C358" s="2"/>
      <c r="D358" s="54"/>
      <c r="E358" s="51"/>
      <c r="F358" s="2"/>
      <c r="G358" s="54"/>
      <c r="H358" s="51"/>
      <c r="I358" s="2"/>
      <c r="J358" s="54"/>
      <c r="K358" s="52"/>
      <c r="L358" s="55"/>
      <c r="T358" s="4" t="str">
        <f t="shared" si="25"/>
        <v/>
      </c>
      <c r="U358" s="4" t="str">
        <f t="shared" si="24"/>
        <v/>
      </c>
    </row>
    <row r="359" spans="1:21" x14ac:dyDescent="0.25">
      <c r="A359" s="50"/>
      <c r="B359" s="51"/>
      <c r="C359" s="2"/>
      <c r="D359" s="54"/>
      <c r="E359" s="51"/>
      <c r="F359" s="2"/>
      <c r="G359" s="54"/>
      <c r="H359" s="51"/>
      <c r="I359" s="2"/>
      <c r="J359" s="54"/>
      <c r="K359" s="52"/>
      <c r="L359" s="55"/>
      <c r="T359" s="4" t="str">
        <f t="shared" si="25"/>
        <v/>
      </c>
      <c r="U359" s="4" t="str">
        <f t="shared" si="24"/>
        <v/>
      </c>
    </row>
    <row r="360" spans="1:21" x14ac:dyDescent="0.25">
      <c r="A360" s="50"/>
      <c r="B360" s="51"/>
      <c r="C360" s="2"/>
      <c r="D360" s="54"/>
      <c r="E360" s="51"/>
      <c r="F360" s="2"/>
      <c r="G360" s="54"/>
      <c r="H360" s="51"/>
      <c r="I360" s="2"/>
      <c r="J360" s="54"/>
      <c r="K360" s="52"/>
      <c r="L360" s="55"/>
      <c r="T360" s="4" t="str">
        <f t="shared" si="25"/>
        <v/>
      </c>
      <c r="U360" s="4" t="str">
        <f t="shared" si="24"/>
        <v/>
      </c>
    </row>
    <row r="361" spans="1:21" x14ac:dyDescent="0.25">
      <c r="A361" s="50"/>
      <c r="B361" s="51"/>
      <c r="C361" s="2"/>
      <c r="D361" s="54"/>
      <c r="E361" s="51"/>
      <c r="F361" s="2"/>
      <c r="G361" s="54"/>
      <c r="H361" s="51"/>
      <c r="I361" s="2"/>
      <c r="J361" s="54"/>
      <c r="K361" s="52"/>
      <c r="L361" s="55"/>
      <c r="T361" s="4" t="str">
        <f t="shared" si="25"/>
        <v/>
      </c>
      <c r="U361" s="4" t="str">
        <f t="shared" si="24"/>
        <v/>
      </c>
    </row>
    <row r="362" spans="1:21" x14ac:dyDescent="0.25">
      <c r="A362" s="50"/>
      <c r="B362" s="51"/>
      <c r="C362" s="2"/>
      <c r="D362" s="54"/>
      <c r="E362" s="51"/>
      <c r="F362" s="2"/>
      <c r="G362" s="54"/>
      <c r="H362" s="51"/>
      <c r="I362" s="2"/>
      <c r="J362" s="54"/>
      <c r="K362" s="52"/>
      <c r="L362" s="55"/>
      <c r="T362" s="4" t="str">
        <f t="shared" si="25"/>
        <v/>
      </c>
      <c r="U362" s="4" t="str">
        <f t="shared" si="24"/>
        <v/>
      </c>
    </row>
    <row r="363" spans="1:21" x14ac:dyDescent="0.25">
      <c r="A363" s="50"/>
      <c r="B363" s="51"/>
      <c r="C363" s="2"/>
      <c r="D363" s="54"/>
      <c r="E363" s="51"/>
      <c r="F363" s="2"/>
      <c r="G363" s="54"/>
      <c r="H363" s="51"/>
      <c r="I363" s="2"/>
      <c r="J363" s="54"/>
      <c r="K363" s="52"/>
      <c r="L363" s="55"/>
      <c r="T363" s="4" t="str">
        <f t="shared" si="25"/>
        <v/>
      </c>
      <c r="U363" s="4" t="str">
        <f t="shared" si="24"/>
        <v/>
      </c>
    </row>
    <row r="364" spans="1:21" x14ac:dyDescent="0.25">
      <c r="A364" s="50"/>
      <c r="B364" s="51"/>
      <c r="C364" s="2"/>
      <c r="D364" s="54"/>
      <c r="E364" s="51"/>
      <c r="F364" s="2"/>
      <c r="G364" s="54"/>
      <c r="H364" s="51"/>
      <c r="I364" s="2"/>
      <c r="J364" s="54"/>
      <c r="K364" s="52"/>
      <c r="L364" s="55"/>
      <c r="T364" s="4" t="str">
        <f t="shared" si="25"/>
        <v/>
      </c>
      <c r="U364" s="4" t="str">
        <f t="shared" si="24"/>
        <v/>
      </c>
    </row>
    <row r="365" spans="1:21" x14ac:dyDescent="0.25">
      <c r="A365" s="50"/>
      <c r="B365" s="51"/>
      <c r="C365" s="2"/>
      <c r="D365" s="54"/>
      <c r="E365" s="51"/>
      <c r="F365" s="2"/>
      <c r="G365" s="54"/>
      <c r="H365" s="51"/>
      <c r="I365" s="2"/>
      <c r="J365" s="54"/>
      <c r="K365" s="52"/>
      <c r="L365" s="55"/>
      <c r="T365" s="4" t="str">
        <f t="shared" si="25"/>
        <v/>
      </c>
      <c r="U365" s="4" t="str">
        <f t="shared" si="24"/>
        <v/>
      </c>
    </row>
    <row r="366" spans="1:21" x14ac:dyDescent="0.25">
      <c r="A366" s="50"/>
      <c r="B366" s="51"/>
      <c r="C366" s="2"/>
      <c r="D366" s="54"/>
      <c r="E366" s="51"/>
      <c r="F366" s="2"/>
      <c r="G366" s="54"/>
      <c r="H366" s="51"/>
      <c r="I366" s="2"/>
      <c r="J366" s="54"/>
      <c r="K366" s="52"/>
      <c r="L366" s="55"/>
      <c r="T366" s="4" t="str">
        <f t="shared" si="25"/>
        <v/>
      </c>
      <c r="U366" s="4" t="str">
        <f t="shared" si="24"/>
        <v/>
      </c>
    </row>
    <row r="367" spans="1:21" x14ac:dyDescent="0.25">
      <c r="A367" s="50"/>
      <c r="B367" s="51"/>
      <c r="C367" s="2"/>
      <c r="D367" s="54"/>
      <c r="E367" s="51"/>
      <c r="F367" s="2"/>
      <c r="G367" s="54"/>
      <c r="H367" s="51"/>
      <c r="I367" s="2"/>
      <c r="J367" s="54"/>
      <c r="K367" s="52"/>
      <c r="L367" s="55"/>
      <c r="T367" s="4" t="str">
        <f t="shared" si="25"/>
        <v/>
      </c>
      <c r="U367" s="4" t="str">
        <f t="shared" si="24"/>
        <v/>
      </c>
    </row>
    <row r="368" spans="1:21" x14ac:dyDescent="0.25">
      <c r="A368" s="50"/>
      <c r="B368" s="51"/>
      <c r="C368" s="2"/>
      <c r="D368" s="54"/>
      <c r="E368" s="51"/>
      <c r="F368" s="2"/>
      <c r="G368" s="54"/>
      <c r="H368" s="51"/>
      <c r="I368" s="2"/>
      <c r="J368" s="54"/>
      <c r="K368" s="52"/>
      <c r="L368" s="55"/>
      <c r="T368" s="4" t="str">
        <f t="shared" si="25"/>
        <v/>
      </c>
      <c r="U368" s="4" t="str">
        <f t="shared" si="24"/>
        <v/>
      </c>
    </row>
    <row r="369" spans="1:21" x14ac:dyDescent="0.25">
      <c r="A369" s="50"/>
      <c r="B369" s="51"/>
      <c r="C369" s="2"/>
      <c r="D369" s="54"/>
      <c r="E369" s="51"/>
      <c r="F369" s="2"/>
      <c r="G369" s="54"/>
      <c r="H369" s="51"/>
      <c r="I369" s="2"/>
      <c r="J369" s="54"/>
      <c r="K369" s="52"/>
      <c r="L369" s="55"/>
      <c r="T369" s="4" t="str">
        <f t="shared" si="25"/>
        <v/>
      </c>
      <c r="U369" s="4" t="str">
        <f t="shared" si="24"/>
        <v/>
      </c>
    </row>
    <row r="370" spans="1:21" x14ac:dyDescent="0.25">
      <c r="A370" s="50"/>
      <c r="B370" s="51"/>
      <c r="C370" s="2"/>
      <c r="D370" s="54"/>
      <c r="E370" s="51"/>
      <c r="F370" s="2"/>
      <c r="G370" s="54"/>
      <c r="H370" s="51"/>
      <c r="I370" s="2"/>
      <c r="J370" s="54"/>
      <c r="K370" s="52"/>
      <c r="L370" s="55"/>
      <c r="T370" s="4" t="str">
        <f t="shared" si="25"/>
        <v/>
      </c>
      <c r="U370" s="4" t="str">
        <f t="shared" si="24"/>
        <v/>
      </c>
    </row>
    <row r="371" spans="1:21" x14ac:dyDescent="0.25">
      <c r="A371" s="50"/>
      <c r="B371" s="51"/>
      <c r="C371" s="2"/>
      <c r="D371" s="54"/>
      <c r="E371" s="51"/>
      <c r="F371" s="2"/>
      <c r="G371" s="54"/>
      <c r="H371" s="51"/>
      <c r="I371" s="2"/>
      <c r="J371" s="54"/>
      <c r="K371" s="52"/>
      <c r="L371" s="55"/>
      <c r="T371" s="4" t="str">
        <f t="shared" si="25"/>
        <v/>
      </c>
      <c r="U371" s="4" t="str">
        <f t="shared" si="24"/>
        <v/>
      </c>
    </row>
    <row r="372" spans="1:21" x14ac:dyDescent="0.25">
      <c r="A372" s="50"/>
      <c r="B372" s="51"/>
      <c r="C372" s="2"/>
      <c r="D372" s="54"/>
      <c r="E372" s="51"/>
      <c r="F372" s="2"/>
      <c r="G372" s="54"/>
      <c r="H372" s="51"/>
      <c r="I372" s="2"/>
      <c r="J372" s="54"/>
      <c r="K372" s="52"/>
      <c r="L372" s="55"/>
      <c r="T372" s="4" t="str">
        <f t="shared" si="25"/>
        <v/>
      </c>
      <c r="U372" s="4" t="str">
        <f t="shared" si="24"/>
        <v/>
      </c>
    </row>
    <row r="373" spans="1:21" x14ac:dyDescent="0.25">
      <c r="A373" s="50"/>
      <c r="B373" s="51"/>
      <c r="C373" s="2"/>
      <c r="D373" s="54"/>
      <c r="E373" s="51"/>
      <c r="F373" s="2"/>
      <c r="G373" s="54"/>
      <c r="H373" s="51"/>
      <c r="I373" s="2"/>
      <c r="J373" s="54"/>
      <c r="K373" s="52"/>
      <c r="L373" s="55"/>
      <c r="T373" s="4" t="str">
        <f t="shared" si="25"/>
        <v/>
      </c>
      <c r="U373" s="4" t="str">
        <f t="shared" si="24"/>
        <v/>
      </c>
    </row>
    <row r="374" spans="1:21" x14ac:dyDescent="0.25">
      <c r="A374" s="50"/>
      <c r="B374" s="51"/>
      <c r="C374" s="2"/>
      <c r="D374" s="54"/>
      <c r="E374" s="51"/>
      <c r="F374" s="2"/>
      <c r="G374" s="54"/>
      <c r="H374" s="51"/>
      <c r="I374" s="2"/>
      <c r="J374" s="54"/>
      <c r="K374" s="52"/>
      <c r="L374" s="55"/>
      <c r="T374" s="4" t="str">
        <f t="shared" si="25"/>
        <v/>
      </c>
      <c r="U374" s="4" t="str">
        <f t="shared" si="24"/>
        <v/>
      </c>
    </row>
    <row r="375" spans="1:21" x14ac:dyDescent="0.25">
      <c r="A375" s="50"/>
      <c r="B375" s="51"/>
      <c r="C375" s="2"/>
      <c r="D375" s="54"/>
      <c r="E375" s="51"/>
      <c r="F375" s="2"/>
      <c r="G375" s="54"/>
      <c r="H375" s="51"/>
      <c r="I375" s="2"/>
      <c r="J375" s="54"/>
      <c r="K375" s="52"/>
      <c r="L375" s="55"/>
      <c r="T375" s="4" t="str">
        <f t="shared" si="25"/>
        <v/>
      </c>
      <c r="U375" s="4" t="str">
        <f t="shared" si="24"/>
        <v/>
      </c>
    </row>
    <row r="376" spans="1:21" x14ac:dyDescent="0.25">
      <c r="A376" s="50"/>
      <c r="B376" s="51"/>
      <c r="C376" s="2"/>
      <c r="D376" s="54"/>
      <c r="E376" s="51"/>
      <c r="F376" s="2"/>
      <c r="G376" s="54"/>
      <c r="H376" s="51"/>
      <c r="I376" s="2"/>
      <c r="J376" s="54"/>
      <c r="K376" s="52"/>
      <c r="L376" s="55"/>
      <c r="T376" s="4" t="str">
        <f t="shared" si="25"/>
        <v/>
      </c>
      <c r="U376" s="4" t="str">
        <f t="shared" si="24"/>
        <v/>
      </c>
    </row>
    <row r="377" spans="1:21" x14ac:dyDescent="0.25">
      <c r="A377" s="50"/>
      <c r="B377" s="51"/>
      <c r="C377" s="2"/>
      <c r="D377" s="54"/>
      <c r="E377" s="51"/>
      <c r="F377" s="2"/>
      <c r="G377" s="54"/>
      <c r="H377" s="51"/>
      <c r="I377" s="2"/>
      <c r="J377" s="54"/>
      <c r="K377" s="52"/>
      <c r="L377" s="55"/>
      <c r="T377" s="4" t="str">
        <f t="shared" si="25"/>
        <v/>
      </c>
      <c r="U377" s="4" t="str">
        <f t="shared" si="24"/>
        <v/>
      </c>
    </row>
    <row r="378" spans="1:21" x14ac:dyDescent="0.25">
      <c r="A378" s="50"/>
      <c r="B378" s="51"/>
      <c r="C378" s="2"/>
      <c r="D378" s="54"/>
      <c r="E378" s="51"/>
      <c r="F378" s="2"/>
      <c r="G378" s="54"/>
      <c r="H378" s="51"/>
      <c r="I378" s="2"/>
      <c r="J378" s="54"/>
      <c r="K378" s="52"/>
      <c r="L378" s="55"/>
      <c r="T378" s="4" t="str">
        <f t="shared" si="25"/>
        <v/>
      </c>
      <c r="U378" s="4" t="str">
        <f t="shared" si="24"/>
        <v/>
      </c>
    </row>
    <row r="379" spans="1:21" x14ac:dyDescent="0.25">
      <c r="A379" s="50"/>
      <c r="B379" s="51"/>
      <c r="C379" s="2"/>
      <c r="D379" s="54"/>
      <c r="E379" s="51"/>
      <c r="F379" s="2"/>
      <c r="G379" s="54"/>
      <c r="H379" s="51"/>
      <c r="I379" s="2"/>
      <c r="J379" s="54"/>
      <c r="K379" s="52"/>
      <c r="L379" s="55"/>
      <c r="T379" s="4" t="str">
        <f t="shared" si="25"/>
        <v/>
      </c>
      <c r="U379" s="4" t="str">
        <f t="shared" si="24"/>
        <v/>
      </c>
    </row>
    <row r="380" spans="1:21" x14ac:dyDescent="0.25">
      <c r="A380" s="50"/>
      <c r="B380" s="51"/>
      <c r="C380" s="2"/>
      <c r="D380" s="54"/>
      <c r="E380" s="51"/>
      <c r="F380" s="2"/>
      <c r="G380" s="54"/>
      <c r="H380" s="51"/>
      <c r="I380" s="2"/>
      <c r="J380" s="54"/>
      <c r="K380" s="52"/>
      <c r="L380" s="55"/>
      <c r="T380" s="4" t="str">
        <f t="shared" si="25"/>
        <v/>
      </c>
      <c r="U380" s="4" t="str">
        <f t="shared" si="24"/>
        <v/>
      </c>
    </row>
    <row r="381" spans="1:21" x14ac:dyDescent="0.25">
      <c r="A381" s="50"/>
      <c r="B381" s="51"/>
      <c r="C381" s="2"/>
      <c r="D381" s="54"/>
      <c r="E381" s="51"/>
      <c r="F381" s="2"/>
      <c r="G381" s="54"/>
      <c r="H381" s="51"/>
      <c r="I381" s="2"/>
      <c r="J381" s="54"/>
      <c r="K381" s="52"/>
      <c r="L381" s="55"/>
      <c r="T381" s="4" t="str">
        <f t="shared" si="25"/>
        <v/>
      </c>
      <c r="U381" s="4" t="str">
        <f t="shared" si="24"/>
        <v/>
      </c>
    </row>
    <row r="382" spans="1:21" x14ac:dyDescent="0.25">
      <c r="A382" s="50"/>
      <c r="B382" s="51"/>
      <c r="C382" s="2"/>
      <c r="D382" s="54"/>
      <c r="E382" s="51"/>
      <c r="F382" s="2"/>
      <c r="G382" s="54"/>
      <c r="H382" s="51"/>
      <c r="I382" s="2"/>
      <c r="J382" s="54"/>
      <c r="K382" s="52"/>
      <c r="L382" s="55"/>
      <c r="T382" s="4" t="str">
        <f t="shared" si="25"/>
        <v/>
      </c>
      <c r="U382" s="4" t="str">
        <f t="shared" si="24"/>
        <v/>
      </c>
    </row>
    <row r="383" spans="1:21" x14ac:dyDescent="0.25">
      <c r="A383" s="50"/>
      <c r="B383" s="51"/>
      <c r="C383" s="2"/>
      <c r="D383" s="54"/>
      <c r="E383" s="51"/>
      <c r="F383" s="2"/>
      <c r="G383" s="54"/>
      <c r="H383" s="51"/>
      <c r="I383" s="2"/>
      <c r="J383" s="54"/>
      <c r="K383" s="52"/>
      <c r="L383" s="55"/>
      <c r="T383" s="4" t="str">
        <f t="shared" si="25"/>
        <v/>
      </c>
      <c r="U383" s="4" t="str">
        <f t="shared" si="24"/>
        <v/>
      </c>
    </row>
    <row r="384" spans="1:21" x14ac:dyDescent="0.25">
      <c r="A384" s="50"/>
      <c r="B384" s="51"/>
      <c r="C384" s="2"/>
      <c r="D384" s="54"/>
      <c r="E384" s="51"/>
      <c r="F384" s="2"/>
      <c r="G384" s="54"/>
      <c r="H384" s="51"/>
      <c r="I384" s="2"/>
      <c r="J384" s="54"/>
      <c r="K384" s="52"/>
      <c r="L384" s="55"/>
      <c r="T384" s="4" t="str">
        <f t="shared" si="25"/>
        <v/>
      </c>
      <c r="U384" s="4" t="str">
        <f t="shared" si="24"/>
        <v/>
      </c>
    </row>
    <row r="385" spans="1:21" x14ac:dyDescent="0.25">
      <c r="A385" s="50"/>
      <c r="B385" s="51"/>
      <c r="C385" s="2"/>
      <c r="D385" s="54"/>
      <c r="E385" s="51"/>
      <c r="F385" s="2"/>
      <c r="G385" s="54"/>
      <c r="H385" s="51"/>
      <c r="I385" s="2"/>
      <c r="J385" s="54"/>
      <c r="K385" s="52"/>
      <c r="L385" s="55"/>
      <c r="T385" s="4" t="str">
        <f t="shared" si="25"/>
        <v/>
      </c>
      <c r="U385" s="4" t="str">
        <f t="shared" si="24"/>
        <v/>
      </c>
    </row>
    <row r="386" spans="1:21" x14ac:dyDescent="0.25">
      <c r="A386" s="50"/>
      <c r="B386" s="51"/>
      <c r="C386" s="2"/>
      <c r="D386" s="54"/>
      <c r="E386" s="51"/>
      <c r="F386" s="2"/>
      <c r="G386" s="54"/>
      <c r="H386" s="51"/>
      <c r="I386" s="2"/>
      <c r="J386" s="54"/>
      <c r="K386" s="52"/>
      <c r="L386" s="55"/>
      <c r="T386" s="4" t="str">
        <f t="shared" si="25"/>
        <v/>
      </c>
      <c r="U386" s="4" t="str">
        <f t="shared" si="24"/>
        <v/>
      </c>
    </row>
    <row r="387" spans="1:21" x14ac:dyDescent="0.25">
      <c r="A387" s="50"/>
      <c r="B387" s="51"/>
      <c r="C387" s="2"/>
      <c r="D387" s="54"/>
      <c r="E387" s="51"/>
      <c r="F387" s="2"/>
      <c r="G387" s="54"/>
      <c r="H387" s="51"/>
      <c r="I387" s="2"/>
      <c r="J387" s="54"/>
      <c r="K387" s="52"/>
      <c r="L387" s="55"/>
      <c r="T387" s="4" t="str">
        <f t="shared" si="25"/>
        <v/>
      </c>
      <c r="U387" s="4" t="str">
        <f t="shared" ref="U387:U450" si="26">IF(T387&gt;$A$14,T387,"")</f>
        <v/>
      </c>
    </row>
    <row r="388" spans="1:21" x14ac:dyDescent="0.25">
      <c r="A388" s="50"/>
      <c r="B388" s="51"/>
      <c r="C388" s="2"/>
      <c r="D388" s="54"/>
      <c r="E388" s="51"/>
      <c r="F388" s="2"/>
      <c r="G388" s="54"/>
      <c r="H388" s="51"/>
      <c r="I388" s="2"/>
      <c r="J388" s="54"/>
      <c r="K388" s="52"/>
      <c r="L388" s="55"/>
      <c r="T388" s="4" t="str">
        <f t="shared" ref="T388:T451" si="27">IF(COUNTIF(P:P,N388)*COUNTIF(R:R,N388),N388,"")</f>
        <v/>
      </c>
      <c r="U388" s="4" t="str">
        <f t="shared" si="26"/>
        <v/>
      </c>
    </row>
    <row r="389" spans="1:21" x14ac:dyDescent="0.25">
      <c r="A389" s="50"/>
      <c r="B389" s="51"/>
      <c r="C389" s="2"/>
      <c r="D389" s="54"/>
      <c r="E389" s="51"/>
      <c r="F389" s="2"/>
      <c r="G389" s="54"/>
      <c r="H389" s="51"/>
      <c r="I389" s="2"/>
      <c r="J389" s="54"/>
      <c r="K389" s="52"/>
      <c r="L389" s="55"/>
      <c r="T389" s="4" t="str">
        <f t="shared" si="27"/>
        <v/>
      </c>
      <c r="U389" s="4" t="str">
        <f t="shared" si="26"/>
        <v/>
      </c>
    </row>
    <row r="390" spans="1:21" x14ac:dyDescent="0.25">
      <c r="A390" s="50"/>
      <c r="B390" s="51"/>
      <c r="C390" s="2"/>
      <c r="D390" s="54"/>
      <c r="E390" s="51"/>
      <c r="F390" s="2"/>
      <c r="G390" s="54"/>
      <c r="H390" s="51"/>
      <c r="I390" s="2"/>
      <c r="J390" s="54"/>
      <c r="K390" s="52"/>
      <c r="L390" s="55"/>
      <c r="T390" s="4" t="str">
        <f t="shared" si="27"/>
        <v/>
      </c>
      <c r="U390" s="4" t="str">
        <f t="shared" si="26"/>
        <v/>
      </c>
    </row>
    <row r="391" spans="1:21" x14ac:dyDescent="0.25">
      <c r="A391" s="50"/>
      <c r="B391" s="51"/>
      <c r="C391" s="2"/>
      <c r="D391" s="54"/>
      <c r="E391" s="51"/>
      <c r="F391" s="2"/>
      <c r="G391" s="54"/>
      <c r="H391" s="51"/>
      <c r="I391" s="2"/>
      <c r="J391" s="54"/>
      <c r="K391" s="52"/>
      <c r="L391" s="55"/>
      <c r="T391" s="4" t="str">
        <f t="shared" si="27"/>
        <v/>
      </c>
      <c r="U391" s="4" t="str">
        <f t="shared" si="26"/>
        <v/>
      </c>
    </row>
    <row r="392" spans="1:21" x14ac:dyDescent="0.25">
      <c r="A392" s="50"/>
      <c r="B392" s="51"/>
      <c r="C392" s="2"/>
      <c r="D392" s="54"/>
      <c r="E392" s="51"/>
      <c r="F392" s="2"/>
      <c r="G392" s="54"/>
      <c r="H392" s="51"/>
      <c r="I392" s="2"/>
      <c r="J392" s="54"/>
      <c r="K392" s="52"/>
      <c r="L392" s="55"/>
      <c r="T392" s="4" t="str">
        <f t="shared" si="27"/>
        <v/>
      </c>
      <c r="U392" s="4" t="str">
        <f t="shared" si="26"/>
        <v/>
      </c>
    </row>
    <row r="393" spans="1:21" x14ac:dyDescent="0.25">
      <c r="A393" s="50"/>
      <c r="B393" s="51"/>
      <c r="C393" s="2"/>
      <c r="D393" s="54"/>
      <c r="E393" s="51"/>
      <c r="F393" s="2"/>
      <c r="G393" s="54"/>
      <c r="H393" s="51"/>
      <c r="I393" s="2"/>
      <c r="J393" s="54"/>
      <c r="K393" s="52"/>
      <c r="L393" s="55"/>
      <c r="T393" s="4" t="str">
        <f t="shared" si="27"/>
        <v/>
      </c>
      <c r="U393" s="4" t="str">
        <f t="shared" si="26"/>
        <v/>
      </c>
    </row>
    <row r="394" spans="1:21" x14ac:dyDescent="0.25">
      <c r="A394" s="50"/>
      <c r="B394" s="51"/>
      <c r="C394" s="2"/>
      <c r="D394" s="54"/>
      <c r="E394" s="51"/>
      <c r="F394" s="2"/>
      <c r="G394" s="54"/>
      <c r="H394" s="51"/>
      <c r="I394" s="2"/>
      <c r="J394" s="54"/>
      <c r="K394" s="52"/>
      <c r="L394" s="55"/>
      <c r="T394" s="4" t="str">
        <f t="shared" si="27"/>
        <v/>
      </c>
      <c r="U394" s="4" t="str">
        <f t="shared" si="26"/>
        <v/>
      </c>
    </row>
    <row r="395" spans="1:21" x14ac:dyDescent="0.25">
      <c r="A395" s="50"/>
      <c r="B395" s="51"/>
      <c r="C395" s="2"/>
      <c r="D395" s="54"/>
      <c r="E395" s="51"/>
      <c r="F395" s="2"/>
      <c r="G395" s="54"/>
      <c r="H395" s="51"/>
      <c r="I395" s="2"/>
      <c r="J395" s="54"/>
      <c r="K395" s="52"/>
      <c r="L395" s="55"/>
      <c r="T395" s="4" t="str">
        <f t="shared" si="27"/>
        <v/>
      </c>
      <c r="U395" s="4" t="str">
        <f t="shared" si="26"/>
        <v/>
      </c>
    </row>
    <row r="396" spans="1:21" x14ac:dyDescent="0.25">
      <c r="A396" s="50"/>
      <c r="B396" s="51"/>
      <c r="C396" s="2"/>
      <c r="D396" s="54"/>
      <c r="E396" s="51"/>
      <c r="F396" s="2"/>
      <c r="G396" s="54"/>
      <c r="H396" s="51"/>
      <c r="I396" s="2"/>
      <c r="J396" s="54"/>
      <c r="K396" s="52"/>
      <c r="L396" s="55"/>
      <c r="T396" s="4" t="str">
        <f t="shared" si="27"/>
        <v/>
      </c>
      <c r="U396" s="4" t="str">
        <f t="shared" si="26"/>
        <v/>
      </c>
    </row>
    <row r="397" spans="1:21" x14ac:dyDescent="0.25">
      <c r="A397" s="50"/>
      <c r="B397" s="51"/>
      <c r="C397" s="2"/>
      <c r="D397" s="54"/>
      <c r="E397" s="51"/>
      <c r="F397" s="2"/>
      <c r="G397" s="54"/>
      <c r="H397" s="51"/>
      <c r="I397" s="2"/>
      <c r="J397" s="54"/>
      <c r="K397" s="52"/>
      <c r="L397" s="55"/>
      <c r="T397" s="4" t="str">
        <f t="shared" si="27"/>
        <v/>
      </c>
      <c r="U397" s="4" t="str">
        <f t="shared" si="26"/>
        <v/>
      </c>
    </row>
    <row r="398" spans="1:21" x14ac:dyDescent="0.25">
      <c r="A398" s="50"/>
      <c r="B398" s="51"/>
      <c r="C398" s="2"/>
      <c r="D398" s="54"/>
      <c r="E398" s="51"/>
      <c r="F398" s="2"/>
      <c r="G398" s="54"/>
      <c r="H398" s="51"/>
      <c r="I398" s="2"/>
      <c r="J398" s="54"/>
      <c r="K398" s="52"/>
      <c r="L398" s="55"/>
      <c r="T398" s="4" t="str">
        <f t="shared" si="27"/>
        <v/>
      </c>
      <c r="U398" s="4" t="str">
        <f t="shared" si="26"/>
        <v/>
      </c>
    </row>
    <row r="399" spans="1:21" x14ac:dyDescent="0.25">
      <c r="A399" s="50"/>
      <c r="B399" s="51"/>
      <c r="C399" s="2"/>
      <c r="D399" s="54"/>
      <c r="E399" s="51"/>
      <c r="F399" s="2"/>
      <c r="G399" s="54"/>
      <c r="H399" s="51"/>
      <c r="I399" s="2"/>
      <c r="J399" s="54"/>
      <c r="K399" s="52"/>
      <c r="L399" s="55"/>
      <c r="T399" s="4" t="str">
        <f t="shared" si="27"/>
        <v/>
      </c>
      <c r="U399" s="4" t="str">
        <f t="shared" si="26"/>
        <v/>
      </c>
    </row>
    <row r="400" spans="1:21" x14ac:dyDescent="0.25">
      <c r="A400" s="50"/>
      <c r="B400" s="51"/>
      <c r="C400" s="2"/>
      <c r="D400" s="54"/>
      <c r="E400" s="51"/>
      <c r="F400" s="2"/>
      <c r="G400" s="54"/>
      <c r="H400" s="51"/>
      <c r="I400" s="2"/>
      <c r="J400" s="54"/>
      <c r="K400" s="52"/>
      <c r="L400" s="55"/>
      <c r="T400" s="4" t="str">
        <f t="shared" si="27"/>
        <v/>
      </c>
      <c r="U400" s="4" t="str">
        <f t="shared" si="26"/>
        <v/>
      </c>
    </row>
    <row r="401" spans="1:21" x14ac:dyDescent="0.25">
      <c r="A401" s="50"/>
      <c r="B401" s="51"/>
      <c r="C401" s="2"/>
      <c r="D401" s="54"/>
      <c r="E401" s="51"/>
      <c r="F401" s="2"/>
      <c r="G401" s="54"/>
      <c r="H401" s="51"/>
      <c r="I401" s="2"/>
      <c r="J401" s="54"/>
      <c r="K401" s="52"/>
      <c r="L401" s="55"/>
      <c r="T401" s="4" t="str">
        <f t="shared" si="27"/>
        <v/>
      </c>
      <c r="U401" s="4" t="str">
        <f t="shared" si="26"/>
        <v/>
      </c>
    </row>
    <row r="402" spans="1:21" x14ac:dyDescent="0.25">
      <c r="A402" s="50"/>
      <c r="B402" s="51"/>
      <c r="C402" s="2"/>
      <c r="D402" s="54"/>
      <c r="E402" s="51"/>
      <c r="F402" s="2"/>
      <c r="G402" s="54"/>
      <c r="H402" s="51"/>
      <c r="I402" s="2"/>
      <c r="J402" s="54"/>
      <c r="K402" s="52"/>
      <c r="L402" s="55"/>
      <c r="T402" s="4" t="str">
        <f t="shared" si="27"/>
        <v/>
      </c>
      <c r="U402" s="4" t="str">
        <f t="shared" si="26"/>
        <v/>
      </c>
    </row>
    <row r="403" spans="1:21" x14ac:dyDescent="0.25">
      <c r="A403" s="50"/>
      <c r="B403" s="51"/>
      <c r="C403" s="2"/>
      <c r="D403" s="54"/>
      <c r="E403" s="51"/>
      <c r="F403" s="2"/>
      <c r="G403" s="54"/>
      <c r="H403" s="51"/>
      <c r="I403" s="2"/>
      <c r="J403" s="54"/>
      <c r="K403" s="52"/>
      <c r="L403" s="55"/>
      <c r="T403" s="4" t="str">
        <f t="shared" si="27"/>
        <v/>
      </c>
      <c r="U403" s="4" t="str">
        <f t="shared" si="26"/>
        <v/>
      </c>
    </row>
    <row r="404" spans="1:21" x14ac:dyDescent="0.25">
      <c r="A404" s="50"/>
      <c r="B404" s="51"/>
      <c r="C404" s="2"/>
      <c r="D404" s="54"/>
      <c r="E404" s="51"/>
      <c r="F404" s="2"/>
      <c r="G404" s="54"/>
      <c r="H404" s="51"/>
      <c r="I404" s="2"/>
      <c r="J404" s="54"/>
      <c r="K404" s="52"/>
      <c r="L404" s="55"/>
      <c r="T404" s="4" t="str">
        <f t="shared" si="27"/>
        <v/>
      </c>
      <c r="U404" s="4" t="str">
        <f t="shared" si="26"/>
        <v/>
      </c>
    </row>
    <row r="405" spans="1:21" x14ac:dyDescent="0.25">
      <c r="A405" s="50"/>
      <c r="B405" s="51"/>
      <c r="C405" s="2"/>
      <c r="D405" s="54"/>
      <c r="E405" s="51"/>
      <c r="F405" s="2"/>
      <c r="G405" s="54"/>
      <c r="H405" s="51"/>
      <c r="I405" s="2"/>
      <c r="J405" s="54"/>
      <c r="K405" s="52"/>
      <c r="L405" s="55"/>
      <c r="T405" s="4" t="str">
        <f t="shared" si="27"/>
        <v/>
      </c>
      <c r="U405" s="4" t="str">
        <f t="shared" si="26"/>
        <v/>
      </c>
    </row>
    <row r="406" spans="1:21" x14ac:dyDescent="0.25">
      <c r="A406" s="50"/>
      <c r="B406" s="51"/>
      <c r="C406" s="2"/>
      <c r="D406" s="54"/>
      <c r="E406" s="51"/>
      <c r="F406" s="2"/>
      <c r="G406" s="54"/>
      <c r="H406" s="51"/>
      <c r="I406" s="2"/>
      <c r="J406" s="54"/>
      <c r="K406" s="52"/>
      <c r="L406" s="55"/>
      <c r="T406" s="4" t="str">
        <f t="shared" si="27"/>
        <v/>
      </c>
      <c r="U406" s="4" t="str">
        <f t="shared" si="26"/>
        <v/>
      </c>
    </row>
    <row r="407" spans="1:21" x14ac:dyDescent="0.25">
      <c r="A407" s="50"/>
      <c r="B407" s="51"/>
      <c r="C407" s="2"/>
      <c r="D407" s="54"/>
      <c r="E407" s="51"/>
      <c r="F407" s="2"/>
      <c r="G407" s="54"/>
      <c r="H407" s="51"/>
      <c r="I407" s="2"/>
      <c r="J407" s="54"/>
      <c r="K407" s="52"/>
      <c r="L407" s="55"/>
      <c r="T407" s="4" t="str">
        <f t="shared" si="27"/>
        <v/>
      </c>
      <c r="U407" s="4" t="str">
        <f t="shared" si="26"/>
        <v/>
      </c>
    </row>
    <row r="408" spans="1:21" x14ac:dyDescent="0.25">
      <c r="A408" s="50"/>
      <c r="B408" s="51"/>
      <c r="C408" s="2"/>
      <c r="D408" s="54"/>
      <c r="E408" s="51"/>
      <c r="F408" s="2"/>
      <c r="G408" s="54"/>
      <c r="H408" s="51"/>
      <c r="I408" s="2"/>
      <c r="J408" s="54"/>
      <c r="K408" s="52"/>
      <c r="L408" s="55"/>
      <c r="T408" s="4" t="str">
        <f t="shared" si="27"/>
        <v/>
      </c>
      <c r="U408" s="4" t="str">
        <f t="shared" si="26"/>
        <v/>
      </c>
    </row>
    <row r="409" spans="1:21" x14ac:dyDescent="0.25">
      <c r="A409" s="50"/>
      <c r="B409" s="51"/>
      <c r="C409" s="2"/>
      <c r="D409" s="54"/>
      <c r="E409" s="51"/>
      <c r="F409" s="2"/>
      <c r="G409" s="54"/>
      <c r="H409" s="51"/>
      <c r="I409" s="2"/>
      <c r="J409" s="54"/>
      <c r="K409" s="52"/>
      <c r="L409" s="55"/>
      <c r="T409" s="4" t="str">
        <f t="shared" si="27"/>
        <v/>
      </c>
      <c r="U409" s="4" t="str">
        <f t="shared" si="26"/>
        <v/>
      </c>
    </row>
    <row r="410" spans="1:21" x14ac:dyDescent="0.25">
      <c r="A410" s="50"/>
      <c r="B410" s="51"/>
      <c r="C410" s="2"/>
      <c r="D410" s="54"/>
      <c r="E410" s="51"/>
      <c r="F410" s="2"/>
      <c r="G410" s="54"/>
      <c r="H410" s="51"/>
      <c r="I410" s="2"/>
      <c r="J410" s="54"/>
      <c r="K410" s="52"/>
      <c r="L410" s="55"/>
      <c r="T410" s="4" t="str">
        <f t="shared" si="27"/>
        <v/>
      </c>
      <c r="U410" s="4" t="str">
        <f t="shared" si="26"/>
        <v/>
      </c>
    </row>
    <row r="411" spans="1:21" x14ac:dyDescent="0.25">
      <c r="A411" s="50"/>
      <c r="B411" s="51"/>
      <c r="C411" s="2"/>
      <c r="D411" s="54"/>
      <c r="E411" s="51"/>
      <c r="F411" s="2"/>
      <c r="G411" s="54"/>
      <c r="H411" s="51"/>
      <c r="I411" s="2"/>
      <c r="J411" s="54"/>
      <c r="K411" s="52"/>
      <c r="L411" s="55"/>
      <c r="T411" s="4" t="str">
        <f t="shared" si="27"/>
        <v/>
      </c>
      <c r="U411" s="4" t="str">
        <f t="shared" si="26"/>
        <v/>
      </c>
    </row>
    <row r="412" spans="1:21" x14ac:dyDescent="0.25">
      <c r="A412" s="50"/>
      <c r="B412" s="51"/>
      <c r="C412" s="2"/>
      <c r="D412" s="54"/>
      <c r="E412" s="51"/>
      <c r="F412" s="2"/>
      <c r="G412" s="54"/>
      <c r="H412" s="51"/>
      <c r="I412" s="2"/>
      <c r="J412" s="54"/>
      <c r="K412" s="52"/>
      <c r="L412" s="55"/>
      <c r="T412" s="4" t="str">
        <f t="shared" si="27"/>
        <v/>
      </c>
      <c r="U412" s="4" t="str">
        <f t="shared" si="26"/>
        <v/>
      </c>
    </row>
    <row r="413" spans="1:21" x14ac:dyDescent="0.25">
      <c r="A413" s="50"/>
      <c r="B413" s="51"/>
      <c r="C413" s="2"/>
      <c r="D413" s="54"/>
      <c r="E413" s="51"/>
      <c r="F413" s="2"/>
      <c r="G413" s="54"/>
      <c r="H413" s="51"/>
      <c r="I413" s="2"/>
      <c r="J413" s="54"/>
      <c r="K413" s="52"/>
      <c r="L413" s="55"/>
      <c r="T413" s="4" t="str">
        <f t="shared" si="27"/>
        <v/>
      </c>
      <c r="U413" s="4" t="str">
        <f t="shared" si="26"/>
        <v/>
      </c>
    </row>
    <row r="414" spans="1:21" x14ac:dyDescent="0.25">
      <c r="A414" s="50"/>
      <c r="B414" s="51"/>
      <c r="C414" s="2"/>
      <c r="D414" s="54"/>
      <c r="E414" s="51"/>
      <c r="F414" s="2"/>
      <c r="G414" s="54"/>
      <c r="H414" s="51"/>
      <c r="I414" s="2"/>
      <c r="J414" s="54"/>
      <c r="K414" s="52"/>
      <c r="L414" s="55"/>
      <c r="T414" s="4" t="str">
        <f t="shared" si="27"/>
        <v/>
      </c>
      <c r="U414" s="4" t="str">
        <f t="shared" si="26"/>
        <v/>
      </c>
    </row>
    <row r="415" spans="1:21" x14ac:dyDescent="0.25">
      <c r="A415" s="50"/>
      <c r="B415" s="51"/>
      <c r="C415" s="2"/>
      <c r="D415" s="54"/>
      <c r="E415" s="51"/>
      <c r="F415" s="2"/>
      <c r="G415" s="54"/>
      <c r="H415" s="51"/>
      <c r="I415" s="2"/>
      <c r="J415" s="54"/>
      <c r="K415" s="52"/>
      <c r="L415" s="55"/>
      <c r="T415" s="4" t="str">
        <f t="shared" si="27"/>
        <v/>
      </c>
      <c r="U415" s="4" t="str">
        <f t="shared" si="26"/>
        <v/>
      </c>
    </row>
    <row r="416" spans="1:21" x14ac:dyDescent="0.25">
      <c r="A416" s="50"/>
      <c r="B416" s="51"/>
      <c r="C416" s="2"/>
      <c r="D416" s="54"/>
      <c r="E416" s="51"/>
      <c r="F416" s="2"/>
      <c r="G416" s="54"/>
      <c r="H416" s="51"/>
      <c r="I416" s="2"/>
      <c r="J416" s="54"/>
      <c r="K416" s="52"/>
      <c r="L416" s="55"/>
      <c r="T416" s="4" t="str">
        <f t="shared" si="27"/>
        <v/>
      </c>
      <c r="U416" s="4" t="str">
        <f t="shared" si="26"/>
        <v/>
      </c>
    </row>
    <row r="417" spans="1:21" x14ac:dyDescent="0.25">
      <c r="A417" s="50"/>
      <c r="B417" s="51"/>
      <c r="C417" s="2"/>
      <c r="D417" s="54"/>
      <c r="E417" s="51"/>
      <c r="F417" s="2"/>
      <c r="G417" s="54"/>
      <c r="H417" s="51"/>
      <c r="I417" s="2"/>
      <c r="J417" s="54"/>
      <c r="K417" s="52"/>
      <c r="L417" s="55"/>
      <c r="T417" s="4" t="str">
        <f t="shared" si="27"/>
        <v/>
      </c>
      <c r="U417" s="4" t="str">
        <f t="shared" si="26"/>
        <v/>
      </c>
    </row>
    <row r="418" spans="1:21" x14ac:dyDescent="0.25">
      <c r="A418" s="50"/>
      <c r="B418" s="51"/>
      <c r="C418" s="2"/>
      <c r="D418" s="54"/>
      <c r="E418" s="51"/>
      <c r="F418" s="2"/>
      <c r="G418" s="54"/>
      <c r="H418" s="51"/>
      <c r="I418" s="2"/>
      <c r="J418" s="54"/>
      <c r="K418" s="52"/>
      <c r="L418" s="55"/>
      <c r="T418" s="4" t="str">
        <f t="shared" si="27"/>
        <v/>
      </c>
      <c r="U418" s="4" t="str">
        <f t="shared" si="26"/>
        <v/>
      </c>
    </row>
    <row r="419" spans="1:21" x14ac:dyDescent="0.25">
      <c r="A419" s="50"/>
      <c r="B419" s="51"/>
      <c r="C419" s="2"/>
      <c r="D419" s="54"/>
      <c r="E419" s="51"/>
      <c r="F419" s="2"/>
      <c r="G419" s="54"/>
      <c r="H419" s="51"/>
      <c r="I419" s="2"/>
      <c r="J419" s="54"/>
      <c r="K419" s="52"/>
      <c r="L419" s="55"/>
      <c r="T419" s="4" t="str">
        <f t="shared" si="27"/>
        <v/>
      </c>
      <c r="U419" s="4" t="str">
        <f t="shared" si="26"/>
        <v/>
      </c>
    </row>
    <row r="420" spans="1:21" x14ac:dyDescent="0.25">
      <c r="A420" s="50"/>
      <c r="B420" s="51"/>
      <c r="C420" s="2"/>
      <c r="D420" s="54"/>
      <c r="E420" s="51"/>
      <c r="F420" s="2"/>
      <c r="G420" s="54"/>
      <c r="H420" s="51"/>
      <c r="I420" s="2"/>
      <c r="J420" s="54"/>
      <c r="K420" s="52"/>
      <c r="L420" s="55"/>
      <c r="T420" s="4" t="str">
        <f t="shared" si="27"/>
        <v/>
      </c>
      <c r="U420" s="4" t="str">
        <f t="shared" si="26"/>
        <v/>
      </c>
    </row>
    <row r="421" spans="1:21" x14ac:dyDescent="0.25">
      <c r="A421" s="50"/>
      <c r="B421" s="51"/>
      <c r="C421" s="2"/>
      <c r="D421" s="54"/>
      <c r="E421" s="51"/>
      <c r="F421" s="2"/>
      <c r="G421" s="54"/>
      <c r="H421" s="51"/>
      <c r="I421" s="2"/>
      <c r="J421" s="54"/>
      <c r="K421" s="52"/>
      <c r="L421" s="55"/>
      <c r="T421" s="4" t="str">
        <f t="shared" si="27"/>
        <v/>
      </c>
      <c r="U421" s="4" t="str">
        <f t="shared" si="26"/>
        <v/>
      </c>
    </row>
    <row r="422" spans="1:21" x14ac:dyDescent="0.25">
      <c r="A422" s="50"/>
      <c r="B422" s="51"/>
      <c r="C422" s="2"/>
      <c r="D422" s="54"/>
      <c r="E422" s="51"/>
      <c r="F422" s="2"/>
      <c r="G422" s="54"/>
      <c r="H422" s="51"/>
      <c r="I422" s="2"/>
      <c r="J422" s="54"/>
      <c r="K422" s="52"/>
      <c r="L422" s="55"/>
      <c r="T422" s="4" t="str">
        <f t="shared" si="27"/>
        <v/>
      </c>
      <c r="U422" s="4" t="str">
        <f t="shared" si="26"/>
        <v/>
      </c>
    </row>
    <row r="423" spans="1:21" x14ac:dyDescent="0.25">
      <c r="A423" s="50"/>
      <c r="B423" s="51"/>
      <c r="C423" s="2"/>
      <c r="D423" s="54"/>
      <c r="E423" s="51"/>
      <c r="F423" s="2"/>
      <c r="G423" s="54"/>
      <c r="H423" s="51"/>
      <c r="I423" s="2"/>
      <c r="J423" s="54"/>
      <c r="K423" s="52"/>
      <c r="L423" s="55"/>
      <c r="T423" s="4" t="str">
        <f t="shared" si="27"/>
        <v/>
      </c>
      <c r="U423" s="4" t="str">
        <f t="shared" si="26"/>
        <v/>
      </c>
    </row>
    <row r="424" spans="1:21" x14ac:dyDescent="0.25">
      <c r="A424" s="50"/>
      <c r="B424" s="51"/>
      <c r="C424" s="2"/>
      <c r="D424" s="54"/>
      <c r="E424" s="51"/>
      <c r="F424" s="2"/>
      <c r="G424" s="54"/>
      <c r="H424" s="51"/>
      <c r="I424" s="2"/>
      <c r="J424" s="54"/>
      <c r="K424" s="52"/>
      <c r="L424" s="55"/>
      <c r="T424" s="4" t="str">
        <f t="shared" si="27"/>
        <v/>
      </c>
      <c r="U424" s="4" t="str">
        <f t="shared" si="26"/>
        <v/>
      </c>
    </row>
    <row r="425" spans="1:21" x14ac:dyDescent="0.25">
      <c r="A425" s="50"/>
      <c r="B425" s="51"/>
      <c r="C425" s="2"/>
      <c r="D425" s="54"/>
      <c r="E425" s="51"/>
      <c r="F425" s="2"/>
      <c r="G425" s="54"/>
      <c r="H425" s="51"/>
      <c r="I425" s="2"/>
      <c r="J425" s="54"/>
      <c r="K425" s="52"/>
      <c r="L425" s="55"/>
      <c r="T425" s="4" t="str">
        <f t="shared" si="27"/>
        <v/>
      </c>
      <c r="U425" s="4" t="str">
        <f t="shared" si="26"/>
        <v/>
      </c>
    </row>
    <row r="426" spans="1:21" x14ac:dyDescent="0.25">
      <c r="A426" s="50"/>
      <c r="B426" s="51"/>
      <c r="C426" s="2"/>
      <c r="D426" s="54"/>
      <c r="E426" s="51"/>
      <c r="F426" s="2"/>
      <c r="G426" s="54"/>
      <c r="H426" s="51"/>
      <c r="I426" s="2"/>
      <c r="J426" s="54"/>
      <c r="K426" s="52"/>
      <c r="L426" s="55"/>
      <c r="T426" s="4" t="str">
        <f t="shared" si="27"/>
        <v/>
      </c>
      <c r="U426" s="4" t="str">
        <f t="shared" si="26"/>
        <v/>
      </c>
    </row>
    <row r="427" spans="1:21" x14ac:dyDescent="0.25">
      <c r="A427" s="50"/>
      <c r="B427" s="51"/>
      <c r="C427" s="2"/>
      <c r="D427" s="54"/>
      <c r="E427" s="51"/>
      <c r="F427" s="2"/>
      <c r="G427" s="54"/>
      <c r="H427" s="51"/>
      <c r="I427" s="2"/>
      <c r="J427" s="54"/>
      <c r="K427" s="52"/>
      <c r="L427" s="55"/>
      <c r="T427" s="4" t="str">
        <f t="shared" si="27"/>
        <v/>
      </c>
      <c r="U427" s="4" t="str">
        <f t="shared" si="26"/>
        <v/>
      </c>
    </row>
    <row r="428" spans="1:21" x14ac:dyDescent="0.25">
      <c r="A428" s="50"/>
      <c r="B428" s="51"/>
      <c r="C428" s="2"/>
      <c r="D428" s="54"/>
      <c r="E428" s="51"/>
      <c r="F428" s="2"/>
      <c r="G428" s="54"/>
      <c r="H428" s="51"/>
      <c r="I428" s="2"/>
      <c r="J428" s="54"/>
      <c r="K428" s="52"/>
      <c r="L428" s="55"/>
      <c r="T428" s="4" t="str">
        <f t="shared" si="27"/>
        <v/>
      </c>
      <c r="U428" s="4" t="str">
        <f t="shared" si="26"/>
        <v/>
      </c>
    </row>
    <row r="429" spans="1:21" x14ac:dyDescent="0.25">
      <c r="A429" s="50"/>
      <c r="B429" s="51"/>
      <c r="C429" s="2"/>
      <c r="D429" s="54"/>
      <c r="E429" s="51"/>
      <c r="F429" s="2"/>
      <c r="G429" s="54"/>
      <c r="H429" s="51"/>
      <c r="I429" s="2"/>
      <c r="J429" s="54"/>
      <c r="K429" s="52"/>
      <c r="L429" s="55"/>
      <c r="T429" s="4" t="str">
        <f t="shared" si="27"/>
        <v/>
      </c>
      <c r="U429" s="4" t="str">
        <f t="shared" si="26"/>
        <v/>
      </c>
    </row>
    <row r="430" spans="1:21" x14ac:dyDescent="0.25">
      <c r="A430" s="50"/>
      <c r="B430" s="51"/>
      <c r="C430" s="2"/>
      <c r="D430" s="54"/>
      <c r="E430" s="51"/>
      <c r="F430" s="2"/>
      <c r="G430" s="54"/>
      <c r="H430" s="51"/>
      <c r="I430" s="2"/>
      <c r="J430" s="54"/>
      <c r="K430" s="52"/>
      <c r="L430" s="55"/>
      <c r="T430" s="4" t="str">
        <f t="shared" si="27"/>
        <v/>
      </c>
      <c r="U430" s="4" t="str">
        <f t="shared" si="26"/>
        <v/>
      </c>
    </row>
    <row r="431" spans="1:21" x14ac:dyDescent="0.25">
      <c r="A431" s="50"/>
      <c r="B431" s="51"/>
      <c r="C431" s="2"/>
      <c r="D431" s="54"/>
      <c r="E431" s="51"/>
      <c r="F431" s="2"/>
      <c r="G431" s="54"/>
      <c r="H431" s="51"/>
      <c r="I431" s="2"/>
      <c r="J431" s="54"/>
      <c r="K431" s="52"/>
      <c r="L431" s="55"/>
      <c r="T431" s="4" t="str">
        <f t="shared" si="27"/>
        <v/>
      </c>
      <c r="U431" s="4" t="str">
        <f t="shared" si="26"/>
        <v/>
      </c>
    </row>
    <row r="432" spans="1:21" x14ac:dyDescent="0.25">
      <c r="A432" s="50"/>
      <c r="B432" s="51"/>
      <c r="C432" s="2"/>
      <c r="D432" s="54"/>
      <c r="E432" s="51"/>
      <c r="F432" s="2"/>
      <c r="G432" s="54"/>
      <c r="H432" s="51"/>
      <c r="I432" s="2"/>
      <c r="J432" s="54"/>
      <c r="K432" s="52"/>
      <c r="L432" s="55"/>
      <c r="T432" s="4" t="str">
        <f t="shared" si="27"/>
        <v/>
      </c>
      <c r="U432" s="4" t="str">
        <f t="shared" si="26"/>
        <v/>
      </c>
    </row>
    <row r="433" spans="1:21" x14ac:dyDescent="0.25">
      <c r="A433" s="50"/>
      <c r="B433" s="51"/>
      <c r="C433" s="2"/>
      <c r="D433" s="54"/>
      <c r="E433" s="51"/>
      <c r="F433" s="2"/>
      <c r="G433" s="54"/>
      <c r="H433" s="51"/>
      <c r="I433" s="2"/>
      <c r="J433" s="54"/>
      <c r="K433" s="52"/>
      <c r="L433" s="55"/>
      <c r="T433" s="4" t="str">
        <f t="shared" si="27"/>
        <v/>
      </c>
      <c r="U433" s="4" t="str">
        <f t="shared" si="26"/>
        <v/>
      </c>
    </row>
    <row r="434" spans="1:21" x14ac:dyDescent="0.25">
      <c r="A434" s="50"/>
      <c r="B434" s="51"/>
      <c r="C434" s="2"/>
      <c r="D434" s="54"/>
      <c r="E434" s="51"/>
      <c r="F434" s="2"/>
      <c r="G434" s="54"/>
      <c r="H434" s="51"/>
      <c r="I434" s="2"/>
      <c r="J434" s="54"/>
      <c r="K434" s="52"/>
      <c r="L434" s="55"/>
      <c r="T434" s="4" t="str">
        <f t="shared" si="27"/>
        <v/>
      </c>
      <c r="U434" s="4" t="str">
        <f t="shared" si="26"/>
        <v/>
      </c>
    </row>
    <row r="435" spans="1:21" x14ac:dyDescent="0.25">
      <c r="A435" s="50"/>
      <c r="B435" s="51"/>
      <c r="C435" s="2"/>
      <c r="D435" s="54"/>
      <c r="E435" s="51"/>
      <c r="F435" s="2"/>
      <c r="G435" s="54"/>
      <c r="H435" s="51"/>
      <c r="I435" s="2"/>
      <c r="J435" s="54"/>
      <c r="K435" s="52"/>
      <c r="L435" s="55"/>
      <c r="T435" s="4" t="str">
        <f t="shared" si="27"/>
        <v/>
      </c>
      <c r="U435" s="4" t="str">
        <f t="shared" si="26"/>
        <v/>
      </c>
    </row>
    <row r="436" spans="1:21" x14ac:dyDescent="0.25">
      <c r="A436" s="50"/>
      <c r="B436" s="51"/>
      <c r="C436" s="2"/>
      <c r="D436" s="54"/>
      <c r="E436" s="51"/>
      <c r="F436" s="2"/>
      <c r="G436" s="54"/>
      <c r="H436" s="51"/>
      <c r="I436" s="2"/>
      <c r="J436" s="54"/>
      <c r="K436" s="52"/>
      <c r="L436" s="55"/>
      <c r="T436" s="4" t="str">
        <f t="shared" si="27"/>
        <v/>
      </c>
      <c r="U436" s="4" t="str">
        <f t="shared" si="26"/>
        <v/>
      </c>
    </row>
    <row r="437" spans="1:21" x14ac:dyDescent="0.25">
      <c r="A437" s="50"/>
      <c r="B437" s="51"/>
      <c r="C437" s="2"/>
      <c r="D437" s="54"/>
      <c r="E437" s="51"/>
      <c r="F437" s="2"/>
      <c r="G437" s="54"/>
      <c r="H437" s="51"/>
      <c r="I437" s="2"/>
      <c r="J437" s="54"/>
      <c r="K437" s="52"/>
      <c r="L437" s="55"/>
      <c r="T437" s="4" t="str">
        <f t="shared" si="27"/>
        <v/>
      </c>
      <c r="U437" s="4" t="str">
        <f t="shared" si="26"/>
        <v/>
      </c>
    </row>
    <row r="438" spans="1:21" x14ac:dyDescent="0.25">
      <c r="A438" s="50"/>
      <c r="B438" s="51"/>
      <c r="C438" s="2"/>
      <c r="D438" s="54"/>
      <c r="E438" s="51"/>
      <c r="F438" s="2"/>
      <c r="G438" s="54"/>
      <c r="H438" s="51"/>
      <c r="I438" s="2"/>
      <c r="J438" s="54"/>
      <c r="K438" s="52"/>
      <c r="L438" s="55"/>
      <c r="T438" s="4" t="str">
        <f t="shared" si="27"/>
        <v/>
      </c>
      <c r="U438" s="4" t="str">
        <f t="shared" si="26"/>
        <v/>
      </c>
    </row>
    <row r="439" spans="1:21" x14ac:dyDescent="0.25">
      <c r="A439" s="50"/>
      <c r="B439" s="51"/>
      <c r="C439" s="2"/>
      <c r="D439" s="54"/>
      <c r="E439" s="51"/>
      <c r="F439" s="2"/>
      <c r="G439" s="54"/>
      <c r="H439" s="51"/>
      <c r="I439" s="2"/>
      <c r="J439" s="54"/>
      <c r="K439" s="52"/>
      <c r="L439" s="55"/>
      <c r="T439" s="4" t="str">
        <f t="shared" si="27"/>
        <v/>
      </c>
      <c r="U439" s="4" t="str">
        <f t="shared" si="26"/>
        <v/>
      </c>
    </row>
    <row r="440" spans="1:21" x14ac:dyDescent="0.25">
      <c r="A440" s="50"/>
      <c r="B440" s="51"/>
      <c r="C440" s="2"/>
      <c r="D440" s="54"/>
      <c r="E440" s="51"/>
      <c r="F440" s="2"/>
      <c r="G440" s="54"/>
      <c r="H440" s="51"/>
      <c r="I440" s="2"/>
      <c r="J440" s="54"/>
      <c r="K440" s="52"/>
      <c r="L440" s="55"/>
      <c r="T440" s="4" t="str">
        <f t="shared" si="27"/>
        <v/>
      </c>
      <c r="U440" s="4" t="str">
        <f t="shared" si="26"/>
        <v/>
      </c>
    </row>
    <row r="441" spans="1:21" x14ac:dyDescent="0.25">
      <c r="A441" s="50"/>
      <c r="B441" s="51"/>
      <c r="C441" s="2"/>
      <c r="D441" s="54"/>
      <c r="E441" s="51"/>
      <c r="F441" s="2"/>
      <c r="G441" s="54"/>
      <c r="H441" s="51"/>
      <c r="I441" s="2"/>
      <c r="J441" s="54"/>
      <c r="K441" s="52"/>
      <c r="L441" s="55"/>
      <c r="T441" s="4" t="str">
        <f t="shared" si="27"/>
        <v/>
      </c>
      <c r="U441" s="4" t="str">
        <f t="shared" si="26"/>
        <v/>
      </c>
    </row>
    <row r="442" spans="1:21" x14ac:dyDescent="0.25">
      <c r="A442" s="50"/>
      <c r="B442" s="51"/>
      <c r="C442" s="2"/>
      <c r="D442" s="54"/>
      <c r="E442" s="51"/>
      <c r="F442" s="2"/>
      <c r="G442" s="54"/>
      <c r="H442" s="51"/>
      <c r="I442" s="2"/>
      <c r="J442" s="54"/>
      <c r="K442" s="52"/>
      <c r="L442" s="55"/>
      <c r="T442" s="4" t="str">
        <f t="shared" si="27"/>
        <v/>
      </c>
      <c r="U442" s="4" t="str">
        <f t="shared" si="26"/>
        <v/>
      </c>
    </row>
    <row r="443" spans="1:21" x14ac:dyDescent="0.25">
      <c r="A443" s="50"/>
      <c r="B443" s="51"/>
      <c r="C443" s="2"/>
      <c r="D443" s="54"/>
      <c r="E443" s="51"/>
      <c r="F443" s="2"/>
      <c r="G443" s="54"/>
      <c r="H443" s="51"/>
      <c r="I443" s="2"/>
      <c r="J443" s="54"/>
      <c r="K443" s="52"/>
      <c r="L443" s="55"/>
      <c r="T443" s="4" t="str">
        <f t="shared" si="27"/>
        <v/>
      </c>
      <c r="U443" s="4" t="str">
        <f t="shared" si="26"/>
        <v/>
      </c>
    </row>
    <row r="444" spans="1:21" x14ac:dyDescent="0.25">
      <c r="A444" s="50"/>
      <c r="B444" s="51"/>
      <c r="C444" s="2"/>
      <c r="D444" s="54"/>
      <c r="E444" s="51"/>
      <c r="F444" s="2"/>
      <c r="G444" s="54"/>
      <c r="H444" s="51"/>
      <c r="I444" s="2"/>
      <c r="J444" s="54"/>
      <c r="K444" s="52"/>
      <c r="L444" s="55"/>
      <c r="T444" s="4" t="str">
        <f t="shared" si="27"/>
        <v/>
      </c>
      <c r="U444" s="4" t="str">
        <f t="shared" si="26"/>
        <v/>
      </c>
    </row>
    <row r="445" spans="1:21" x14ac:dyDescent="0.25">
      <c r="A445" s="50"/>
      <c r="B445" s="51"/>
      <c r="C445" s="2"/>
      <c r="D445" s="54"/>
      <c r="E445" s="51"/>
      <c r="F445" s="2"/>
      <c r="G445" s="54"/>
      <c r="H445" s="51"/>
      <c r="I445" s="2"/>
      <c r="J445" s="54"/>
      <c r="K445" s="52"/>
      <c r="L445" s="55"/>
      <c r="T445" s="4" t="str">
        <f t="shared" si="27"/>
        <v/>
      </c>
      <c r="U445" s="4" t="str">
        <f t="shared" si="26"/>
        <v/>
      </c>
    </row>
    <row r="446" spans="1:21" x14ac:dyDescent="0.25">
      <c r="A446" s="50"/>
      <c r="B446" s="51"/>
      <c r="C446" s="2"/>
      <c r="D446" s="54"/>
      <c r="E446" s="51"/>
      <c r="F446" s="2"/>
      <c r="G446" s="54"/>
      <c r="H446" s="51"/>
      <c r="I446" s="2"/>
      <c r="J446" s="54"/>
      <c r="K446" s="52"/>
      <c r="L446" s="55"/>
      <c r="T446" s="4" t="str">
        <f t="shared" si="27"/>
        <v/>
      </c>
      <c r="U446" s="4" t="str">
        <f t="shared" si="26"/>
        <v/>
      </c>
    </row>
    <row r="447" spans="1:21" x14ac:dyDescent="0.25">
      <c r="A447" s="50"/>
      <c r="B447" s="51"/>
      <c r="C447" s="2"/>
      <c r="D447" s="54"/>
      <c r="E447" s="51"/>
      <c r="F447" s="2"/>
      <c r="G447" s="54"/>
      <c r="H447" s="51"/>
      <c r="I447" s="2"/>
      <c r="J447" s="54"/>
      <c r="K447" s="52"/>
      <c r="L447" s="55"/>
      <c r="T447" s="4" t="str">
        <f t="shared" si="27"/>
        <v/>
      </c>
      <c r="U447" s="4" t="str">
        <f t="shared" si="26"/>
        <v/>
      </c>
    </row>
    <row r="448" spans="1:21" x14ac:dyDescent="0.25">
      <c r="A448" s="50"/>
      <c r="B448" s="51"/>
      <c r="C448" s="2"/>
      <c r="D448" s="54"/>
      <c r="E448" s="51"/>
      <c r="F448" s="2"/>
      <c r="G448" s="54"/>
      <c r="H448" s="51"/>
      <c r="I448" s="2"/>
      <c r="J448" s="54"/>
      <c r="K448" s="52"/>
      <c r="L448" s="55"/>
      <c r="T448" s="4" t="str">
        <f t="shared" si="27"/>
        <v/>
      </c>
      <c r="U448" s="4" t="str">
        <f t="shared" si="26"/>
        <v/>
      </c>
    </row>
    <row r="449" spans="1:21" x14ac:dyDescent="0.25">
      <c r="A449" s="50"/>
      <c r="B449" s="51"/>
      <c r="C449" s="2"/>
      <c r="D449" s="54"/>
      <c r="E449" s="51"/>
      <c r="F449" s="2"/>
      <c r="G449" s="54"/>
      <c r="H449" s="51"/>
      <c r="I449" s="2"/>
      <c r="J449" s="54"/>
      <c r="K449" s="52"/>
      <c r="L449" s="55"/>
      <c r="T449" s="4" t="str">
        <f t="shared" si="27"/>
        <v/>
      </c>
      <c r="U449" s="4" t="str">
        <f t="shared" si="26"/>
        <v/>
      </c>
    </row>
    <row r="450" spans="1:21" x14ac:dyDescent="0.25">
      <c r="A450" s="50"/>
      <c r="B450" s="51"/>
      <c r="C450" s="2"/>
      <c r="D450" s="54"/>
      <c r="E450" s="51"/>
      <c r="F450" s="2"/>
      <c r="G450" s="54"/>
      <c r="H450" s="51"/>
      <c r="I450" s="2"/>
      <c r="J450" s="54"/>
      <c r="K450" s="52"/>
      <c r="L450" s="55"/>
      <c r="T450" s="4" t="str">
        <f t="shared" si="27"/>
        <v/>
      </c>
      <c r="U450" s="4" t="str">
        <f t="shared" si="26"/>
        <v/>
      </c>
    </row>
    <row r="451" spans="1:21" x14ac:dyDescent="0.25">
      <c r="A451" s="50"/>
      <c r="B451" s="51"/>
      <c r="C451" s="2"/>
      <c r="D451" s="54"/>
      <c r="E451" s="51"/>
      <c r="F451" s="2"/>
      <c r="G451" s="54"/>
      <c r="H451" s="51"/>
      <c r="I451" s="2"/>
      <c r="J451" s="54"/>
      <c r="K451" s="52"/>
      <c r="L451" s="55"/>
      <c r="T451" s="4" t="str">
        <f t="shared" si="27"/>
        <v/>
      </c>
      <c r="U451" s="4" t="str">
        <f t="shared" ref="U451:U514" si="28">IF(T451&gt;$A$14,T451,"")</f>
        <v/>
      </c>
    </row>
    <row r="452" spans="1:21" x14ac:dyDescent="0.25">
      <c r="A452" s="50"/>
      <c r="B452" s="51"/>
      <c r="C452" s="2"/>
      <c r="D452" s="54"/>
      <c r="E452" s="51"/>
      <c r="F452" s="2"/>
      <c r="G452" s="54"/>
      <c r="H452" s="51"/>
      <c r="I452" s="2"/>
      <c r="J452" s="54"/>
      <c r="K452" s="52"/>
      <c r="L452" s="55"/>
      <c r="T452" s="4" t="str">
        <f t="shared" ref="T452:T515" si="29">IF(COUNTIF(P:P,N452)*COUNTIF(R:R,N452),N452,"")</f>
        <v/>
      </c>
      <c r="U452" s="4" t="str">
        <f t="shared" si="28"/>
        <v/>
      </c>
    </row>
    <row r="453" spans="1:21" x14ac:dyDescent="0.25">
      <c r="A453" s="50"/>
      <c r="B453" s="51"/>
      <c r="C453" s="2"/>
      <c r="D453" s="54"/>
      <c r="E453" s="51"/>
      <c r="F453" s="2"/>
      <c r="G453" s="54"/>
      <c r="H453" s="51"/>
      <c r="I453" s="2"/>
      <c r="J453" s="54"/>
      <c r="K453" s="52"/>
      <c r="L453" s="55"/>
      <c r="T453" s="4" t="str">
        <f t="shared" si="29"/>
        <v/>
      </c>
      <c r="U453" s="4" t="str">
        <f t="shared" si="28"/>
        <v/>
      </c>
    </row>
    <row r="454" spans="1:21" x14ac:dyDescent="0.25">
      <c r="A454" s="50"/>
      <c r="B454" s="51"/>
      <c r="C454" s="2"/>
      <c r="D454" s="54"/>
      <c r="E454" s="51"/>
      <c r="F454" s="2"/>
      <c r="G454" s="54"/>
      <c r="H454" s="51"/>
      <c r="I454" s="2"/>
      <c r="J454" s="54"/>
      <c r="K454" s="52"/>
      <c r="L454" s="55"/>
      <c r="T454" s="4" t="str">
        <f t="shared" si="29"/>
        <v/>
      </c>
      <c r="U454" s="4" t="str">
        <f t="shared" si="28"/>
        <v/>
      </c>
    </row>
    <row r="455" spans="1:21" x14ac:dyDescent="0.25">
      <c r="A455" s="50"/>
      <c r="B455" s="51"/>
      <c r="C455" s="2"/>
      <c r="D455" s="54"/>
      <c r="E455" s="51"/>
      <c r="F455" s="2"/>
      <c r="G455" s="54"/>
      <c r="H455" s="51"/>
      <c r="I455" s="2"/>
      <c r="J455" s="54"/>
      <c r="K455" s="52"/>
      <c r="L455" s="55"/>
      <c r="T455" s="4" t="str">
        <f t="shared" si="29"/>
        <v/>
      </c>
      <c r="U455" s="4" t="str">
        <f t="shared" si="28"/>
        <v/>
      </c>
    </row>
    <row r="456" spans="1:21" x14ac:dyDescent="0.25">
      <c r="A456" s="50"/>
      <c r="B456" s="51"/>
      <c r="C456" s="2"/>
      <c r="D456" s="54"/>
      <c r="E456" s="51"/>
      <c r="F456" s="2"/>
      <c r="G456" s="54"/>
      <c r="H456" s="51"/>
      <c r="I456" s="2"/>
      <c r="J456" s="54"/>
      <c r="K456" s="52"/>
      <c r="L456" s="55"/>
      <c r="T456" s="4" t="str">
        <f t="shared" si="29"/>
        <v/>
      </c>
      <c r="U456" s="4" t="str">
        <f t="shared" si="28"/>
        <v/>
      </c>
    </row>
    <row r="457" spans="1:21" x14ac:dyDescent="0.25">
      <c r="A457" s="50"/>
      <c r="B457" s="51"/>
      <c r="C457" s="2"/>
      <c r="D457" s="54"/>
      <c r="E457" s="51"/>
      <c r="F457" s="2"/>
      <c r="G457" s="54"/>
      <c r="H457" s="51"/>
      <c r="I457" s="2"/>
      <c r="J457" s="54"/>
      <c r="K457" s="52"/>
      <c r="L457" s="55"/>
      <c r="T457" s="4" t="str">
        <f t="shared" si="29"/>
        <v/>
      </c>
      <c r="U457" s="4" t="str">
        <f t="shared" si="28"/>
        <v/>
      </c>
    </row>
    <row r="458" spans="1:21" x14ac:dyDescent="0.25">
      <c r="A458" s="50"/>
      <c r="B458" s="51"/>
      <c r="C458" s="2"/>
      <c r="D458" s="54"/>
      <c r="E458" s="51"/>
      <c r="F458" s="2"/>
      <c r="G458" s="54"/>
      <c r="H458" s="51"/>
      <c r="I458" s="2"/>
      <c r="J458" s="54"/>
      <c r="K458" s="52"/>
      <c r="L458" s="55"/>
      <c r="T458" s="4" t="str">
        <f t="shared" si="29"/>
        <v/>
      </c>
      <c r="U458" s="4" t="str">
        <f t="shared" si="28"/>
        <v/>
      </c>
    </row>
    <row r="459" spans="1:21" x14ac:dyDescent="0.25">
      <c r="A459" s="50"/>
      <c r="B459" s="51"/>
      <c r="C459" s="2"/>
      <c r="D459" s="54"/>
      <c r="E459" s="51"/>
      <c r="F459" s="2"/>
      <c r="G459" s="54"/>
      <c r="H459" s="51"/>
      <c r="I459" s="2"/>
      <c r="J459" s="54"/>
      <c r="K459" s="52"/>
      <c r="L459" s="55"/>
      <c r="T459" s="4" t="str">
        <f t="shared" si="29"/>
        <v/>
      </c>
      <c r="U459" s="4" t="str">
        <f t="shared" si="28"/>
        <v/>
      </c>
    </row>
    <row r="460" spans="1:21" x14ac:dyDescent="0.25">
      <c r="A460" s="50"/>
      <c r="B460" s="51"/>
      <c r="C460" s="2"/>
      <c r="D460" s="54"/>
      <c r="E460" s="51"/>
      <c r="F460" s="2"/>
      <c r="G460" s="54"/>
      <c r="H460" s="51"/>
      <c r="I460" s="2"/>
      <c r="J460" s="54"/>
      <c r="K460" s="52"/>
      <c r="L460" s="55"/>
      <c r="T460" s="4" t="str">
        <f t="shared" si="29"/>
        <v/>
      </c>
      <c r="U460" s="4" t="str">
        <f t="shared" si="28"/>
        <v/>
      </c>
    </row>
    <row r="461" spans="1:21" x14ac:dyDescent="0.25">
      <c r="A461" s="50"/>
      <c r="B461" s="51"/>
      <c r="C461" s="2"/>
      <c r="D461" s="54"/>
      <c r="E461" s="51"/>
      <c r="F461" s="2"/>
      <c r="G461" s="54"/>
      <c r="H461" s="51"/>
      <c r="I461" s="2"/>
      <c r="J461" s="54"/>
      <c r="K461" s="52"/>
      <c r="L461" s="55"/>
      <c r="T461" s="4" t="str">
        <f t="shared" si="29"/>
        <v/>
      </c>
      <c r="U461" s="4" t="str">
        <f t="shared" si="28"/>
        <v/>
      </c>
    </row>
    <row r="462" spans="1:21" x14ac:dyDescent="0.25">
      <c r="A462" s="50"/>
      <c r="B462" s="51"/>
      <c r="C462" s="2"/>
      <c r="D462" s="54"/>
      <c r="E462" s="51"/>
      <c r="F462" s="2"/>
      <c r="G462" s="54"/>
      <c r="H462" s="51"/>
      <c r="I462" s="2"/>
      <c r="J462" s="54"/>
      <c r="K462" s="52"/>
      <c r="L462" s="55"/>
      <c r="T462" s="4" t="str">
        <f t="shared" si="29"/>
        <v/>
      </c>
      <c r="U462" s="4" t="str">
        <f t="shared" si="28"/>
        <v/>
      </c>
    </row>
    <row r="463" spans="1:21" x14ac:dyDescent="0.25">
      <c r="A463" s="50"/>
      <c r="B463" s="51"/>
      <c r="C463" s="2"/>
      <c r="D463" s="54"/>
      <c r="E463" s="51"/>
      <c r="F463" s="2"/>
      <c r="G463" s="54"/>
      <c r="H463" s="51"/>
      <c r="I463" s="2"/>
      <c r="J463" s="54"/>
      <c r="K463" s="52"/>
      <c r="L463" s="55"/>
      <c r="T463" s="4" t="str">
        <f t="shared" si="29"/>
        <v/>
      </c>
      <c r="U463" s="4" t="str">
        <f t="shared" si="28"/>
        <v/>
      </c>
    </row>
    <row r="464" spans="1:21" x14ac:dyDescent="0.25">
      <c r="A464" s="50"/>
      <c r="B464" s="51"/>
      <c r="C464" s="2"/>
      <c r="D464" s="54"/>
      <c r="E464" s="51"/>
      <c r="F464" s="2"/>
      <c r="G464" s="54"/>
      <c r="H464" s="51"/>
      <c r="I464" s="2"/>
      <c r="J464" s="54"/>
      <c r="K464" s="52"/>
      <c r="L464" s="55"/>
      <c r="T464" s="4" t="str">
        <f t="shared" si="29"/>
        <v/>
      </c>
      <c r="U464" s="4" t="str">
        <f t="shared" si="28"/>
        <v/>
      </c>
    </row>
    <row r="465" spans="1:21" x14ac:dyDescent="0.25">
      <c r="A465" s="50"/>
      <c r="B465" s="51"/>
      <c r="C465" s="2"/>
      <c r="D465" s="54"/>
      <c r="E465" s="51"/>
      <c r="F465" s="2"/>
      <c r="G465" s="54"/>
      <c r="H465" s="51"/>
      <c r="I465" s="2"/>
      <c r="J465" s="54"/>
      <c r="K465" s="52"/>
      <c r="L465" s="55"/>
      <c r="T465" s="4" t="str">
        <f t="shared" si="29"/>
        <v/>
      </c>
      <c r="U465" s="4" t="str">
        <f t="shared" si="28"/>
        <v/>
      </c>
    </row>
    <row r="466" spans="1:21" x14ac:dyDescent="0.25">
      <c r="A466" s="50"/>
      <c r="B466" s="51"/>
      <c r="C466" s="2"/>
      <c r="D466" s="54"/>
      <c r="E466" s="51"/>
      <c r="F466" s="2"/>
      <c r="G466" s="54"/>
      <c r="H466" s="51"/>
      <c r="I466" s="2"/>
      <c r="J466" s="54"/>
      <c r="K466" s="52"/>
      <c r="L466" s="55"/>
      <c r="T466" s="4" t="str">
        <f t="shared" si="29"/>
        <v/>
      </c>
      <c r="U466" s="4" t="str">
        <f t="shared" si="28"/>
        <v/>
      </c>
    </row>
    <row r="467" spans="1:21" x14ac:dyDescent="0.25">
      <c r="A467" s="50"/>
      <c r="B467" s="51"/>
      <c r="C467" s="2"/>
      <c r="D467" s="54"/>
      <c r="E467" s="51"/>
      <c r="F467" s="2"/>
      <c r="G467" s="54"/>
      <c r="H467" s="51"/>
      <c r="I467" s="2"/>
      <c r="J467" s="54"/>
      <c r="K467" s="52"/>
      <c r="L467" s="55"/>
      <c r="T467" s="4" t="str">
        <f t="shared" si="29"/>
        <v/>
      </c>
      <c r="U467" s="4" t="str">
        <f t="shared" si="28"/>
        <v/>
      </c>
    </row>
    <row r="468" spans="1:21" x14ac:dyDescent="0.25">
      <c r="A468" s="50"/>
      <c r="B468" s="51"/>
      <c r="C468" s="2"/>
      <c r="D468" s="54"/>
      <c r="E468" s="51"/>
      <c r="F468" s="2"/>
      <c r="G468" s="54"/>
      <c r="H468" s="51"/>
      <c r="I468" s="2"/>
      <c r="J468" s="54"/>
      <c r="K468" s="52"/>
      <c r="L468" s="55"/>
      <c r="T468" s="4" t="str">
        <f t="shared" si="29"/>
        <v/>
      </c>
      <c r="U468" s="4" t="str">
        <f t="shared" si="28"/>
        <v/>
      </c>
    </row>
    <row r="469" spans="1:21" x14ac:dyDescent="0.25">
      <c r="A469" s="50"/>
      <c r="B469" s="51"/>
      <c r="C469" s="2"/>
      <c r="D469" s="54"/>
      <c r="E469" s="51"/>
      <c r="F469" s="2"/>
      <c r="G469" s="54"/>
      <c r="H469" s="51"/>
      <c r="I469" s="2"/>
      <c r="J469" s="54"/>
      <c r="K469" s="52"/>
      <c r="L469" s="55"/>
      <c r="T469" s="4" t="str">
        <f t="shared" si="29"/>
        <v/>
      </c>
      <c r="U469" s="4" t="str">
        <f t="shared" si="28"/>
        <v/>
      </c>
    </row>
    <row r="470" spans="1:21" x14ac:dyDescent="0.25">
      <c r="A470" s="50"/>
      <c r="B470" s="51"/>
      <c r="C470" s="2"/>
      <c r="D470" s="54"/>
      <c r="E470" s="51"/>
      <c r="F470" s="2"/>
      <c r="G470" s="54"/>
      <c r="H470" s="51"/>
      <c r="I470" s="2"/>
      <c r="J470" s="54"/>
      <c r="K470" s="52"/>
      <c r="L470" s="55"/>
      <c r="T470" s="4" t="str">
        <f t="shared" si="29"/>
        <v/>
      </c>
      <c r="U470" s="4" t="str">
        <f t="shared" si="28"/>
        <v/>
      </c>
    </row>
    <row r="471" spans="1:21" x14ac:dyDescent="0.25">
      <c r="A471" s="50"/>
      <c r="B471" s="51"/>
      <c r="C471" s="2"/>
      <c r="D471" s="54"/>
      <c r="E471" s="51"/>
      <c r="F471" s="2"/>
      <c r="G471" s="54"/>
      <c r="H471" s="51"/>
      <c r="I471" s="2"/>
      <c r="J471" s="54"/>
      <c r="K471" s="52"/>
      <c r="L471" s="55"/>
      <c r="T471" s="4" t="str">
        <f t="shared" si="29"/>
        <v/>
      </c>
      <c r="U471" s="4" t="str">
        <f t="shared" si="28"/>
        <v/>
      </c>
    </row>
    <row r="472" spans="1:21" x14ac:dyDescent="0.25">
      <c r="A472" s="50"/>
      <c r="B472" s="51"/>
      <c r="C472" s="2"/>
      <c r="D472" s="54"/>
      <c r="E472" s="51"/>
      <c r="F472" s="2"/>
      <c r="G472" s="54"/>
      <c r="H472" s="51"/>
      <c r="I472" s="2"/>
      <c r="J472" s="54"/>
      <c r="K472" s="52"/>
      <c r="L472" s="55"/>
      <c r="T472" s="4" t="str">
        <f t="shared" si="29"/>
        <v/>
      </c>
      <c r="U472" s="4" t="str">
        <f t="shared" si="28"/>
        <v/>
      </c>
    </row>
    <row r="473" spans="1:21" x14ac:dyDescent="0.25">
      <c r="A473" s="50"/>
      <c r="B473" s="51"/>
      <c r="C473" s="2"/>
      <c r="D473" s="54"/>
      <c r="E473" s="51"/>
      <c r="F473" s="2"/>
      <c r="G473" s="54"/>
      <c r="H473" s="51"/>
      <c r="I473" s="2"/>
      <c r="J473" s="54"/>
      <c r="K473" s="52"/>
      <c r="L473" s="55"/>
      <c r="T473" s="4" t="str">
        <f t="shared" si="29"/>
        <v/>
      </c>
      <c r="U473" s="4" t="str">
        <f t="shared" si="28"/>
        <v/>
      </c>
    </row>
    <row r="474" spans="1:21" x14ac:dyDescent="0.25">
      <c r="A474" s="50"/>
      <c r="B474" s="51"/>
      <c r="C474" s="2"/>
      <c r="D474" s="54"/>
      <c r="E474" s="51"/>
      <c r="F474" s="2"/>
      <c r="G474" s="54"/>
      <c r="H474" s="51"/>
      <c r="I474" s="2"/>
      <c r="J474" s="54"/>
      <c r="K474" s="52"/>
      <c r="L474" s="55"/>
      <c r="T474" s="4" t="str">
        <f t="shared" si="29"/>
        <v/>
      </c>
      <c r="U474" s="4" t="str">
        <f t="shared" si="28"/>
        <v/>
      </c>
    </row>
    <row r="475" spans="1:21" x14ac:dyDescent="0.25">
      <c r="A475" s="50"/>
      <c r="B475" s="51"/>
      <c r="C475" s="2"/>
      <c r="D475" s="54"/>
      <c r="E475" s="51"/>
      <c r="F475" s="2"/>
      <c r="G475" s="54"/>
      <c r="H475" s="51"/>
      <c r="I475" s="2"/>
      <c r="J475" s="54"/>
      <c r="K475" s="52"/>
      <c r="L475" s="55"/>
      <c r="T475" s="4" t="str">
        <f t="shared" si="29"/>
        <v/>
      </c>
      <c r="U475" s="4" t="str">
        <f t="shared" si="28"/>
        <v/>
      </c>
    </row>
    <row r="476" spans="1:21" x14ac:dyDescent="0.25">
      <c r="A476" s="50"/>
      <c r="B476" s="51"/>
      <c r="C476" s="2"/>
      <c r="D476" s="54"/>
      <c r="E476" s="51"/>
      <c r="F476" s="2"/>
      <c r="G476" s="54"/>
      <c r="H476" s="51"/>
      <c r="I476" s="2"/>
      <c r="J476" s="54"/>
      <c r="K476" s="52"/>
      <c r="L476" s="55"/>
      <c r="T476" s="4" t="str">
        <f t="shared" si="29"/>
        <v/>
      </c>
      <c r="U476" s="4" t="str">
        <f t="shared" si="28"/>
        <v/>
      </c>
    </row>
    <row r="477" spans="1:21" x14ac:dyDescent="0.25">
      <c r="A477" s="50"/>
      <c r="B477" s="51"/>
      <c r="C477" s="2"/>
      <c r="D477" s="54"/>
      <c r="E477" s="51"/>
      <c r="F477" s="2"/>
      <c r="G477" s="54"/>
      <c r="H477" s="51"/>
      <c r="I477" s="2"/>
      <c r="J477" s="54"/>
      <c r="K477" s="52"/>
      <c r="L477" s="55"/>
      <c r="T477" s="4" t="str">
        <f t="shared" si="29"/>
        <v/>
      </c>
      <c r="U477" s="4" t="str">
        <f t="shared" si="28"/>
        <v/>
      </c>
    </row>
    <row r="478" spans="1:21" x14ac:dyDescent="0.25">
      <c r="A478" s="50"/>
      <c r="B478" s="51"/>
      <c r="C478" s="2"/>
      <c r="D478" s="54"/>
      <c r="E478" s="51"/>
      <c r="F478" s="2"/>
      <c r="G478" s="54"/>
      <c r="H478" s="51"/>
      <c r="I478" s="2"/>
      <c r="J478" s="54"/>
      <c r="K478" s="52"/>
      <c r="L478" s="55"/>
      <c r="T478" s="4" t="str">
        <f t="shared" si="29"/>
        <v/>
      </c>
      <c r="U478" s="4" t="str">
        <f t="shared" si="28"/>
        <v/>
      </c>
    </row>
    <row r="479" spans="1:21" x14ac:dyDescent="0.25">
      <c r="A479" s="50"/>
      <c r="B479" s="51"/>
      <c r="C479" s="2"/>
      <c r="D479" s="54"/>
      <c r="E479" s="51"/>
      <c r="F479" s="2"/>
      <c r="G479" s="54"/>
      <c r="H479" s="51"/>
      <c r="I479" s="2"/>
      <c r="J479" s="54"/>
      <c r="K479" s="52"/>
      <c r="L479" s="55"/>
      <c r="T479" s="4" t="str">
        <f t="shared" si="29"/>
        <v/>
      </c>
      <c r="U479" s="4" t="str">
        <f t="shared" si="28"/>
        <v/>
      </c>
    </row>
    <row r="480" spans="1:21" x14ac:dyDescent="0.25">
      <c r="A480" s="50"/>
      <c r="B480" s="51"/>
      <c r="C480" s="2"/>
      <c r="D480" s="54"/>
      <c r="E480" s="51"/>
      <c r="F480" s="2"/>
      <c r="G480" s="54"/>
      <c r="H480" s="51"/>
      <c r="I480" s="2"/>
      <c r="J480" s="54"/>
      <c r="K480" s="52"/>
      <c r="L480" s="55"/>
      <c r="T480" s="4" t="str">
        <f t="shared" si="29"/>
        <v/>
      </c>
      <c r="U480" s="4" t="str">
        <f t="shared" si="28"/>
        <v/>
      </c>
    </row>
    <row r="481" spans="1:21" x14ac:dyDescent="0.25">
      <c r="A481" s="50"/>
      <c r="B481" s="51"/>
      <c r="C481" s="2"/>
      <c r="D481" s="54"/>
      <c r="E481" s="51"/>
      <c r="F481" s="2"/>
      <c r="G481" s="54"/>
      <c r="H481" s="51"/>
      <c r="I481" s="2"/>
      <c r="J481" s="54"/>
      <c r="K481" s="52"/>
      <c r="L481" s="55"/>
      <c r="T481" s="4" t="str">
        <f t="shared" si="29"/>
        <v/>
      </c>
      <c r="U481" s="4" t="str">
        <f t="shared" si="28"/>
        <v/>
      </c>
    </row>
    <row r="482" spans="1:21" x14ac:dyDescent="0.25">
      <c r="A482" s="50"/>
      <c r="B482" s="51"/>
      <c r="C482" s="2"/>
      <c r="D482" s="54"/>
      <c r="E482" s="51"/>
      <c r="F482" s="2"/>
      <c r="G482" s="54"/>
      <c r="H482" s="51"/>
      <c r="I482" s="2"/>
      <c r="J482" s="54"/>
      <c r="K482" s="52"/>
      <c r="L482" s="55"/>
      <c r="T482" s="4" t="str">
        <f t="shared" si="29"/>
        <v/>
      </c>
      <c r="U482" s="4" t="str">
        <f t="shared" si="28"/>
        <v/>
      </c>
    </row>
    <row r="483" spans="1:21" x14ac:dyDescent="0.25">
      <c r="A483" s="50"/>
      <c r="B483" s="51"/>
      <c r="C483" s="2"/>
      <c r="D483" s="54"/>
      <c r="E483" s="51"/>
      <c r="F483" s="2"/>
      <c r="G483" s="54"/>
      <c r="H483" s="51"/>
      <c r="I483" s="2"/>
      <c r="J483" s="54"/>
      <c r="K483" s="52"/>
      <c r="L483" s="55"/>
      <c r="T483" s="4" t="str">
        <f t="shared" si="29"/>
        <v/>
      </c>
      <c r="U483" s="4" t="str">
        <f t="shared" si="28"/>
        <v/>
      </c>
    </row>
    <row r="484" spans="1:21" x14ac:dyDescent="0.25">
      <c r="A484" s="50"/>
      <c r="B484" s="51"/>
      <c r="C484" s="2"/>
      <c r="D484" s="54"/>
      <c r="E484" s="51"/>
      <c r="F484" s="2"/>
      <c r="G484" s="54"/>
      <c r="H484" s="51"/>
      <c r="I484" s="2"/>
      <c r="J484" s="54"/>
      <c r="K484" s="52"/>
      <c r="L484" s="55"/>
      <c r="T484" s="4" t="str">
        <f t="shared" si="29"/>
        <v/>
      </c>
      <c r="U484" s="4" t="str">
        <f t="shared" si="28"/>
        <v/>
      </c>
    </row>
    <row r="485" spans="1:21" x14ac:dyDescent="0.25">
      <c r="A485" s="50"/>
      <c r="B485" s="51"/>
      <c r="C485" s="2"/>
      <c r="D485" s="54"/>
      <c r="E485" s="51"/>
      <c r="F485" s="2"/>
      <c r="G485" s="54"/>
      <c r="H485" s="51"/>
      <c r="I485" s="2"/>
      <c r="J485" s="54"/>
      <c r="K485" s="52"/>
      <c r="L485" s="55"/>
      <c r="T485" s="4" t="str">
        <f t="shared" si="29"/>
        <v/>
      </c>
      <c r="U485" s="4" t="str">
        <f t="shared" si="28"/>
        <v/>
      </c>
    </row>
    <row r="486" spans="1:21" x14ac:dyDescent="0.25">
      <c r="A486" s="50"/>
      <c r="B486" s="51"/>
      <c r="C486" s="2"/>
      <c r="D486" s="54"/>
      <c r="E486" s="51"/>
      <c r="F486" s="2"/>
      <c r="G486" s="54"/>
      <c r="H486" s="51"/>
      <c r="I486" s="2"/>
      <c r="J486" s="54"/>
      <c r="K486" s="52"/>
      <c r="L486" s="55"/>
      <c r="T486" s="4" t="str">
        <f t="shared" si="29"/>
        <v/>
      </c>
      <c r="U486" s="4" t="str">
        <f t="shared" si="28"/>
        <v/>
      </c>
    </row>
    <row r="487" spans="1:21" x14ac:dyDescent="0.25">
      <c r="A487" s="50"/>
      <c r="B487" s="51"/>
      <c r="C487" s="2"/>
      <c r="D487" s="54"/>
      <c r="E487" s="51"/>
      <c r="F487" s="2"/>
      <c r="G487" s="54"/>
      <c r="H487" s="51"/>
      <c r="I487" s="2"/>
      <c r="J487" s="54"/>
      <c r="K487" s="52"/>
      <c r="L487" s="55"/>
      <c r="T487" s="4" t="str">
        <f t="shared" si="29"/>
        <v/>
      </c>
      <c r="U487" s="4" t="str">
        <f t="shared" si="28"/>
        <v/>
      </c>
    </row>
    <row r="488" spans="1:21" x14ac:dyDescent="0.25">
      <c r="A488" s="50"/>
      <c r="B488" s="51"/>
      <c r="C488" s="2"/>
      <c r="D488" s="54"/>
      <c r="E488" s="51"/>
      <c r="F488" s="2"/>
      <c r="G488" s="54"/>
      <c r="H488" s="51"/>
      <c r="I488" s="2"/>
      <c r="J488" s="54"/>
      <c r="K488" s="52"/>
      <c r="L488" s="55"/>
      <c r="T488" s="4" t="str">
        <f t="shared" si="29"/>
        <v/>
      </c>
      <c r="U488" s="4" t="str">
        <f t="shared" si="28"/>
        <v/>
      </c>
    </row>
    <row r="489" spans="1:21" x14ac:dyDescent="0.25">
      <c r="A489" s="50"/>
      <c r="B489" s="51"/>
      <c r="C489" s="2"/>
      <c r="D489" s="54"/>
      <c r="E489" s="51"/>
      <c r="F489" s="2"/>
      <c r="G489" s="54"/>
      <c r="H489" s="51"/>
      <c r="I489" s="2"/>
      <c r="J489" s="54"/>
      <c r="K489" s="52"/>
      <c r="L489" s="55"/>
      <c r="T489" s="4" t="str">
        <f t="shared" si="29"/>
        <v/>
      </c>
      <c r="U489" s="4" t="str">
        <f t="shared" si="28"/>
        <v/>
      </c>
    </row>
    <row r="490" spans="1:21" x14ac:dyDescent="0.25">
      <c r="A490" s="50"/>
      <c r="B490" s="51"/>
      <c r="C490" s="2"/>
      <c r="D490" s="54"/>
      <c r="E490" s="51"/>
      <c r="F490" s="2"/>
      <c r="G490" s="54"/>
      <c r="H490" s="51"/>
      <c r="I490" s="2"/>
      <c r="J490" s="54"/>
      <c r="K490" s="52"/>
      <c r="L490" s="55"/>
      <c r="T490" s="4" t="str">
        <f t="shared" si="29"/>
        <v/>
      </c>
      <c r="U490" s="4" t="str">
        <f t="shared" si="28"/>
        <v/>
      </c>
    </row>
    <row r="491" spans="1:21" x14ac:dyDescent="0.25">
      <c r="A491" s="50"/>
      <c r="B491" s="51"/>
      <c r="C491" s="2"/>
      <c r="D491" s="54"/>
      <c r="E491" s="51"/>
      <c r="F491" s="2"/>
      <c r="G491" s="54"/>
      <c r="H491" s="51"/>
      <c r="I491" s="2"/>
      <c r="J491" s="54"/>
      <c r="K491" s="52"/>
      <c r="L491" s="55"/>
      <c r="T491" s="4" t="str">
        <f t="shared" si="29"/>
        <v/>
      </c>
      <c r="U491" s="4" t="str">
        <f t="shared" si="28"/>
        <v/>
      </c>
    </row>
    <row r="492" spans="1:21" x14ac:dyDescent="0.25">
      <c r="A492" s="50"/>
      <c r="B492" s="51"/>
      <c r="C492" s="2"/>
      <c r="D492" s="54"/>
      <c r="E492" s="51"/>
      <c r="F492" s="2"/>
      <c r="G492" s="54"/>
      <c r="H492" s="51"/>
      <c r="I492" s="2"/>
      <c r="J492" s="54"/>
      <c r="K492" s="52"/>
      <c r="L492" s="55"/>
      <c r="T492" s="4" t="str">
        <f t="shared" si="29"/>
        <v/>
      </c>
      <c r="U492" s="4" t="str">
        <f t="shared" si="28"/>
        <v/>
      </c>
    </row>
    <row r="493" spans="1:21" x14ac:dyDescent="0.25">
      <c r="A493" s="50"/>
      <c r="B493" s="51"/>
      <c r="C493" s="2"/>
      <c r="D493" s="54"/>
      <c r="E493" s="51"/>
      <c r="F493" s="2"/>
      <c r="G493" s="54"/>
      <c r="H493" s="51"/>
      <c r="I493" s="2"/>
      <c r="J493" s="54"/>
      <c r="K493" s="52"/>
      <c r="L493" s="55"/>
      <c r="T493" s="4" t="str">
        <f t="shared" si="29"/>
        <v/>
      </c>
      <c r="U493" s="4" t="str">
        <f t="shared" si="28"/>
        <v/>
      </c>
    </row>
    <row r="494" spans="1:21" x14ac:dyDescent="0.25">
      <c r="A494" s="50"/>
      <c r="B494" s="51"/>
      <c r="C494" s="2"/>
      <c r="D494" s="54"/>
      <c r="E494" s="51"/>
      <c r="F494" s="2"/>
      <c r="G494" s="54"/>
      <c r="H494" s="51"/>
      <c r="I494" s="2"/>
      <c r="J494" s="54"/>
      <c r="K494" s="52"/>
      <c r="L494" s="55"/>
      <c r="T494" s="4" t="str">
        <f t="shared" si="29"/>
        <v/>
      </c>
      <c r="U494" s="4" t="str">
        <f t="shared" si="28"/>
        <v/>
      </c>
    </row>
    <row r="495" spans="1:21" x14ac:dyDescent="0.25">
      <c r="A495" s="50"/>
      <c r="B495" s="51"/>
      <c r="C495" s="2"/>
      <c r="D495" s="54"/>
      <c r="E495" s="51"/>
      <c r="F495" s="2"/>
      <c r="G495" s="54"/>
      <c r="H495" s="51"/>
      <c r="I495" s="2"/>
      <c r="J495" s="54"/>
      <c r="K495" s="52"/>
      <c r="L495" s="55"/>
      <c r="T495" s="4" t="str">
        <f t="shared" si="29"/>
        <v/>
      </c>
      <c r="U495" s="4" t="str">
        <f t="shared" si="28"/>
        <v/>
      </c>
    </row>
    <row r="496" spans="1:21" x14ac:dyDescent="0.25">
      <c r="A496" s="50"/>
      <c r="B496" s="51"/>
      <c r="C496" s="2"/>
      <c r="D496" s="54"/>
      <c r="E496" s="51"/>
      <c r="F496" s="2"/>
      <c r="G496" s="54"/>
      <c r="H496" s="51"/>
      <c r="I496" s="2"/>
      <c r="J496" s="54"/>
      <c r="K496" s="52"/>
      <c r="L496" s="55"/>
      <c r="T496" s="4" t="str">
        <f t="shared" si="29"/>
        <v/>
      </c>
      <c r="U496" s="4" t="str">
        <f t="shared" si="28"/>
        <v/>
      </c>
    </row>
    <row r="497" spans="1:21" x14ac:dyDescent="0.25">
      <c r="A497" s="50"/>
      <c r="B497" s="51"/>
      <c r="C497" s="2"/>
      <c r="D497" s="54"/>
      <c r="E497" s="51"/>
      <c r="F497" s="2"/>
      <c r="G497" s="54"/>
      <c r="H497" s="51"/>
      <c r="I497" s="2"/>
      <c r="J497" s="54"/>
      <c r="K497" s="52"/>
      <c r="L497" s="55"/>
      <c r="T497" s="4" t="str">
        <f t="shared" si="29"/>
        <v/>
      </c>
      <c r="U497" s="4" t="str">
        <f t="shared" si="28"/>
        <v/>
      </c>
    </row>
    <row r="498" spans="1:21" x14ac:dyDescent="0.25">
      <c r="A498" s="50"/>
      <c r="B498" s="51"/>
      <c r="C498" s="2"/>
      <c r="D498" s="54"/>
      <c r="E498" s="51"/>
      <c r="F498" s="2"/>
      <c r="G498" s="54"/>
      <c r="H498" s="51"/>
      <c r="I498" s="2"/>
      <c r="J498" s="54"/>
      <c r="K498" s="52"/>
      <c r="L498" s="55"/>
      <c r="T498" s="4" t="str">
        <f t="shared" si="29"/>
        <v/>
      </c>
      <c r="U498" s="4" t="str">
        <f t="shared" si="28"/>
        <v/>
      </c>
    </row>
    <row r="499" spans="1:21" x14ac:dyDescent="0.25">
      <c r="A499" s="50"/>
      <c r="B499" s="51"/>
      <c r="C499" s="2"/>
      <c r="D499" s="54"/>
      <c r="E499" s="51"/>
      <c r="F499" s="2"/>
      <c r="G499" s="54"/>
      <c r="H499" s="51"/>
      <c r="I499" s="2"/>
      <c r="J499" s="54"/>
      <c r="K499" s="52"/>
      <c r="L499" s="55"/>
      <c r="T499" s="4" t="str">
        <f t="shared" si="29"/>
        <v/>
      </c>
      <c r="U499" s="4" t="str">
        <f t="shared" si="28"/>
        <v/>
      </c>
    </row>
    <row r="500" spans="1:21" x14ac:dyDescent="0.25">
      <c r="A500" s="50"/>
      <c r="B500" s="51"/>
      <c r="C500" s="2"/>
      <c r="D500" s="54"/>
      <c r="E500" s="51"/>
      <c r="F500" s="2"/>
      <c r="G500" s="54"/>
      <c r="H500" s="51"/>
      <c r="I500" s="2"/>
      <c r="J500" s="54"/>
      <c r="K500" s="52"/>
      <c r="L500" s="55"/>
      <c r="T500" s="4" t="str">
        <f t="shared" si="29"/>
        <v/>
      </c>
      <c r="U500" s="4" t="str">
        <f t="shared" si="28"/>
        <v/>
      </c>
    </row>
    <row r="501" spans="1:21" x14ac:dyDescent="0.25">
      <c r="A501" s="50"/>
      <c r="B501" s="51"/>
      <c r="C501" s="2"/>
      <c r="D501" s="54"/>
      <c r="E501" s="51"/>
      <c r="F501" s="2"/>
      <c r="G501" s="54"/>
      <c r="H501" s="51"/>
      <c r="I501" s="2"/>
      <c r="J501" s="54"/>
      <c r="K501" s="52"/>
      <c r="L501" s="55"/>
      <c r="T501" s="4" t="str">
        <f t="shared" si="29"/>
        <v/>
      </c>
      <c r="U501" s="4" t="str">
        <f t="shared" si="28"/>
        <v/>
      </c>
    </row>
    <row r="502" spans="1:21" x14ac:dyDescent="0.25">
      <c r="A502" s="50"/>
      <c r="B502" s="51"/>
      <c r="C502" s="2"/>
      <c r="D502" s="54"/>
      <c r="E502" s="51"/>
      <c r="F502" s="2"/>
      <c r="G502" s="54"/>
      <c r="H502" s="51"/>
      <c r="I502" s="2"/>
      <c r="J502" s="54"/>
      <c r="K502" s="52"/>
      <c r="L502" s="55"/>
      <c r="T502" s="4" t="str">
        <f t="shared" si="29"/>
        <v/>
      </c>
      <c r="U502" s="4" t="str">
        <f t="shared" si="28"/>
        <v/>
      </c>
    </row>
    <row r="503" spans="1:21" x14ac:dyDescent="0.25">
      <c r="A503" s="50"/>
      <c r="B503" s="51"/>
      <c r="C503" s="2"/>
      <c r="D503" s="54"/>
      <c r="E503" s="51"/>
      <c r="F503" s="2"/>
      <c r="G503" s="54"/>
      <c r="H503" s="51"/>
      <c r="I503" s="2"/>
      <c r="J503" s="54"/>
      <c r="K503" s="52"/>
      <c r="L503" s="55"/>
      <c r="T503" s="4" t="str">
        <f t="shared" si="29"/>
        <v/>
      </c>
      <c r="U503" s="4" t="str">
        <f t="shared" si="28"/>
        <v/>
      </c>
    </row>
    <row r="504" spans="1:21" x14ac:dyDescent="0.25">
      <c r="A504" s="50"/>
      <c r="B504" s="51"/>
      <c r="C504" s="2"/>
      <c r="D504" s="54"/>
      <c r="E504" s="51"/>
      <c r="F504" s="2"/>
      <c r="G504" s="54"/>
      <c r="H504" s="51"/>
      <c r="I504" s="2"/>
      <c r="J504" s="54"/>
      <c r="K504" s="52"/>
      <c r="L504" s="55"/>
      <c r="T504" s="4" t="str">
        <f t="shared" si="29"/>
        <v/>
      </c>
      <c r="U504" s="4" t="str">
        <f t="shared" si="28"/>
        <v/>
      </c>
    </row>
    <row r="505" spans="1:21" x14ac:dyDescent="0.25">
      <c r="A505" s="50"/>
      <c r="B505" s="51"/>
      <c r="C505" s="2"/>
      <c r="D505" s="54"/>
      <c r="E505" s="51"/>
      <c r="F505" s="2"/>
      <c r="G505" s="54"/>
      <c r="H505" s="51"/>
      <c r="I505" s="2"/>
      <c r="J505" s="54"/>
      <c r="K505" s="52"/>
      <c r="L505" s="55"/>
      <c r="T505" s="4" t="str">
        <f t="shared" si="29"/>
        <v/>
      </c>
      <c r="U505" s="4" t="str">
        <f t="shared" si="28"/>
        <v/>
      </c>
    </row>
    <row r="506" spans="1:21" x14ac:dyDescent="0.25">
      <c r="A506" s="50"/>
      <c r="B506" s="51"/>
      <c r="C506" s="2"/>
      <c r="D506" s="54"/>
      <c r="E506" s="51"/>
      <c r="F506" s="2"/>
      <c r="G506" s="54"/>
      <c r="H506" s="51"/>
      <c r="I506" s="2"/>
      <c r="J506" s="54"/>
      <c r="K506" s="52"/>
      <c r="L506" s="55"/>
      <c r="T506" s="4" t="str">
        <f t="shared" si="29"/>
        <v/>
      </c>
      <c r="U506" s="4" t="str">
        <f t="shared" si="28"/>
        <v/>
      </c>
    </row>
    <row r="507" spans="1:21" x14ac:dyDescent="0.25">
      <c r="A507" s="50"/>
      <c r="B507" s="51"/>
      <c r="C507" s="2"/>
      <c r="D507" s="54"/>
      <c r="E507" s="51"/>
      <c r="F507" s="2"/>
      <c r="G507" s="54"/>
      <c r="H507" s="51"/>
      <c r="I507" s="2"/>
      <c r="J507" s="54"/>
      <c r="K507" s="52"/>
      <c r="L507" s="55"/>
      <c r="T507" s="4" t="str">
        <f t="shared" si="29"/>
        <v/>
      </c>
      <c r="U507" s="4" t="str">
        <f t="shared" si="28"/>
        <v/>
      </c>
    </row>
    <row r="508" spans="1:21" x14ac:dyDescent="0.25">
      <c r="A508" s="50"/>
      <c r="B508" s="51"/>
      <c r="C508" s="2"/>
      <c r="D508" s="54"/>
      <c r="E508" s="51"/>
      <c r="F508" s="2"/>
      <c r="G508" s="54"/>
      <c r="H508" s="51"/>
      <c r="I508" s="2"/>
      <c r="J508" s="54"/>
      <c r="K508" s="52"/>
      <c r="L508" s="55"/>
      <c r="T508" s="4" t="str">
        <f t="shared" si="29"/>
        <v/>
      </c>
      <c r="U508" s="4" t="str">
        <f t="shared" si="28"/>
        <v/>
      </c>
    </row>
    <row r="509" spans="1:21" x14ac:dyDescent="0.25">
      <c r="A509" s="50"/>
      <c r="B509" s="51"/>
      <c r="C509" s="2"/>
      <c r="D509" s="54"/>
      <c r="E509" s="51"/>
      <c r="F509" s="2"/>
      <c r="G509" s="54"/>
      <c r="H509" s="51"/>
      <c r="I509" s="2"/>
      <c r="J509" s="54"/>
      <c r="K509" s="52"/>
      <c r="L509" s="55"/>
      <c r="T509" s="4" t="str">
        <f t="shared" si="29"/>
        <v/>
      </c>
      <c r="U509" s="4" t="str">
        <f t="shared" si="28"/>
        <v/>
      </c>
    </row>
    <row r="510" spans="1:21" x14ac:dyDescent="0.25">
      <c r="A510" s="50"/>
      <c r="B510" s="51"/>
      <c r="C510" s="2"/>
      <c r="D510" s="54"/>
      <c r="E510" s="51"/>
      <c r="F510" s="2"/>
      <c r="G510" s="54"/>
      <c r="H510" s="51"/>
      <c r="I510" s="2"/>
      <c r="J510" s="54"/>
      <c r="K510" s="52"/>
      <c r="L510" s="55"/>
      <c r="T510" s="4" t="str">
        <f t="shared" si="29"/>
        <v/>
      </c>
      <c r="U510" s="4" t="str">
        <f t="shared" si="28"/>
        <v/>
      </c>
    </row>
    <row r="511" spans="1:21" x14ac:dyDescent="0.25">
      <c r="A511" s="50"/>
      <c r="B511" s="51"/>
      <c r="C511" s="2"/>
      <c r="D511" s="54"/>
      <c r="E511" s="51"/>
      <c r="F511" s="2"/>
      <c r="G511" s="54"/>
      <c r="H511" s="51"/>
      <c r="I511" s="2"/>
      <c r="J511" s="54"/>
      <c r="K511" s="52"/>
      <c r="L511" s="55"/>
      <c r="T511" s="4" t="str">
        <f t="shared" si="29"/>
        <v/>
      </c>
      <c r="U511" s="4" t="str">
        <f t="shared" si="28"/>
        <v/>
      </c>
    </row>
    <row r="512" spans="1:21" x14ac:dyDescent="0.25">
      <c r="A512" s="50"/>
      <c r="B512" s="51"/>
      <c r="C512" s="2"/>
      <c r="D512" s="54"/>
      <c r="E512" s="51"/>
      <c r="F512" s="2"/>
      <c r="G512" s="54"/>
      <c r="H512" s="51"/>
      <c r="I512" s="2"/>
      <c r="J512" s="54"/>
      <c r="K512" s="52"/>
      <c r="L512" s="55"/>
      <c r="T512" s="4" t="str">
        <f t="shared" si="29"/>
        <v/>
      </c>
      <c r="U512" s="4" t="str">
        <f t="shared" si="28"/>
        <v/>
      </c>
    </row>
    <row r="513" spans="1:21" x14ac:dyDescent="0.25">
      <c r="A513" s="50"/>
      <c r="B513" s="51"/>
      <c r="C513" s="2"/>
      <c r="D513" s="54"/>
      <c r="E513" s="51"/>
      <c r="F513" s="2"/>
      <c r="G513" s="54"/>
      <c r="H513" s="51"/>
      <c r="I513" s="2"/>
      <c r="J513" s="54"/>
      <c r="K513" s="52"/>
      <c r="L513" s="55"/>
      <c r="T513" s="4" t="str">
        <f t="shared" si="29"/>
        <v/>
      </c>
      <c r="U513" s="4" t="str">
        <f t="shared" si="28"/>
        <v/>
      </c>
    </row>
    <row r="514" spans="1:21" x14ac:dyDescent="0.25">
      <c r="A514" s="50"/>
      <c r="B514" s="51"/>
      <c r="C514" s="2"/>
      <c r="D514" s="54"/>
      <c r="E514" s="51"/>
      <c r="F514" s="2"/>
      <c r="G514" s="54"/>
      <c r="H514" s="51"/>
      <c r="I514" s="2"/>
      <c r="J514" s="54"/>
      <c r="K514" s="52"/>
      <c r="L514" s="55"/>
      <c r="T514" s="4" t="str">
        <f t="shared" si="29"/>
        <v/>
      </c>
      <c r="U514" s="4" t="str">
        <f t="shared" si="28"/>
        <v/>
      </c>
    </row>
    <row r="515" spans="1:21" x14ac:dyDescent="0.25">
      <c r="A515" s="50"/>
      <c r="B515" s="51"/>
      <c r="C515" s="2"/>
      <c r="D515" s="54"/>
      <c r="E515" s="51"/>
      <c r="F515" s="2"/>
      <c r="G515" s="54"/>
      <c r="H515" s="51"/>
      <c r="I515" s="2"/>
      <c r="J515" s="54"/>
      <c r="K515" s="52"/>
      <c r="L515" s="55"/>
      <c r="T515" s="4" t="str">
        <f t="shared" si="29"/>
        <v/>
      </c>
      <c r="U515" s="4" t="str">
        <f t="shared" ref="U515:U569" si="30">IF(T515&gt;$A$14,T515,"")</f>
        <v/>
      </c>
    </row>
    <row r="516" spans="1:21" x14ac:dyDescent="0.25">
      <c r="A516" s="50"/>
      <c r="B516" s="51"/>
      <c r="C516" s="2"/>
      <c r="D516" s="54"/>
      <c r="E516" s="51"/>
      <c r="F516" s="2"/>
      <c r="G516" s="54"/>
      <c r="H516" s="51"/>
      <c r="I516" s="2"/>
      <c r="J516" s="54"/>
      <c r="K516" s="52"/>
      <c r="L516" s="55"/>
      <c r="T516" s="4" t="str">
        <f t="shared" ref="T516:T567" si="31">IF(COUNTIF(P:P,N516)*COUNTIF(R:R,N516),N516,"")</f>
        <v/>
      </c>
      <c r="U516" s="4" t="str">
        <f t="shared" si="30"/>
        <v/>
      </c>
    </row>
    <row r="517" spans="1:21" x14ac:dyDescent="0.25">
      <c r="A517" s="50"/>
      <c r="B517" s="51"/>
      <c r="C517" s="2"/>
      <c r="D517" s="54"/>
      <c r="E517" s="51"/>
      <c r="F517" s="2"/>
      <c r="G517" s="54"/>
      <c r="H517" s="51"/>
      <c r="I517" s="2"/>
      <c r="J517" s="54"/>
      <c r="K517" s="52"/>
      <c r="L517" s="55"/>
      <c r="T517" s="4" t="str">
        <f t="shared" si="31"/>
        <v/>
      </c>
      <c r="U517" s="4" t="str">
        <f t="shared" si="30"/>
        <v/>
      </c>
    </row>
    <row r="518" spans="1:21" x14ac:dyDescent="0.25">
      <c r="A518" s="50"/>
      <c r="B518" s="51"/>
      <c r="C518" s="2"/>
      <c r="D518" s="54"/>
      <c r="E518" s="51"/>
      <c r="F518" s="2"/>
      <c r="G518" s="54"/>
      <c r="H518" s="51"/>
      <c r="I518" s="2"/>
      <c r="J518" s="54"/>
      <c r="K518" s="52"/>
      <c r="L518" s="55"/>
      <c r="T518" s="4" t="str">
        <f t="shared" si="31"/>
        <v/>
      </c>
      <c r="U518" s="4" t="str">
        <f t="shared" si="30"/>
        <v/>
      </c>
    </row>
    <row r="519" spans="1:21" x14ac:dyDescent="0.25">
      <c r="A519" s="50"/>
      <c r="B519" s="51"/>
      <c r="C519" s="2"/>
      <c r="D519" s="54"/>
      <c r="E519" s="51"/>
      <c r="F519" s="2"/>
      <c r="G519" s="54"/>
      <c r="H519" s="51"/>
      <c r="I519" s="2"/>
      <c r="J519" s="54"/>
      <c r="K519" s="52"/>
      <c r="L519" s="55"/>
      <c r="T519" s="4" t="str">
        <f t="shared" si="31"/>
        <v/>
      </c>
      <c r="U519" s="4" t="str">
        <f t="shared" si="30"/>
        <v/>
      </c>
    </row>
    <row r="520" spans="1:21" x14ac:dyDescent="0.25">
      <c r="A520" s="50"/>
      <c r="B520" s="51"/>
      <c r="C520" s="2"/>
      <c r="D520" s="54"/>
      <c r="E520" s="51"/>
      <c r="F520" s="2"/>
      <c r="G520" s="54"/>
      <c r="H520" s="51"/>
      <c r="I520" s="2"/>
      <c r="J520" s="54"/>
      <c r="K520" s="52"/>
      <c r="L520" s="55"/>
      <c r="T520" s="4" t="str">
        <f t="shared" si="31"/>
        <v/>
      </c>
      <c r="U520" s="4" t="str">
        <f t="shared" si="30"/>
        <v/>
      </c>
    </row>
    <row r="521" spans="1:21" x14ac:dyDescent="0.25">
      <c r="A521" s="50"/>
      <c r="B521" s="51"/>
      <c r="C521" s="2"/>
      <c r="D521" s="54"/>
      <c r="E521" s="51"/>
      <c r="F521" s="2"/>
      <c r="G521" s="54"/>
      <c r="H521" s="51"/>
      <c r="I521" s="2"/>
      <c r="J521" s="54"/>
      <c r="K521" s="52"/>
      <c r="L521" s="55"/>
      <c r="T521" s="4" t="str">
        <f t="shared" si="31"/>
        <v/>
      </c>
      <c r="U521" s="4" t="str">
        <f t="shared" si="30"/>
        <v/>
      </c>
    </row>
    <row r="522" spans="1:21" x14ac:dyDescent="0.25">
      <c r="A522" s="50"/>
      <c r="B522" s="51"/>
      <c r="C522" s="2"/>
      <c r="D522" s="54"/>
      <c r="E522" s="51"/>
      <c r="F522" s="2"/>
      <c r="G522" s="54"/>
      <c r="H522" s="51"/>
      <c r="I522" s="2"/>
      <c r="J522" s="54"/>
      <c r="K522" s="52"/>
      <c r="L522" s="55"/>
      <c r="T522" s="4" t="str">
        <f t="shared" si="31"/>
        <v/>
      </c>
      <c r="U522" s="4" t="str">
        <f t="shared" si="30"/>
        <v/>
      </c>
    </row>
    <row r="523" spans="1:21" x14ac:dyDescent="0.25">
      <c r="A523" s="50"/>
      <c r="B523" s="51"/>
      <c r="C523" s="2"/>
      <c r="D523" s="54"/>
      <c r="E523" s="51"/>
      <c r="F523" s="2"/>
      <c r="G523" s="54"/>
      <c r="H523" s="51"/>
      <c r="I523" s="2"/>
      <c r="J523" s="54"/>
      <c r="K523" s="52"/>
      <c r="L523" s="55"/>
      <c r="T523" s="4" t="str">
        <f t="shared" si="31"/>
        <v/>
      </c>
      <c r="U523" s="4" t="str">
        <f t="shared" si="30"/>
        <v/>
      </c>
    </row>
    <row r="524" spans="1:21" x14ac:dyDescent="0.25">
      <c r="A524" s="50"/>
      <c r="B524" s="51"/>
      <c r="C524" s="2"/>
      <c r="D524" s="54"/>
      <c r="E524" s="51"/>
      <c r="F524" s="2"/>
      <c r="G524" s="54"/>
      <c r="H524" s="51"/>
      <c r="I524" s="2"/>
      <c r="J524" s="54"/>
      <c r="K524" s="52"/>
      <c r="L524" s="55"/>
      <c r="T524" s="4" t="str">
        <f t="shared" si="31"/>
        <v/>
      </c>
      <c r="U524" s="4" t="str">
        <f t="shared" si="30"/>
        <v/>
      </c>
    </row>
    <row r="525" spans="1:21" x14ac:dyDescent="0.25">
      <c r="A525" s="50"/>
      <c r="B525" s="51"/>
      <c r="C525" s="2"/>
      <c r="D525" s="54"/>
      <c r="E525" s="51"/>
      <c r="F525" s="2"/>
      <c r="G525" s="54"/>
      <c r="H525" s="51"/>
      <c r="I525" s="2"/>
      <c r="J525" s="54"/>
      <c r="K525" s="52"/>
      <c r="L525" s="55"/>
      <c r="T525" s="4" t="str">
        <f t="shared" si="31"/>
        <v/>
      </c>
      <c r="U525" s="4" t="str">
        <f t="shared" si="30"/>
        <v/>
      </c>
    </row>
    <row r="526" spans="1:21" x14ac:dyDescent="0.25">
      <c r="A526" s="50"/>
      <c r="B526" s="51"/>
      <c r="C526" s="2"/>
      <c r="D526" s="54"/>
      <c r="E526" s="51"/>
      <c r="F526" s="2"/>
      <c r="G526" s="54"/>
      <c r="H526" s="51"/>
      <c r="I526" s="2"/>
      <c r="J526" s="54"/>
      <c r="K526" s="52"/>
      <c r="L526" s="55"/>
      <c r="T526" s="4" t="str">
        <f t="shared" si="31"/>
        <v/>
      </c>
      <c r="U526" s="4" t="str">
        <f t="shared" si="30"/>
        <v/>
      </c>
    </row>
    <row r="527" spans="1:21" x14ac:dyDescent="0.25">
      <c r="A527" s="50"/>
      <c r="B527" s="51"/>
      <c r="C527" s="2"/>
      <c r="D527" s="54"/>
      <c r="E527" s="51"/>
      <c r="F527" s="2"/>
      <c r="G527" s="54"/>
      <c r="H527" s="51"/>
      <c r="I527" s="2"/>
      <c r="J527" s="54"/>
      <c r="K527" s="52"/>
      <c r="L527" s="55"/>
      <c r="T527" s="4" t="str">
        <f t="shared" si="31"/>
        <v/>
      </c>
      <c r="U527" s="4" t="str">
        <f t="shared" si="30"/>
        <v/>
      </c>
    </row>
    <row r="528" spans="1:21" x14ac:dyDescent="0.25">
      <c r="A528" s="50"/>
      <c r="B528" s="51"/>
      <c r="C528" s="2"/>
      <c r="D528" s="54"/>
      <c r="E528" s="51"/>
      <c r="F528" s="2"/>
      <c r="G528" s="54"/>
      <c r="H528" s="51"/>
      <c r="I528" s="2"/>
      <c r="J528" s="54"/>
      <c r="K528" s="52"/>
      <c r="L528" s="55"/>
      <c r="T528" s="4" t="str">
        <f t="shared" si="31"/>
        <v/>
      </c>
      <c r="U528" s="4" t="str">
        <f t="shared" si="30"/>
        <v/>
      </c>
    </row>
    <row r="529" spans="1:21" x14ac:dyDescent="0.25">
      <c r="A529" s="50"/>
      <c r="B529" s="51"/>
      <c r="C529" s="2"/>
      <c r="D529" s="54"/>
      <c r="E529" s="51"/>
      <c r="F529" s="2"/>
      <c r="G529" s="54"/>
      <c r="H529" s="51"/>
      <c r="I529" s="2"/>
      <c r="J529" s="54"/>
      <c r="K529" s="52"/>
      <c r="L529" s="55"/>
      <c r="T529" s="4" t="str">
        <f t="shared" si="31"/>
        <v/>
      </c>
      <c r="U529" s="4" t="str">
        <f t="shared" si="30"/>
        <v/>
      </c>
    </row>
    <row r="530" spans="1:21" x14ac:dyDescent="0.25">
      <c r="A530" s="50"/>
      <c r="B530" s="51"/>
      <c r="C530" s="2"/>
      <c r="D530" s="54"/>
      <c r="E530" s="51"/>
      <c r="F530" s="2"/>
      <c r="G530" s="54"/>
      <c r="H530" s="51"/>
      <c r="I530" s="2"/>
      <c r="J530" s="54"/>
      <c r="K530" s="52"/>
      <c r="L530" s="55"/>
      <c r="T530" s="4" t="str">
        <f t="shared" si="31"/>
        <v/>
      </c>
      <c r="U530" s="4" t="str">
        <f t="shared" si="30"/>
        <v/>
      </c>
    </row>
    <row r="531" spans="1:21" x14ac:dyDescent="0.25">
      <c r="A531" s="50"/>
      <c r="B531" s="51"/>
      <c r="C531" s="2"/>
      <c r="D531" s="54"/>
      <c r="E531" s="51"/>
      <c r="F531" s="2"/>
      <c r="G531" s="54"/>
      <c r="H531" s="51"/>
      <c r="I531" s="2"/>
      <c r="J531" s="54"/>
      <c r="K531" s="52"/>
      <c r="L531" s="55"/>
      <c r="T531" s="4" t="str">
        <f t="shared" si="31"/>
        <v/>
      </c>
      <c r="U531" s="4" t="str">
        <f t="shared" si="30"/>
        <v/>
      </c>
    </row>
    <row r="532" spans="1:21" x14ac:dyDescent="0.25">
      <c r="A532" s="50"/>
      <c r="B532" s="51"/>
      <c r="C532" s="2"/>
      <c r="D532" s="54"/>
      <c r="E532" s="51"/>
      <c r="F532" s="2"/>
      <c r="G532" s="54"/>
      <c r="H532" s="51"/>
      <c r="I532" s="2"/>
      <c r="J532" s="54"/>
      <c r="K532" s="52"/>
      <c r="L532" s="55"/>
      <c r="T532" s="4" t="str">
        <f t="shared" si="31"/>
        <v/>
      </c>
      <c r="U532" s="4" t="str">
        <f t="shared" si="30"/>
        <v/>
      </c>
    </row>
    <row r="533" spans="1:21" x14ac:dyDescent="0.25">
      <c r="A533" s="50"/>
      <c r="B533" s="51"/>
      <c r="C533" s="2"/>
      <c r="D533" s="54"/>
      <c r="E533" s="51"/>
      <c r="F533" s="2"/>
      <c r="G533" s="54"/>
      <c r="H533" s="51"/>
      <c r="I533" s="2"/>
      <c r="J533" s="54"/>
      <c r="K533" s="52"/>
      <c r="L533" s="55"/>
      <c r="T533" s="4" t="str">
        <f t="shared" si="31"/>
        <v/>
      </c>
      <c r="U533" s="4" t="str">
        <f t="shared" si="30"/>
        <v/>
      </c>
    </row>
    <row r="534" spans="1:21" x14ac:dyDescent="0.25">
      <c r="A534" s="50"/>
      <c r="B534" s="51"/>
      <c r="C534" s="2"/>
      <c r="D534" s="54"/>
      <c r="E534" s="51"/>
      <c r="F534" s="2"/>
      <c r="G534" s="54"/>
      <c r="H534" s="51"/>
      <c r="I534" s="2"/>
      <c r="J534" s="54"/>
      <c r="K534" s="52"/>
      <c r="L534" s="55"/>
      <c r="T534" s="4" t="str">
        <f t="shared" si="31"/>
        <v/>
      </c>
      <c r="U534" s="4" t="str">
        <f t="shared" si="30"/>
        <v/>
      </c>
    </row>
    <row r="535" spans="1:21" x14ac:dyDescent="0.25">
      <c r="A535" s="50"/>
      <c r="B535" s="51"/>
      <c r="C535" s="2"/>
      <c r="D535" s="54"/>
      <c r="E535" s="51"/>
      <c r="F535" s="2"/>
      <c r="G535" s="54"/>
      <c r="H535" s="51"/>
      <c r="I535" s="2"/>
      <c r="J535" s="54"/>
      <c r="K535" s="52"/>
      <c r="L535" s="55"/>
      <c r="T535" s="4" t="str">
        <f t="shared" si="31"/>
        <v/>
      </c>
      <c r="U535" s="4" t="str">
        <f t="shared" si="30"/>
        <v/>
      </c>
    </row>
    <row r="536" spans="1:21" x14ac:dyDescent="0.25">
      <c r="A536" s="50"/>
      <c r="B536" s="51"/>
      <c r="C536" s="2"/>
      <c r="D536" s="54"/>
      <c r="E536" s="51"/>
      <c r="F536" s="2"/>
      <c r="G536" s="54"/>
      <c r="H536" s="51"/>
      <c r="I536" s="2"/>
      <c r="J536" s="54"/>
      <c r="K536" s="52"/>
      <c r="L536" s="55"/>
      <c r="T536" s="4" t="str">
        <f t="shared" si="31"/>
        <v/>
      </c>
      <c r="U536" s="4" t="str">
        <f t="shared" si="30"/>
        <v/>
      </c>
    </row>
    <row r="537" spans="1:21" x14ac:dyDescent="0.25">
      <c r="A537" s="50"/>
      <c r="B537" s="51"/>
      <c r="C537" s="2"/>
      <c r="D537" s="54"/>
      <c r="E537" s="51"/>
      <c r="F537" s="2"/>
      <c r="G537" s="54"/>
      <c r="H537" s="51"/>
      <c r="I537" s="2"/>
      <c r="J537" s="54"/>
      <c r="K537" s="52"/>
      <c r="L537" s="55"/>
      <c r="T537" s="4" t="str">
        <f t="shared" si="31"/>
        <v/>
      </c>
      <c r="U537" s="4" t="str">
        <f t="shared" si="30"/>
        <v/>
      </c>
    </row>
    <row r="538" spans="1:21" x14ac:dyDescent="0.25">
      <c r="A538" s="50"/>
      <c r="B538" s="51"/>
      <c r="C538" s="2"/>
      <c r="D538" s="54"/>
      <c r="E538" s="51"/>
      <c r="F538" s="2"/>
      <c r="G538" s="54"/>
      <c r="H538" s="51"/>
      <c r="I538" s="2"/>
      <c r="J538" s="54"/>
      <c r="K538" s="52"/>
      <c r="L538" s="55"/>
      <c r="T538" s="4" t="str">
        <f t="shared" si="31"/>
        <v/>
      </c>
      <c r="U538" s="4" t="str">
        <f t="shared" si="30"/>
        <v/>
      </c>
    </row>
    <row r="539" spans="1:21" x14ac:dyDescent="0.25">
      <c r="A539" s="50"/>
      <c r="B539" s="51"/>
      <c r="C539" s="2"/>
      <c r="D539" s="54"/>
      <c r="E539" s="51"/>
      <c r="F539" s="2"/>
      <c r="G539" s="54"/>
      <c r="H539" s="51"/>
      <c r="I539" s="2"/>
      <c r="J539" s="54"/>
      <c r="K539" s="52"/>
      <c r="L539" s="55"/>
      <c r="T539" s="4" t="str">
        <f t="shared" si="31"/>
        <v/>
      </c>
      <c r="U539" s="4" t="str">
        <f t="shared" si="30"/>
        <v/>
      </c>
    </row>
    <row r="540" spans="1:21" x14ac:dyDescent="0.25">
      <c r="A540" s="50"/>
      <c r="B540" s="51"/>
      <c r="C540" s="2"/>
      <c r="D540" s="54"/>
      <c r="E540" s="51"/>
      <c r="F540" s="2"/>
      <c r="G540" s="54"/>
      <c r="H540" s="51"/>
      <c r="I540" s="2"/>
      <c r="J540" s="54"/>
      <c r="K540" s="52"/>
      <c r="L540" s="55"/>
      <c r="T540" s="4" t="str">
        <f t="shared" si="31"/>
        <v/>
      </c>
      <c r="U540" s="4" t="str">
        <f t="shared" si="30"/>
        <v/>
      </c>
    </row>
    <row r="541" spans="1:21" x14ac:dyDescent="0.25">
      <c r="A541" s="50"/>
      <c r="B541" s="51"/>
      <c r="C541" s="2"/>
      <c r="D541" s="54"/>
      <c r="E541" s="51"/>
      <c r="F541" s="2"/>
      <c r="G541" s="54"/>
      <c r="H541" s="51"/>
      <c r="I541" s="2"/>
      <c r="J541" s="54"/>
      <c r="K541" s="52"/>
      <c r="L541" s="55"/>
      <c r="T541" s="4" t="str">
        <f t="shared" si="31"/>
        <v/>
      </c>
      <c r="U541" s="4" t="str">
        <f t="shared" si="30"/>
        <v/>
      </c>
    </row>
    <row r="542" spans="1:21" x14ac:dyDescent="0.25">
      <c r="A542" s="50"/>
      <c r="B542" s="51"/>
      <c r="C542" s="2"/>
      <c r="D542" s="54"/>
      <c r="E542" s="51"/>
      <c r="F542" s="2"/>
      <c r="G542" s="54"/>
      <c r="H542" s="51"/>
      <c r="I542" s="2"/>
      <c r="J542" s="54"/>
      <c r="K542" s="52"/>
      <c r="L542" s="55"/>
      <c r="T542" s="4" t="str">
        <f t="shared" si="31"/>
        <v/>
      </c>
      <c r="U542" s="4" t="str">
        <f t="shared" si="30"/>
        <v/>
      </c>
    </row>
    <row r="543" spans="1:21" x14ac:dyDescent="0.25">
      <c r="A543" s="50"/>
      <c r="B543" s="51"/>
      <c r="C543" s="2"/>
      <c r="D543" s="54"/>
      <c r="E543" s="51"/>
      <c r="F543" s="2"/>
      <c r="G543" s="54"/>
      <c r="H543" s="51"/>
      <c r="I543" s="2"/>
      <c r="J543" s="54"/>
      <c r="K543" s="52"/>
      <c r="L543" s="55"/>
      <c r="T543" s="4" t="str">
        <f t="shared" si="31"/>
        <v/>
      </c>
      <c r="U543" s="4" t="str">
        <f t="shared" si="30"/>
        <v/>
      </c>
    </row>
    <row r="544" spans="1:21" x14ac:dyDescent="0.25">
      <c r="A544" s="50"/>
      <c r="B544" s="51"/>
      <c r="C544" s="2"/>
      <c r="D544" s="54"/>
      <c r="E544" s="51"/>
      <c r="F544" s="2"/>
      <c r="G544" s="54"/>
      <c r="H544" s="51"/>
      <c r="I544" s="2"/>
      <c r="J544" s="54"/>
      <c r="K544" s="52"/>
      <c r="L544" s="55"/>
      <c r="T544" s="4" t="str">
        <f t="shared" si="31"/>
        <v/>
      </c>
      <c r="U544" s="4" t="str">
        <f t="shared" si="30"/>
        <v/>
      </c>
    </row>
    <row r="545" spans="1:21" x14ac:dyDescent="0.25">
      <c r="A545" s="50"/>
      <c r="B545" s="51"/>
      <c r="C545" s="2"/>
      <c r="D545" s="54"/>
      <c r="E545" s="51"/>
      <c r="F545" s="2"/>
      <c r="G545" s="54"/>
      <c r="H545" s="51"/>
      <c r="I545" s="2"/>
      <c r="J545" s="54"/>
      <c r="K545" s="52"/>
      <c r="L545" s="55"/>
      <c r="T545" s="4" t="str">
        <f t="shared" si="31"/>
        <v/>
      </c>
      <c r="U545" s="4" t="str">
        <f t="shared" si="30"/>
        <v/>
      </c>
    </row>
    <row r="546" spans="1:21" x14ac:dyDescent="0.25">
      <c r="A546" s="50"/>
      <c r="B546" s="51"/>
      <c r="C546" s="2"/>
      <c r="D546" s="54"/>
      <c r="E546" s="51"/>
      <c r="F546" s="2"/>
      <c r="G546" s="54"/>
      <c r="H546" s="51"/>
      <c r="I546" s="2"/>
      <c r="J546" s="54"/>
      <c r="K546" s="52"/>
      <c r="L546" s="55"/>
      <c r="T546" s="4" t="str">
        <f t="shared" si="31"/>
        <v/>
      </c>
      <c r="U546" s="4" t="str">
        <f t="shared" si="30"/>
        <v/>
      </c>
    </row>
    <row r="547" spans="1:21" x14ac:dyDescent="0.25">
      <c r="A547" s="50"/>
      <c r="B547" s="51"/>
      <c r="C547" s="2"/>
      <c r="D547" s="54"/>
      <c r="E547" s="51"/>
      <c r="F547" s="2"/>
      <c r="G547" s="54"/>
      <c r="H547" s="51"/>
      <c r="I547" s="2"/>
      <c r="J547" s="54"/>
      <c r="K547" s="52"/>
      <c r="L547" s="55"/>
      <c r="T547" s="4" t="str">
        <f t="shared" si="31"/>
        <v/>
      </c>
      <c r="U547" s="4" t="str">
        <f t="shared" si="30"/>
        <v/>
      </c>
    </row>
    <row r="548" spans="1:21" x14ac:dyDescent="0.25">
      <c r="A548" s="50"/>
      <c r="B548" s="51"/>
      <c r="C548" s="2"/>
      <c r="D548" s="54"/>
      <c r="E548" s="51"/>
      <c r="F548" s="2"/>
      <c r="G548" s="54"/>
      <c r="H548" s="51"/>
      <c r="I548" s="2"/>
      <c r="J548" s="54"/>
      <c r="K548" s="52"/>
      <c r="L548" s="55"/>
      <c r="T548" s="4" t="str">
        <f t="shared" si="31"/>
        <v/>
      </c>
      <c r="U548" s="4" t="str">
        <f t="shared" si="30"/>
        <v/>
      </c>
    </row>
    <row r="549" spans="1:21" x14ac:dyDescent="0.25">
      <c r="A549" s="50"/>
      <c r="B549" s="51"/>
      <c r="C549" s="2"/>
      <c r="D549" s="54"/>
      <c r="E549" s="51"/>
      <c r="F549" s="2"/>
      <c r="G549" s="54"/>
      <c r="H549" s="51"/>
      <c r="I549" s="2"/>
      <c r="J549" s="54"/>
      <c r="K549" s="52"/>
      <c r="L549" s="55"/>
      <c r="T549" s="4" t="str">
        <f t="shared" si="31"/>
        <v/>
      </c>
      <c r="U549" s="4" t="str">
        <f t="shared" si="30"/>
        <v/>
      </c>
    </row>
    <row r="550" spans="1:21" x14ac:dyDescent="0.25">
      <c r="A550" s="50"/>
      <c r="B550" s="51"/>
      <c r="C550" s="2"/>
      <c r="D550" s="54"/>
      <c r="E550" s="51"/>
      <c r="F550" s="2"/>
      <c r="G550" s="54"/>
      <c r="H550" s="51"/>
      <c r="I550" s="2"/>
      <c r="J550" s="54"/>
      <c r="K550" s="52"/>
      <c r="L550" s="55"/>
      <c r="T550" s="4" t="str">
        <f t="shared" si="31"/>
        <v/>
      </c>
      <c r="U550" s="4" t="str">
        <f t="shared" si="30"/>
        <v/>
      </c>
    </row>
    <row r="551" spans="1:21" x14ac:dyDescent="0.25">
      <c r="A551" s="50"/>
      <c r="B551" s="51"/>
      <c r="C551" s="2"/>
      <c r="D551" s="54"/>
      <c r="E551" s="51"/>
      <c r="F551" s="2"/>
      <c r="G551" s="54"/>
      <c r="H551" s="51"/>
      <c r="I551" s="2"/>
      <c r="J551" s="54"/>
      <c r="K551" s="52"/>
      <c r="L551" s="55"/>
      <c r="T551" s="4" t="str">
        <f t="shared" si="31"/>
        <v/>
      </c>
      <c r="U551" s="4" t="str">
        <f t="shared" si="30"/>
        <v/>
      </c>
    </row>
    <row r="552" spans="1:21" x14ac:dyDescent="0.25">
      <c r="A552" s="50"/>
      <c r="B552" s="51"/>
      <c r="C552" s="2"/>
      <c r="D552" s="54"/>
      <c r="E552" s="51"/>
      <c r="F552" s="2"/>
      <c r="G552" s="54"/>
      <c r="H552" s="51"/>
      <c r="I552" s="2"/>
      <c r="J552" s="54"/>
      <c r="K552" s="52"/>
      <c r="L552" s="55"/>
      <c r="T552" s="4" t="str">
        <f t="shared" si="31"/>
        <v/>
      </c>
      <c r="U552" s="4" t="str">
        <f t="shared" si="30"/>
        <v/>
      </c>
    </row>
    <row r="553" spans="1:21" x14ac:dyDescent="0.25">
      <c r="A553" s="50"/>
      <c r="B553" s="51"/>
      <c r="C553" s="2"/>
      <c r="D553" s="54"/>
      <c r="E553" s="51"/>
      <c r="F553" s="2"/>
      <c r="G553" s="54"/>
      <c r="H553" s="51"/>
      <c r="I553" s="2"/>
      <c r="J553" s="54"/>
      <c r="K553" s="52"/>
      <c r="L553" s="55"/>
      <c r="T553" s="4" t="str">
        <f t="shared" si="31"/>
        <v/>
      </c>
      <c r="U553" s="4" t="str">
        <f t="shared" si="30"/>
        <v/>
      </c>
    </row>
    <row r="554" spans="1:21" x14ac:dyDescent="0.25">
      <c r="A554" s="50"/>
      <c r="B554" s="51"/>
      <c r="C554" s="2"/>
      <c r="D554" s="54"/>
      <c r="E554" s="51"/>
      <c r="F554" s="2"/>
      <c r="G554" s="54"/>
      <c r="H554" s="51"/>
      <c r="I554" s="2"/>
      <c r="J554" s="54"/>
      <c r="K554" s="52"/>
      <c r="L554" s="55"/>
      <c r="T554" s="4" t="str">
        <f t="shared" si="31"/>
        <v/>
      </c>
      <c r="U554" s="4" t="str">
        <f t="shared" si="30"/>
        <v/>
      </c>
    </row>
    <row r="555" spans="1:21" x14ac:dyDescent="0.25">
      <c r="T555" s="4" t="str">
        <f t="shared" si="31"/>
        <v/>
      </c>
      <c r="U555" s="4" t="str">
        <f t="shared" si="30"/>
        <v/>
      </c>
    </row>
    <row r="556" spans="1:21" x14ac:dyDescent="0.25">
      <c r="T556" s="4" t="str">
        <f t="shared" si="31"/>
        <v/>
      </c>
      <c r="U556" s="4" t="str">
        <f t="shared" si="30"/>
        <v/>
      </c>
    </row>
    <row r="557" spans="1:21" x14ac:dyDescent="0.25">
      <c r="T557" s="4" t="str">
        <f t="shared" si="31"/>
        <v/>
      </c>
      <c r="U557" s="4" t="str">
        <f t="shared" si="30"/>
        <v/>
      </c>
    </row>
    <row r="558" spans="1:21" x14ac:dyDescent="0.25">
      <c r="T558" s="4" t="str">
        <f t="shared" si="31"/>
        <v/>
      </c>
      <c r="U558" s="4" t="str">
        <f t="shared" si="30"/>
        <v/>
      </c>
    </row>
    <row r="559" spans="1:21" x14ac:dyDescent="0.25">
      <c r="T559" s="4" t="str">
        <f t="shared" si="31"/>
        <v/>
      </c>
      <c r="U559" s="4" t="str">
        <f t="shared" si="30"/>
        <v/>
      </c>
    </row>
    <row r="560" spans="1:21" x14ac:dyDescent="0.25">
      <c r="T560" s="4" t="str">
        <f t="shared" si="31"/>
        <v/>
      </c>
      <c r="U560" s="4" t="str">
        <f t="shared" si="30"/>
        <v/>
      </c>
    </row>
    <row r="561" spans="20:21" x14ac:dyDescent="0.25">
      <c r="T561" s="4" t="str">
        <f t="shared" si="31"/>
        <v/>
      </c>
      <c r="U561" s="4" t="str">
        <f t="shared" si="30"/>
        <v/>
      </c>
    </row>
    <row r="562" spans="20:21" x14ac:dyDescent="0.25">
      <c r="T562" s="4" t="str">
        <f t="shared" si="31"/>
        <v/>
      </c>
      <c r="U562" s="4" t="str">
        <f t="shared" si="30"/>
        <v/>
      </c>
    </row>
    <row r="563" spans="20:21" x14ac:dyDescent="0.25">
      <c r="T563" s="4" t="str">
        <f t="shared" si="31"/>
        <v/>
      </c>
      <c r="U563" s="4" t="str">
        <f t="shared" si="30"/>
        <v/>
      </c>
    </row>
    <row r="564" spans="20:21" x14ac:dyDescent="0.25">
      <c r="T564" s="4" t="str">
        <f t="shared" si="31"/>
        <v/>
      </c>
      <c r="U564" s="4" t="str">
        <f t="shared" si="30"/>
        <v/>
      </c>
    </row>
    <row r="565" spans="20:21" x14ac:dyDescent="0.25">
      <c r="T565" s="4" t="str">
        <f t="shared" si="31"/>
        <v/>
      </c>
      <c r="U565" s="4" t="str">
        <f t="shared" si="30"/>
        <v/>
      </c>
    </row>
    <row r="566" spans="20:21" x14ac:dyDescent="0.25">
      <c r="T566" s="4" t="str">
        <f t="shared" si="31"/>
        <v/>
      </c>
      <c r="U566" s="4" t="str">
        <f t="shared" si="30"/>
        <v/>
      </c>
    </row>
    <row r="567" spans="20:21" x14ac:dyDescent="0.25">
      <c r="T567" s="4" t="str">
        <f t="shared" si="31"/>
        <v/>
      </c>
      <c r="U567" s="4" t="str">
        <f t="shared" si="30"/>
        <v/>
      </c>
    </row>
    <row r="568" spans="20:21" x14ac:dyDescent="0.25">
      <c r="T568" s="4" t="str">
        <f>IF(COUNTIF(P:P,N568)*COUNTIF(R:R,N568),N568,"")</f>
        <v/>
      </c>
      <c r="U568" s="4" t="str">
        <f t="shared" si="30"/>
        <v/>
      </c>
    </row>
    <row r="569" spans="20:21" x14ac:dyDescent="0.25">
      <c r="T569" s="4" t="str">
        <f>IF(COUNTIF(P:P,N569)*COUNTIF(R:R,N569),N569,"")</f>
        <v/>
      </c>
      <c r="U569" s="4" t="str">
        <f t="shared" si="30"/>
        <v/>
      </c>
    </row>
  </sheetData>
  <mergeCells count="3">
    <mergeCell ref="B12:D12"/>
    <mergeCell ref="E12:G12"/>
    <mergeCell ref="H12:J12"/>
  </mergeCells>
  <conditionalFormatting sqref="M1 M7:M11 L12:L554 M50:M100 AH63:AH77 M116:M1048576">
    <cfRule type="cellIs" dxfId="2" priority="1" operator="lessThan">
      <formula>0</formula>
    </cfRule>
  </conditionalFormatting>
  <hyperlinks>
    <hyperlink ref="D4" r:id="rId1" xr:uid="{FF5DB2F5-725E-4AF5-B5EE-D3F7A4E9E595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36AA8-C49A-4D6B-8EE1-CEE0819F0277}">
  <dimension ref="A1:AE569"/>
  <sheetViews>
    <sheetView topLeftCell="A29" zoomScale="80" zoomScaleNormal="80" workbookViewId="0">
      <selection activeCell="K35" sqref="K35"/>
    </sheetView>
  </sheetViews>
  <sheetFormatPr defaultColWidth="9.140625" defaultRowHeight="15" x14ac:dyDescent="0.25"/>
  <cols>
    <col min="1" max="1" width="18.140625" style="4" bestFit="1" customWidth="1"/>
    <col min="2" max="2" width="17.7109375" style="5" bestFit="1" customWidth="1"/>
    <col min="3" max="3" width="16.7109375" style="5" bestFit="1" customWidth="1"/>
    <col min="4" max="4" width="16.7109375" style="56" bestFit="1" customWidth="1"/>
    <col min="5" max="5" width="6.85546875" style="5" bestFit="1" customWidth="1"/>
    <col min="6" max="6" width="13.42578125" style="5" bestFit="1" customWidth="1"/>
    <col min="7" max="7" width="10" style="5" bestFit="1" customWidth="1"/>
    <col min="8" max="8" width="7.7109375" style="5" bestFit="1" customWidth="1"/>
    <col min="9" max="10" width="10" style="5" bestFit="1" customWidth="1"/>
    <col min="11" max="11" width="12.85546875" style="12" bestFit="1" customWidth="1"/>
    <col min="12" max="12" width="10.5703125" style="5" bestFit="1" customWidth="1"/>
    <col min="13" max="13" width="14.7109375" style="12" customWidth="1"/>
    <col min="14" max="14" width="18.140625" style="4" bestFit="1" customWidth="1"/>
    <col min="15" max="15" width="8.7109375" style="5" bestFit="1" customWidth="1"/>
    <col min="16" max="16" width="18.140625" style="4" bestFit="1" customWidth="1"/>
    <col min="17" max="17" width="10" style="5" bestFit="1" customWidth="1"/>
    <col min="18" max="18" width="18.140625" style="4" bestFit="1" customWidth="1"/>
    <col min="19" max="19" width="13.5703125" style="5" bestFit="1" customWidth="1"/>
    <col min="20" max="22" width="18.140625" style="4" bestFit="1" customWidth="1"/>
    <col min="23" max="23" width="9.140625" style="4"/>
    <col min="24" max="24" width="9.140625" style="5"/>
    <col min="25" max="25" width="26.28515625" style="20" bestFit="1" customWidth="1"/>
    <col min="26" max="26" width="11.5703125" style="67" bestFit="1" customWidth="1"/>
    <col min="27" max="27" width="9.140625" style="5"/>
    <col min="29" max="16384" width="9.140625" style="5"/>
  </cols>
  <sheetData>
    <row r="1" spans="1:27" ht="15.75" thickBot="1" x14ac:dyDescent="0.3">
      <c r="A1" s="1"/>
      <c r="B1" s="1"/>
      <c r="C1" s="1"/>
      <c r="D1" s="2"/>
      <c r="E1" s="1"/>
      <c r="F1" s="1"/>
      <c r="G1" s="1"/>
      <c r="H1" s="1"/>
      <c r="I1" s="1"/>
      <c r="J1" s="1"/>
      <c r="K1" s="3"/>
      <c r="L1" s="1"/>
      <c r="M1" s="1"/>
      <c r="T1" s="4">
        <f>15*10</f>
        <v>150</v>
      </c>
      <c r="V1" s="4" cm="1">
        <f t="array" ref="V1">LOOKUP(2,1/(V:V&lt;&gt;""),V:V)</f>
        <v>46080.625</v>
      </c>
    </row>
    <row r="2" spans="1:27" ht="15.75" thickBot="1" x14ac:dyDescent="0.3">
      <c r="A2" s="6"/>
      <c r="B2" s="7" t="s">
        <v>0</v>
      </c>
      <c r="C2" s="8" t="s">
        <v>1</v>
      </c>
      <c r="D2" s="9" t="s">
        <v>0</v>
      </c>
      <c r="E2" s="1"/>
      <c r="F2" s="10"/>
      <c r="G2" s="11"/>
      <c r="H2" s="1"/>
      <c r="M2" s="5"/>
      <c r="N2" s="13" t="s">
        <v>0</v>
      </c>
      <c r="P2" s="14" t="s">
        <v>1</v>
      </c>
      <c r="R2" s="15" t="s">
        <v>1</v>
      </c>
      <c r="V2" s="5" cm="1">
        <f t="array" ref="V2:V41">_xlfn.UNIQUE(U:U)</f>
        <v>0</v>
      </c>
    </row>
    <row r="3" spans="1:27" x14ac:dyDescent="0.25">
      <c r="A3" s="6" t="s">
        <v>2</v>
      </c>
      <c r="B3" s="16" t="s">
        <v>3</v>
      </c>
      <c r="C3" s="17" t="s">
        <v>4</v>
      </c>
      <c r="D3" s="6" t="s">
        <v>5</v>
      </c>
      <c r="F3" s="21"/>
      <c r="M3" s="5"/>
      <c r="N3" s="4" cm="1">
        <f t="array" ref="N3:O107">_xll.BDH(B4, "LAST_PRICE", "01/01/2025 15:00:00", "01/01/2035 16:00:00", "BarSize=60", "BarType=T", "RecurDaily=True", "TZ=New_York")</f>
        <v>45922.625</v>
      </c>
      <c r="O3" s="5">
        <v>51.533999999999999</v>
      </c>
      <c r="P3" s="4" cm="1">
        <f t="array" ref="P3:Q135">_xll.BDH(C4, "LAST_PRICE", "01/01/2025 15:00:00", "01/01/2035 16:00:00", "BarSize=60", "BarType=T", "RecurDaily=True", "TZ=New_York")</f>
        <v>45884.625</v>
      </c>
      <c r="Q3" s="5">
        <v>83.06</v>
      </c>
      <c r="R3" s="4" cm="1">
        <f t="array" ref="R3:S48">_xll.BDH(D4, "LAST_PRICE", "01/01/2025 15:00:00", "01/01/2035 16:00:00", "BarSize=60", "BarType=T", "RecurDaily=True", "TZ=New_York")</f>
        <v>46016.625</v>
      </c>
      <c r="S3" s="5">
        <v>99.734375</v>
      </c>
      <c r="T3" s="4" t="str">
        <f>IF(COUNTIF(P:P,N3)*COUNTIF(R:R,N3),N3,"")</f>
        <v/>
      </c>
      <c r="U3" s="4" t="str">
        <f t="shared" ref="U3:U66" si="0">IF(T3&gt;$A$14,T3,"")</f>
        <v/>
      </c>
      <c r="V3" s="4" t="str">
        <v/>
      </c>
    </row>
    <row r="4" spans="1:27" ht="30" customHeight="1" thickBot="1" x14ac:dyDescent="0.3">
      <c r="A4" s="16" t="s">
        <v>6</v>
      </c>
      <c r="B4" s="18" t="s">
        <v>7</v>
      </c>
      <c r="C4" s="18" t="s">
        <v>8</v>
      </c>
      <c r="D4" s="19" t="s">
        <v>9</v>
      </c>
      <c r="G4" s="20"/>
      <c r="I4" s="21"/>
      <c r="M4" s="5"/>
      <c r="N4" s="4">
        <v>45923.625</v>
      </c>
      <c r="O4" s="5">
        <v>52.084000000000003</v>
      </c>
      <c r="P4" s="4">
        <v>45887.625</v>
      </c>
      <c r="Q4" s="5">
        <v>82.96</v>
      </c>
      <c r="R4" s="4">
        <v>46017.625</v>
      </c>
      <c r="S4" s="5">
        <v>99.859375</v>
      </c>
      <c r="T4" s="4" t="str">
        <f t="shared" ref="T4:T67" si="1">IF(COUNTIF(P:P,N4)*COUNTIF(R:R,N4),N4,"")</f>
        <v/>
      </c>
      <c r="U4" s="4" t="str">
        <f t="shared" si="0"/>
        <v/>
      </c>
      <c r="V4" s="4">
        <v>46027.625</v>
      </c>
      <c r="Y4" s="20" t="s">
        <v>40</v>
      </c>
    </row>
    <row r="5" spans="1:27" x14ac:dyDescent="0.25">
      <c r="A5" s="16" t="s">
        <v>10</v>
      </c>
      <c r="B5" s="61">
        <f>10*10^6</f>
        <v>10000000</v>
      </c>
      <c r="C5" s="62">
        <f>3.4*10^6</f>
        <v>3400000</v>
      </c>
      <c r="D5" s="62">
        <f>2.6*10^6</f>
        <v>2600000</v>
      </c>
      <c r="F5" s="22" t="s">
        <v>11</v>
      </c>
      <c r="G5" s="23"/>
      <c r="M5" s="5"/>
      <c r="N5" s="4">
        <v>45924.625</v>
      </c>
      <c r="O5" s="5">
        <v>52.649000000000001</v>
      </c>
      <c r="P5" s="4">
        <v>45888.625</v>
      </c>
      <c r="Q5" s="5">
        <v>83.08</v>
      </c>
      <c r="R5" s="4">
        <v>46020.625</v>
      </c>
      <c r="S5" s="5">
        <v>100</v>
      </c>
      <c r="T5" s="4" t="str">
        <f t="shared" si="1"/>
        <v/>
      </c>
      <c r="U5" s="4" t="str">
        <f t="shared" si="0"/>
        <v/>
      </c>
      <c r="V5" s="4">
        <v>46028.625</v>
      </c>
      <c r="Y5" s="20" t="s">
        <v>41</v>
      </c>
      <c r="Z5" s="67">
        <v>46024.625</v>
      </c>
      <c r="AA5" s="5">
        <v>4553.4773333333133</v>
      </c>
    </row>
    <row r="6" spans="1:27" x14ac:dyDescent="0.25">
      <c r="A6" s="16" t="s">
        <v>12</v>
      </c>
      <c r="B6" s="24">
        <v>0.01</v>
      </c>
      <c r="C6" s="25">
        <v>0</v>
      </c>
      <c r="D6" s="26">
        <f>(3+7/8)*0.01</f>
        <v>3.875E-2</v>
      </c>
      <c r="F6" s="27">
        <v>46055</v>
      </c>
      <c r="G6" s="28">
        <v>0.33</v>
      </c>
      <c r="M6" s="5"/>
      <c r="N6" s="4">
        <v>45925.625</v>
      </c>
      <c r="O6" s="5">
        <v>53.47</v>
      </c>
      <c r="P6" s="4">
        <v>45889.625</v>
      </c>
      <c r="Q6" s="5">
        <v>83.11</v>
      </c>
      <c r="R6" s="4">
        <v>46021.625</v>
      </c>
      <c r="S6" s="5">
        <v>99.90625</v>
      </c>
      <c r="T6" s="4" t="str">
        <f t="shared" si="1"/>
        <v/>
      </c>
      <c r="U6" s="4" t="str">
        <f t="shared" si="0"/>
        <v/>
      </c>
      <c r="V6" s="4">
        <v>46029.625</v>
      </c>
      <c r="Y6" s="20" t="s">
        <v>42</v>
      </c>
      <c r="Z6" s="67">
        <v>46027.625</v>
      </c>
      <c r="AA6" s="5">
        <v>5998.3591111110918</v>
      </c>
    </row>
    <row r="7" spans="1:27" ht="15.75" thickBot="1" x14ac:dyDescent="0.3">
      <c r="A7" s="16" t="s">
        <v>13</v>
      </c>
      <c r="B7" s="25">
        <v>0</v>
      </c>
      <c r="C7" s="25">
        <v>3.9699999999999999E-2</v>
      </c>
      <c r="D7" s="26">
        <v>3.9699999999999999E-2</v>
      </c>
      <c r="E7" s="1"/>
      <c r="F7" s="29" t="s">
        <v>14</v>
      </c>
      <c r="G7" s="30">
        <f>C5/E14</f>
        <v>40601.862909004063</v>
      </c>
      <c r="H7" s="1"/>
      <c r="M7" s="5"/>
      <c r="N7" s="4">
        <v>45926.625</v>
      </c>
      <c r="O7" s="5">
        <v>52.851999999999997</v>
      </c>
      <c r="P7" s="4">
        <v>45890.625</v>
      </c>
      <c r="Q7" s="5">
        <v>82.86</v>
      </c>
      <c r="R7" s="4">
        <v>46023.625</v>
      </c>
      <c r="S7" s="5">
        <v>99.609375</v>
      </c>
      <c r="T7" s="4" t="str">
        <f t="shared" si="1"/>
        <v/>
      </c>
      <c r="U7" s="4" t="str">
        <f t="shared" si="0"/>
        <v/>
      </c>
      <c r="V7" s="4">
        <v>46030.625</v>
      </c>
      <c r="Y7" s="20" t="s">
        <v>43</v>
      </c>
      <c r="Z7" s="67">
        <v>46028.625</v>
      </c>
      <c r="AA7" s="5">
        <v>3704.8608888888689</v>
      </c>
    </row>
    <row r="8" spans="1:27" x14ac:dyDescent="0.25">
      <c r="A8" s="16" t="s">
        <v>15</v>
      </c>
      <c r="B8" s="16">
        <v>4.5590000000000002</v>
      </c>
      <c r="C8" s="17"/>
      <c r="D8" s="16"/>
      <c r="E8" s="1"/>
      <c r="H8" s="1"/>
      <c r="I8" s="1"/>
      <c r="J8" s="1"/>
      <c r="K8" s="3"/>
      <c r="L8" s="1"/>
      <c r="M8" s="1"/>
      <c r="N8" s="4">
        <v>45929.625</v>
      </c>
      <c r="O8" s="5">
        <v>52.11</v>
      </c>
      <c r="P8" s="4">
        <v>45891.625</v>
      </c>
      <c r="Q8" s="5">
        <v>83.38</v>
      </c>
      <c r="R8" s="4">
        <v>46024.625</v>
      </c>
      <c r="S8" s="5">
        <v>99.515625</v>
      </c>
      <c r="T8" s="4" t="str">
        <f t="shared" si="1"/>
        <v/>
      </c>
      <c r="U8" s="4" t="str">
        <f t="shared" si="0"/>
        <v/>
      </c>
      <c r="V8" s="4">
        <v>46031.625</v>
      </c>
      <c r="Y8" s="20" t="s">
        <v>44</v>
      </c>
      <c r="Z8" s="67">
        <v>46029.625</v>
      </c>
      <c r="AA8" s="5">
        <v>5628.4376666666658</v>
      </c>
    </row>
    <row r="9" spans="1:27" x14ac:dyDescent="0.25">
      <c r="A9" s="16" t="s">
        <v>16</v>
      </c>
      <c r="B9" s="31" cm="1">
        <f t="array" ref="B9">_xll.BDP(B4,"PX_LAST")</f>
        <v>55.950740000000003</v>
      </c>
      <c r="C9" s="31" cm="1">
        <f t="array" ref="C9">_xll.BDP(C4,"PX_LAST")</f>
        <v>84.72</v>
      </c>
      <c r="D9" s="31" cm="1">
        <f t="array" ref="D9">_xll.BDP(D4,"PX_LAST")</f>
        <v>101.140625</v>
      </c>
      <c r="E9" s="1"/>
      <c r="F9" s="2"/>
      <c r="G9" s="1"/>
      <c r="H9" s="1"/>
      <c r="I9" s="1"/>
      <c r="J9" s="1"/>
      <c r="K9" s="3"/>
      <c r="L9" s="1"/>
      <c r="M9" s="1"/>
      <c r="N9" s="4">
        <v>45930.625</v>
      </c>
      <c r="O9" s="5">
        <v>51.91</v>
      </c>
      <c r="P9" s="4">
        <v>45894.625</v>
      </c>
      <c r="Q9" s="5">
        <v>83.23</v>
      </c>
      <c r="R9" s="4">
        <v>46027.625</v>
      </c>
      <c r="S9" s="5">
        <v>99.734375</v>
      </c>
      <c r="T9" s="4" t="str">
        <f t="shared" si="1"/>
        <v/>
      </c>
      <c r="U9" s="4" t="str">
        <f t="shared" si="0"/>
        <v/>
      </c>
      <c r="V9" s="4">
        <v>46034.625</v>
      </c>
      <c r="Y9" s="20" t="s">
        <v>45</v>
      </c>
      <c r="Z9" s="67">
        <v>46030.625</v>
      </c>
      <c r="AA9" s="5">
        <v>6722.2764444444201</v>
      </c>
    </row>
    <row r="10" spans="1:27" ht="15.75" thickBot="1" x14ac:dyDescent="0.3">
      <c r="A10" s="32"/>
      <c r="B10" s="33"/>
      <c r="C10" s="34"/>
      <c r="D10" s="33"/>
      <c r="E10" s="1"/>
      <c r="F10" s="1"/>
      <c r="G10" s="1"/>
      <c r="H10" s="1"/>
      <c r="I10" s="1"/>
      <c r="J10" s="1"/>
      <c r="K10" s="3"/>
      <c r="L10" s="1"/>
      <c r="M10" s="1"/>
      <c r="N10" s="4">
        <v>45931.625</v>
      </c>
      <c r="O10" s="5">
        <v>52.023000000000003</v>
      </c>
      <c r="P10" s="4">
        <v>45895.625</v>
      </c>
      <c r="Q10" s="5">
        <v>83.36</v>
      </c>
      <c r="R10" s="4">
        <v>46028.625</v>
      </c>
      <c r="S10" s="5">
        <v>99.71875</v>
      </c>
      <c r="T10" s="4" t="str">
        <f t="shared" si="1"/>
        <v/>
      </c>
      <c r="U10" s="4" t="str">
        <f t="shared" si="0"/>
        <v/>
      </c>
      <c r="V10" s="4">
        <v>46035.625</v>
      </c>
      <c r="Y10" s="20" t="s">
        <v>46</v>
      </c>
      <c r="Z10" s="67">
        <v>46031.625</v>
      </c>
      <c r="AA10" s="5">
        <v>8057.0997777777839</v>
      </c>
    </row>
    <row r="11" spans="1:27" ht="15.75" thickBot="1" x14ac:dyDescent="0.3">
      <c r="A11" s="1"/>
      <c r="B11" s="1"/>
      <c r="C11" s="1"/>
      <c r="D11" s="2"/>
      <c r="E11" s="1"/>
      <c r="F11" s="1"/>
      <c r="G11" s="1"/>
      <c r="H11" s="1"/>
      <c r="I11" s="1"/>
      <c r="J11" s="1"/>
      <c r="K11" s="3"/>
      <c r="L11" s="1"/>
      <c r="M11" s="1"/>
      <c r="N11" s="4">
        <v>45932.625</v>
      </c>
      <c r="O11" s="5">
        <v>51.573</v>
      </c>
      <c r="P11" s="4">
        <v>45896.625</v>
      </c>
      <c r="Q11" s="5">
        <v>83.46</v>
      </c>
      <c r="R11" s="4">
        <v>46029.625</v>
      </c>
      <c r="S11" s="5">
        <v>99.84375</v>
      </c>
      <c r="T11" s="4" t="str">
        <f t="shared" si="1"/>
        <v/>
      </c>
      <c r="U11" s="4" t="str">
        <f t="shared" si="0"/>
        <v/>
      </c>
      <c r="V11" s="4">
        <v>46036.625</v>
      </c>
      <c r="Y11" s="20" t="s">
        <v>47</v>
      </c>
      <c r="Z11" s="67">
        <v>46034.625</v>
      </c>
      <c r="AA11" s="5">
        <v>7350.133555555557</v>
      </c>
    </row>
    <row r="12" spans="1:27" ht="15.75" thickBot="1" x14ac:dyDescent="0.3">
      <c r="A12" s="35" t="s">
        <v>17</v>
      </c>
      <c r="B12" s="36" t="s">
        <v>0</v>
      </c>
      <c r="C12" s="37"/>
      <c r="D12" s="38"/>
      <c r="E12" s="39" t="s">
        <v>1</v>
      </c>
      <c r="F12" s="40"/>
      <c r="G12" s="41"/>
      <c r="H12" s="42" t="s">
        <v>0</v>
      </c>
      <c r="I12" s="43"/>
      <c r="J12" s="44"/>
      <c r="K12" s="45" t="s">
        <v>18</v>
      </c>
      <c r="L12" s="35" t="s">
        <v>19</v>
      </c>
      <c r="N12" s="4">
        <v>45933.625</v>
      </c>
      <c r="O12" s="5">
        <v>51.512999999999998</v>
      </c>
      <c r="P12" s="4">
        <v>45897.625</v>
      </c>
      <c r="Q12" s="5">
        <v>83.53</v>
      </c>
      <c r="R12" s="4">
        <v>46030.625</v>
      </c>
      <c r="S12" s="5">
        <v>99.546875</v>
      </c>
      <c r="T12" s="4" t="str">
        <f t="shared" si="1"/>
        <v/>
      </c>
      <c r="U12" s="4" t="str">
        <f t="shared" si="0"/>
        <v/>
      </c>
      <c r="V12" s="4">
        <v>46037.625</v>
      </c>
      <c r="Y12" s="20" t="s">
        <v>48</v>
      </c>
      <c r="Z12" s="67">
        <v>46035.625</v>
      </c>
      <c r="AA12" s="5">
        <v>6606.6953333333167</v>
      </c>
    </row>
    <row r="13" spans="1:27" ht="15.75" thickBot="1" x14ac:dyDescent="0.3">
      <c r="A13" s="32"/>
      <c r="B13" s="46" t="s">
        <v>20</v>
      </c>
      <c r="C13" s="47" t="s">
        <v>21</v>
      </c>
      <c r="D13" s="48" t="s">
        <v>22</v>
      </c>
      <c r="E13" s="46" t="s">
        <v>20</v>
      </c>
      <c r="F13" s="47" t="s">
        <v>21</v>
      </c>
      <c r="G13" s="48" t="s">
        <v>22</v>
      </c>
      <c r="H13" s="46" t="s">
        <v>20</v>
      </c>
      <c r="I13" s="47" t="s">
        <v>21</v>
      </c>
      <c r="J13" s="48" t="s">
        <v>22</v>
      </c>
      <c r="K13" s="49"/>
      <c r="L13" s="32"/>
      <c r="N13" s="4">
        <v>45936.625</v>
      </c>
      <c r="O13" s="5">
        <v>50.932000000000002</v>
      </c>
      <c r="P13" s="4">
        <v>45898.625</v>
      </c>
      <c r="Q13" s="5">
        <v>83.42</v>
      </c>
      <c r="R13" s="4">
        <v>46031.625</v>
      </c>
      <c r="S13" s="5">
        <v>99.5625</v>
      </c>
      <c r="T13" s="4" t="str">
        <f t="shared" si="1"/>
        <v/>
      </c>
      <c r="U13" s="4" t="str">
        <f t="shared" si="0"/>
        <v/>
      </c>
      <c r="V13" s="4">
        <v>46038.625</v>
      </c>
      <c r="Y13" s="20" t="s">
        <v>49</v>
      </c>
      <c r="Z13" s="67">
        <v>46036.625</v>
      </c>
      <c r="AA13" s="5">
        <v>8844.8431111110931</v>
      </c>
    </row>
    <row r="14" spans="1:27" x14ac:dyDescent="0.25">
      <c r="A14" s="50">
        <v>46024.625</v>
      </c>
      <c r="B14" s="51">
        <v>50.140999999999998</v>
      </c>
      <c r="C14" s="2"/>
      <c r="D14" s="17"/>
      <c r="E14" s="51">
        <v>83.74</v>
      </c>
      <c r="F14" s="1"/>
      <c r="G14" s="17"/>
      <c r="H14" s="51">
        <v>99.515625</v>
      </c>
      <c r="I14" s="1"/>
      <c r="J14" s="17"/>
      <c r="K14" s="52"/>
      <c r="L14" s="53">
        <v>0</v>
      </c>
      <c r="M14" s="12">
        <f ca="1">C15+D15</f>
        <v>4553.4773333333133</v>
      </c>
      <c r="N14" s="4">
        <v>45937.625</v>
      </c>
      <c r="O14" s="5">
        <v>51.51</v>
      </c>
      <c r="P14" s="4">
        <v>45902.625</v>
      </c>
      <c r="Q14" s="5">
        <v>82.9</v>
      </c>
      <c r="R14" s="4">
        <v>46034.625</v>
      </c>
      <c r="S14" s="5">
        <v>99.46875</v>
      </c>
      <c r="T14" s="4" t="str">
        <f t="shared" si="1"/>
        <v/>
      </c>
      <c r="U14" s="4" t="str">
        <f t="shared" si="0"/>
        <v/>
      </c>
      <c r="V14" s="4">
        <v>46042.625</v>
      </c>
      <c r="Y14" s="20" t="s">
        <v>50</v>
      </c>
      <c r="Z14" s="67">
        <v>46037.625</v>
      </c>
      <c r="AA14" s="5">
        <v>10503.997888888891</v>
      </c>
    </row>
    <row r="15" spans="1:27" x14ac:dyDescent="0.25">
      <c r="A15" s="50">
        <f ca="1">IF(AND(ISBLANK(V4), A14 = $V$1),NOW(),IF(ISBLANK(V4),"",V4))</f>
        <v>46027.625</v>
      </c>
      <c r="B15" s="51">
        <f ca="1">IF(COUNTIF($V$2:V1000,A15)=1,VLOOKUP(A15,N:O,2), IF(COUNTIF($V$2:V1000,A15)=0,$B$9,""))</f>
        <v>49.325000000000003</v>
      </c>
      <c r="C15" s="2">
        <f ca="1">IF(ISERROR(B15-2),"",-1*(B15-$B$14)*10^(-4)*$B$8*$B$5)</f>
        <v>3720.1439999999798</v>
      </c>
      <c r="D15" s="54">
        <f ca="1">IF(ISERROR(B15-2),"",(INT(A15)-INT($A$14))/360*$B$5*$B$6)</f>
        <v>833.33333333333326</v>
      </c>
      <c r="E15" s="51">
        <f ca="1">IF(COUNTIF($V$2:V1000,A15)=1,VLOOKUP(A15,P:Q,2), IF(COUNTIF($V$2:V1000,A15)=0,$C$9,""))</f>
        <v>83.92</v>
      </c>
      <c r="F15" s="2">
        <f ca="1">IF(ISERROR(B15-2),"",(E15/$E$14-1)*$C$5)</f>
        <v>7308.3353236211406</v>
      </c>
      <c r="G15" s="54">
        <f ca="1">IF(ISERROR(B15-2),"",(INT(A15)-INT($A$14))/360*$C$6*$C$5-(INT(A15)-INT($A$14))/360*$C$7*$C$5)</f>
        <v>-1124.8333333333333</v>
      </c>
      <c r="H15" s="51">
        <f ca="1">IF(COUNTIF($V$2:V1000,A15)=1,VLOOKUP(A15,R:S,2), IF(COUNTIF($V$2:V1000,A15)=0,$D$9,""))</f>
        <v>99.734375</v>
      </c>
      <c r="I15" s="2">
        <f ca="1">IF(ISERROR(B15-2),"",(H15-$H$14)/100*$D$5)</f>
        <v>5687.5000000000009</v>
      </c>
      <c r="J15" s="54">
        <f ca="1">IF(ISERROR(B15-2),"",(INT(A15)-INT($A$14))/360*$D$6*$D$5 - (INT(A15)-INT($A$14))/360*$D$7*$D$5*$H$14/100)</f>
        <v>-16.41690104166662</v>
      </c>
      <c r="K15" s="52"/>
      <c r="L15" s="55">
        <f ca="1">IF(ISERROR(B15-2),"",C15+D15-F15-G15+I15+J15-SUM($K$14:K15))</f>
        <v>4041.0584420038399</v>
      </c>
      <c r="M15" s="12">
        <f t="shared" ref="M15:M53" ca="1" si="2">C16+D16</f>
        <v>5998.3591111110918</v>
      </c>
      <c r="N15" s="4">
        <v>45938.625</v>
      </c>
      <c r="O15" s="5">
        <v>51.826999999999998</v>
      </c>
      <c r="P15" s="4">
        <v>45903.625</v>
      </c>
      <c r="Q15" s="5">
        <v>83.2</v>
      </c>
      <c r="R15" s="4">
        <v>46035.625</v>
      </c>
      <c r="S15" s="5">
        <v>99.578125</v>
      </c>
      <c r="T15" s="4" t="str">
        <f t="shared" si="1"/>
        <v/>
      </c>
      <c r="U15" s="4" t="str">
        <f t="shared" si="0"/>
        <v/>
      </c>
      <c r="V15" s="4">
        <v>46043.625</v>
      </c>
      <c r="Y15" s="20" t="s">
        <v>51</v>
      </c>
      <c r="Z15" s="67">
        <v>46038.625</v>
      </c>
      <c r="AA15" s="5">
        <v>4252.3239999999932</v>
      </c>
    </row>
    <row r="16" spans="1:27" x14ac:dyDescent="0.25">
      <c r="A16" s="50">
        <f t="shared" ref="A16:A79" ca="1" si="3">IF(AND(ISBLANK(V5), A15 = $V$1),NOW(),IF(ISBLANK(V5),"",V5))</f>
        <v>46028.625</v>
      </c>
      <c r="B16" s="51">
        <f ca="1">IF(COUNTIF($V$2:V1001,A16)=1,VLOOKUP(A16,N:O,2), IF(COUNTIF($V$2:V1001,A16)=0,$B$9,""))</f>
        <v>49.069000000000003</v>
      </c>
      <c r="C16" s="2">
        <f t="shared" ref="C16:C79" ca="1" si="4">IF(ISERROR(B16-2),"",-1*(B16-$B$14)*10^(-4)*$B$8*$B$5)</f>
        <v>4887.2479999999805</v>
      </c>
      <c r="D16" s="54">
        <f t="shared" ref="D16:D79" ca="1" si="5">IF(ISERROR(B16-2),"",(INT(A16)-INT($A$14))/360*$B$5*$B$6)</f>
        <v>1111.1111111111111</v>
      </c>
      <c r="E16" s="51">
        <f ca="1">IF(COUNTIF($V$2:V1001,A16)=1,VLOOKUP(A16,P:Q,2), IF(COUNTIF($V$2:V1001,A16)=0,$C$9,""))</f>
        <v>83.94</v>
      </c>
      <c r="F16" s="2">
        <f t="shared" ref="F16:F79" ca="1" si="6">IF(ISERROR(B16-2),"",(E16/$E$14-1)*$C$5)</f>
        <v>8120.3725818011826</v>
      </c>
      <c r="G16" s="54">
        <f t="shared" ref="G16:G79" ca="1" si="7">IF(ISERROR(B16-2),"",(INT(A16)-INT($A$14))/360*$C$6*$C$5-(INT(A16)-INT($A$14))/360*$C$7*$C$5)</f>
        <v>-1499.7777777777778</v>
      </c>
      <c r="H16" s="51">
        <f ca="1">IF(COUNTIF($V$2:V1001,A16)=1,VLOOKUP(A16,R:S,2), IF(COUNTIF($V$2:V1001,A16)=0,$D$9,""))</f>
        <v>99.71875</v>
      </c>
      <c r="I16" s="2">
        <f t="shared" ref="I16:I79" ca="1" si="8">IF(ISERROR(B16-2),"",(H16-$H$14)/100*$D$5)</f>
        <v>5281.25</v>
      </c>
      <c r="J16" s="54">
        <f t="shared" ref="J16:J79" ca="1" si="9">IF(ISERROR(B16-2),"",(INT(A16)-INT($A$14))/360*$D$6*$D$5 - (INT(A16)-INT($A$14))/360*$D$7*$D$5*$H$14/100)</f>
        <v>-21.889201388888978</v>
      </c>
      <c r="K16" s="52"/>
      <c r="L16" s="55">
        <f ca="1">IF(ISERROR(B16-2),"",C16+D16-F16-G16+I16+J16-SUM($K$14:K16))</f>
        <v>4637.1251056987985</v>
      </c>
      <c r="M16" s="12">
        <f t="shared" ca="1" si="2"/>
        <v>3704.8608888888689</v>
      </c>
      <c r="N16" s="4">
        <v>45939.625</v>
      </c>
      <c r="O16" s="5">
        <v>52.374000000000002</v>
      </c>
      <c r="P16" s="4">
        <v>45904.625</v>
      </c>
      <c r="Q16" s="5">
        <v>83.66</v>
      </c>
      <c r="R16" s="4">
        <v>46036.625</v>
      </c>
      <c r="S16" s="5">
        <v>99.734375</v>
      </c>
      <c r="T16" s="4" t="str">
        <f t="shared" si="1"/>
        <v/>
      </c>
      <c r="U16" s="4" t="str">
        <f t="shared" si="0"/>
        <v/>
      </c>
      <c r="V16" s="4">
        <v>46044.625</v>
      </c>
      <c r="Y16" s="20" t="s">
        <v>52</v>
      </c>
      <c r="Z16" s="67">
        <v>46042.625</v>
      </c>
      <c r="AA16" s="5">
        <v>11040.353777777758</v>
      </c>
    </row>
    <row r="17" spans="1:27" x14ac:dyDescent="0.25">
      <c r="A17" s="50">
        <f t="shared" ca="1" si="3"/>
        <v>46029.625</v>
      </c>
      <c r="B17" s="51">
        <f ca="1">IF(COUNTIF($V$2:V1002,A17)=1,VLOOKUP(A17,N:O,2), IF(COUNTIF($V$2:V1002,A17)=0,$B$9,""))</f>
        <v>49.633000000000003</v>
      </c>
      <c r="C17" s="2">
        <f t="shared" ca="1" si="4"/>
        <v>2315.9719999999802</v>
      </c>
      <c r="D17" s="54">
        <f t="shared" ca="1" si="5"/>
        <v>1388.8888888888887</v>
      </c>
      <c r="E17" s="51">
        <f ca="1">IF(COUNTIF($V$2:V1002,A17)=1,VLOOKUP(A17,P:Q,2), IF(COUNTIF($V$2:V1002,A17)=0,$C$9,""))</f>
        <v>83.95</v>
      </c>
      <c r="F17" s="2">
        <f t="shared" ca="1" si="6"/>
        <v>8526.3912108908262</v>
      </c>
      <c r="G17" s="54">
        <f t="shared" ca="1" si="7"/>
        <v>-1874.7222222222219</v>
      </c>
      <c r="H17" s="51">
        <f ca="1">IF(COUNTIF($V$2:V1002,A17)=1,VLOOKUP(A17,R:S,2), IF(COUNTIF($V$2:V1002,A17)=0,$D$9,""))</f>
        <v>99.84375</v>
      </c>
      <c r="I17" s="2">
        <f t="shared" ca="1" si="8"/>
        <v>8531.25</v>
      </c>
      <c r="J17" s="54">
        <f t="shared" ca="1" si="9"/>
        <v>-27.36150173611054</v>
      </c>
      <c r="K17" s="52"/>
      <c r="L17" s="55">
        <f ca="1">IF(ISERROR(B17-2),"",C17+D17-F17-G17+I17+J17-SUM($K$14:K17))</f>
        <v>5557.0803984841532</v>
      </c>
      <c r="M17" s="12">
        <f t="shared" ca="1" si="2"/>
        <v>5628.4376666666658</v>
      </c>
      <c r="N17" s="4">
        <v>45940.625</v>
      </c>
      <c r="O17" s="5">
        <v>55.298999999999999</v>
      </c>
      <c r="P17" s="4">
        <v>45905.625</v>
      </c>
      <c r="Q17" s="5">
        <v>83.99</v>
      </c>
      <c r="R17" s="4">
        <v>46037.625</v>
      </c>
      <c r="S17" s="5">
        <v>99.484375</v>
      </c>
      <c r="T17" s="4" t="str">
        <f t="shared" si="1"/>
        <v/>
      </c>
      <c r="U17" s="4" t="str">
        <f t="shared" si="0"/>
        <v/>
      </c>
      <c r="V17" s="4">
        <v>46045.625</v>
      </c>
      <c r="Y17" s="20" t="s">
        <v>53</v>
      </c>
      <c r="Z17" s="67">
        <v>46043.625</v>
      </c>
      <c r="AA17" s="5">
        <v>13096.14155555554</v>
      </c>
    </row>
    <row r="18" spans="1:27" x14ac:dyDescent="0.25">
      <c r="A18" s="50">
        <f t="shared" ca="1" si="3"/>
        <v>46030.625</v>
      </c>
      <c r="B18" s="51">
        <f ca="1">IF(COUNTIF($V$2:V1003,A18)=1,VLOOKUP(A18,N:O,2), IF(COUNTIF($V$2:V1003,A18)=0,$B$9,""))</f>
        <v>49.271999999999998</v>
      </c>
      <c r="C18" s="2">
        <f t="shared" ca="1" si="4"/>
        <v>3961.7709999999993</v>
      </c>
      <c r="D18" s="54">
        <f t="shared" ca="1" si="5"/>
        <v>1666.6666666666665</v>
      </c>
      <c r="E18" s="51">
        <f ca="1">IF(COUNTIF($V$2:V1003,A18)=1,VLOOKUP(A18,P:Q,2), IF(COUNTIF($V$2:V1003,A18)=0,$C$9,""))</f>
        <v>83.78</v>
      </c>
      <c r="F18" s="2">
        <f t="shared" ca="1" si="6"/>
        <v>1624.0745163600857</v>
      </c>
      <c r="G18" s="54">
        <f t="shared" ca="1" si="7"/>
        <v>-2249.6666666666665</v>
      </c>
      <c r="H18" s="51">
        <f ca="1">IF(COUNTIF($V$2:V1003,A18)=1,VLOOKUP(A18,R:S,2), IF(COUNTIF($V$2:V1003,A18)=0,$D$9,""))</f>
        <v>99.546875</v>
      </c>
      <c r="I18" s="2">
        <f t="shared" ca="1" si="8"/>
        <v>812.5</v>
      </c>
      <c r="J18" s="54">
        <f t="shared" ca="1" si="9"/>
        <v>-32.833802083333239</v>
      </c>
      <c r="K18" s="52"/>
      <c r="L18" s="55">
        <f ca="1">IF(ISERROR(B18-2),"",C18+D18-F18-G18+I18+J18-SUM($K$14:K18))</f>
        <v>7033.6960148899134</v>
      </c>
      <c r="M18" s="12">
        <f t="shared" ca="1" si="2"/>
        <v>6722.2764444444201</v>
      </c>
      <c r="N18" s="4">
        <v>45944.625</v>
      </c>
      <c r="O18" s="5">
        <v>53.183</v>
      </c>
      <c r="P18" s="4">
        <v>45908.625</v>
      </c>
      <c r="Q18" s="5">
        <v>84.15</v>
      </c>
      <c r="R18" s="4">
        <v>46038.625</v>
      </c>
      <c r="S18" s="5">
        <v>99.15625</v>
      </c>
      <c r="T18" s="4" t="str">
        <f t="shared" si="1"/>
        <v/>
      </c>
      <c r="U18" s="4" t="str">
        <f t="shared" si="0"/>
        <v/>
      </c>
      <c r="V18" s="4">
        <v>46048.625</v>
      </c>
      <c r="Y18" s="20" t="s">
        <v>54</v>
      </c>
      <c r="Z18" s="67">
        <v>46044.625</v>
      </c>
      <c r="AA18" s="5">
        <v>11614.145333333337</v>
      </c>
    </row>
    <row r="19" spans="1:27" x14ac:dyDescent="0.25">
      <c r="A19" s="50">
        <f t="shared" ca="1" si="3"/>
        <v>46031.625</v>
      </c>
      <c r="B19" s="51">
        <f ca="1">IF(COUNTIF($V$2:V1004,A19)=1,VLOOKUP(A19,N:O,2), IF(COUNTIF($V$2:V1004,A19)=0,$B$9,""))</f>
        <v>49.093000000000004</v>
      </c>
      <c r="C19" s="2">
        <f t="shared" ca="1" si="4"/>
        <v>4777.8319999999758</v>
      </c>
      <c r="D19" s="54">
        <f t="shared" ca="1" si="5"/>
        <v>1944.4444444444443</v>
      </c>
      <c r="E19" s="51">
        <f ca="1">IF(COUNTIF($V$2:V1004,A19)=1,VLOOKUP(A19,P:Q,2), IF(COUNTIF($V$2:V1004,A19)=0,$C$9,""))</f>
        <v>83.91</v>
      </c>
      <c r="F19" s="2">
        <f t="shared" ca="1" si="6"/>
        <v>6902.3166945307412</v>
      </c>
      <c r="G19" s="54">
        <f t="shared" ca="1" si="7"/>
        <v>-2624.6111111111113</v>
      </c>
      <c r="H19" s="51">
        <f ca="1">IF(COUNTIF($V$2:V1004,A19)=1,VLOOKUP(A19,R:S,2), IF(COUNTIF($V$2:V1004,A19)=0,$D$9,""))</f>
        <v>99.5625</v>
      </c>
      <c r="I19" s="2">
        <f t="shared" ca="1" si="8"/>
        <v>1218.75</v>
      </c>
      <c r="J19" s="54">
        <f t="shared" ca="1" si="9"/>
        <v>-38.306102430555711</v>
      </c>
      <c r="K19" s="52"/>
      <c r="L19" s="55">
        <f ca="1">IF(ISERROR(B19-2),"",C19+D19-F19-G19+I19+J19-SUM($K$14:K19))</f>
        <v>3625.0147585942345</v>
      </c>
      <c r="M19" s="12">
        <f t="shared" ca="1" si="2"/>
        <v>8057.0997777777839</v>
      </c>
      <c r="N19" s="4">
        <v>45945.625</v>
      </c>
      <c r="O19" s="5">
        <v>52.875</v>
      </c>
      <c r="P19" s="4">
        <v>45909.625</v>
      </c>
      <c r="Q19" s="5">
        <v>84.04</v>
      </c>
      <c r="R19" s="4">
        <v>46041.625</v>
      </c>
      <c r="S19" s="5">
        <v>99.171875</v>
      </c>
      <c r="T19" s="4" t="str">
        <f t="shared" si="1"/>
        <v/>
      </c>
      <c r="U19" s="4" t="str">
        <f t="shared" si="0"/>
        <v/>
      </c>
      <c r="V19" s="4">
        <v>46049.625</v>
      </c>
      <c r="Y19" s="20" t="s">
        <v>55</v>
      </c>
      <c r="Z19" s="67">
        <v>46045.625</v>
      </c>
      <c r="AA19" s="5">
        <v>12297.031666666664</v>
      </c>
    </row>
    <row r="20" spans="1:27" x14ac:dyDescent="0.25">
      <c r="A20" s="50">
        <f t="shared" ca="1" si="3"/>
        <v>46034.625</v>
      </c>
      <c r="B20" s="51">
        <f ca="1">IF(COUNTIF($V$2:V1005,A20)=1,VLOOKUP(A20,N:O,2), IF(COUNTIF($V$2:V1005,A20)=0,$B$9,""))</f>
        <v>48.982999999999997</v>
      </c>
      <c r="C20" s="2">
        <f t="shared" ca="1" si="4"/>
        <v>5279.3220000000065</v>
      </c>
      <c r="D20" s="54">
        <f t="shared" ca="1" si="5"/>
        <v>2777.7777777777774</v>
      </c>
      <c r="E20" s="51">
        <f ca="1">IF(COUNTIF($V$2:V1005,A20)=1,VLOOKUP(A20,P:Q,2), IF(COUNTIF($V$2:V1005,A20)=0,$C$9,""))</f>
        <v>83.83</v>
      </c>
      <c r="F20" s="2">
        <f t="shared" ca="1" si="6"/>
        <v>3654.1676618105703</v>
      </c>
      <c r="G20" s="54">
        <f t="shared" ca="1" si="7"/>
        <v>-3749.4444444444439</v>
      </c>
      <c r="H20" s="51">
        <f ca="1">IF(COUNTIF($V$2:V1005,A20)=1,VLOOKUP(A20,R:S,2), IF(COUNTIF($V$2:V1005,A20)=0,$D$9,""))</f>
        <v>99.46875</v>
      </c>
      <c r="I20" s="2">
        <f t="shared" ca="1" si="8"/>
        <v>-1218.75</v>
      </c>
      <c r="J20" s="54">
        <f t="shared" ca="1" si="9"/>
        <v>-54.72300347222108</v>
      </c>
      <c r="K20" s="52"/>
      <c r="L20" s="55">
        <f ca="1">IF(ISERROR(B20-2),"",C20+D20-F20-G20+I20+J20-SUM($K$14:K20))</f>
        <v>6878.9035569394364</v>
      </c>
      <c r="M20" s="12">
        <f t="shared" ca="1" si="2"/>
        <v>7350.133555555557</v>
      </c>
      <c r="N20" s="4">
        <v>45946.625</v>
      </c>
      <c r="O20" s="5">
        <v>54.484000000000002</v>
      </c>
      <c r="P20" s="4">
        <v>45910.625</v>
      </c>
      <c r="Q20" s="5">
        <v>84.24</v>
      </c>
      <c r="R20" s="4">
        <v>46042.625</v>
      </c>
      <c r="S20" s="5">
        <v>98.84375</v>
      </c>
      <c r="T20" s="4" t="str">
        <f t="shared" si="1"/>
        <v/>
      </c>
      <c r="U20" s="4" t="str">
        <f t="shared" si="0"/>
        <v/>
      </c>
      <c r="V20" s="4">
        <v>46050.625</v>
      </c>
      <c r="Y20" s="20" t="s">
        <v>56</v>
      </c>
      <c r="Z20" s="67">
        <v>46048.625</v>
      </c>
      <c r="AA20" s="5">
        <v>11936.549444444441</v>
      </c>
    </row>
    <row r="21" spans="1:27" x14ac:dyDescent="0.25">
      <c r="A21" s="50">
        <f t="shared" ca="1" si="3"/>
        <v>46035.625</v>
      </c>
      <c r="B21" s="51">
        <f ca="1">IF(COUNTIF($V$2:V1006,A21)=1,VLOOKUP(A21,N:O,2), IF(COUNTIF($V$2:V1006,A21)=0,$B$9,""))</f>
        <v>49.198999999999998</v>
      </c>
      <c r="C21" s="2">
        <f t="shared" ca="1" si="4"/>
        <v>4294.5780000000013</v>
      </c>
      <c r="D21" s="54">
        <f t="shared" ca="1" si="5"/>
        <v>3055.5555555555557</v>
      </c>
      <c r="E21" s="51">
        <f ca="1">IF(COUNTIF($V$2:V1006,A21)=1,VLOOKUP(A21,P:Q,2), IF(COUNTIF($V$2:V1006,A21)=0,$C$9,""))</f>
        <v>84</v>
      </c>
      <c r="F21" s="2">
        <f t="shared" ca="1" si="6"/>
        <v>10556.484356341311</v>
      </c>
      <c r="G21" s="54">
        <f t="shared" ca="1" si="7"/>
        <v>-4124.3888888888887</v>
      </c>
      <c r="H21" s="51">
        <f ca="1">IF(COUNTIF($V$2:V1006,A21)=1,VLOOKUP(A21,R:S,2), IF(COUNTIF($V$2:V1006,A21)=0,$D$9,""))</f>
        <v>99.578125</v>
      </c>
      <c r="I21" s="2">
        <f t="shared" ca="1" si="8"/>
        <v>1625</v>
      </c>
      <c r="J21" s="54">
        <f t="shared" ca="1" si="9"/>
        <v>-60.195303819444234</v>
      </c>
      <c r="K21" s="52"/>
      <c r="L21" s="55">
        <f ca="1">IF(ISERROR(B21-2),"",C21+D21-F21-G21+I21+J21-SUM($K$14:K21))</f>
        <v>2482.8427842836909</v>
      </c>
      <c r="M21" s="12">
        <f t="shared" ca="1" si="2"/>
        <v>6606.6953333333167</v>
      </c>
      <c r="N21" s="4">
        <v>45947.625</v>
      </c>
      <c r="O21" s="5">
        <v>53.92</v>
      </c>
      <c r="P21" s="4">
        <v>45911.625</v>
      </c>
      <c r="Q21" s="5">
        <v>84.49</v>
      </c>
      <c r="R21" s="4">
        <v>46043.625</v>
      </c>
      <c r="S21" s="5">
        <v>99.046875</v>
      </c>
      <c r="T21" s="4" t="str">
        <f t="shared" si="1"/>
        <v/>
      </c>
      <c r="U21" s="4" t="str">
        <f t="shared" si="0"/>
        <v/>
      </c>
      <c r="V21" s="4">
        <v>46051.625</v>
      </c>
      <c r="Y21" s="20" t="s">
        <v>57</v>
      </c>
      <c r="Z21" s="67">
        <v>46049.625</v>
      </c>
      <c r="AA21" s="5">
        <v>12615.519222222221</v>
      </c>
    </row>
    <row r="22" spans="1:27" x14ac:dyDescent="0.25">
      <c r="A22" s="50">
        <f t="shared" ca="1" si="3"/>
        <v>46036.625</v>
      </c>
      <c r="B22" s="51">
        <f ca="1">IF(COUNTIF($V$2:V1007,A22)=1,VLOOKUP(A22,N:O,2), IF(COUNTIF($V$2:V1007,A22)=0,$B$9,""))</f>
        <v>49.423000000000002</v>
      </c>
      <c r="C22" s="2">
        <f t="shared" ca="1" si="4"/>
        <v>3273.3619999999842</v>
      </c>
      <c r="D22" s="54">
        <f t="shared" ca="1" si="5"/>
        <v>3333.333333333333</v>
      </c>
      <c r="E22" s="51">
        <f ca="1">IF(COUNTIF($V$2:V1007,A22)=1,VLOOKUP(A22,P:Q,2), IF(COUNTIF($V$2:V1007,A22)=0,$C$9,""))</f>
        <v>84.1</v>
      </c>
      <c r="F22" s="2">
        <f t="shared" ca="1" si="6"/>
        <v>14616.670647241524</v>
      </c>
      <c r="G22" s="54">
        <f t="shared" ca="1" si="7"/>
        <v>-4499.333333333333</v>
      </c>
      <c r="H22" s="51">
        <f ca="1">IF(COUNTIF($V$2:V1007,A22)=1,VLOOKUP(A22,R:S,2), IF(COUNTIF($V$2:V1007,A22)=0,$D$9,""))</f>
        <v>99.734375</v>
      </c>
      <c r="I22" s="2">
        <f t="shared" ca="1" si="8"/>
        <v>5687.5000000000009</v>
      </c>
      <c r="J22" s="54">
        <f t="shared" ca="1" si="9"/>
        <v>-65.667604166666479</v>
      </c>
      <c r="K22" s="52"/>
      <c r="L22" s="55">
        <f ca="1">IF(ISERROR(B22-2),"",C22+D22-F22-G22+I22+J22-SUM($K$14:K22))</f>
        <v>2111.1904152584598</v>
      </c>
      <c r="M22" s="12">
        <f t="shared" ca="1" si="2"/>
        <v>8844.8431111110931</v>
      </c>
      <c r="N22" s="4">
        <v>45950.625</v>
      </c>
      <c r="O22" s="5">
        <v>52.293999999999997</v>
      </c>
      <c r="P22" s="4">
        <v>45912.625</v>
      </c>
      <c r="Q22" s="5">
        <v>84.34</v>
      </c>
      <c r="R22" s="4">
        <v>46044.625</v>
      </c>
      <c r="S22" s="5">
        <v>98.984375</v>
      </c>
      <c r="T22" s="4" t="str">
        <f t="shared" si="1"/>
        <v/>
      </c>
      <c r="U22" s="4" t="str">
        <f t="shared" si="0"/>
        <v/>
      </c>
      <c r="V22" s="4">
        <v>46052.625</v>
      </c>
      <c r="Y22" s="20" t="s">
        <v>58</v>
      </c>
      <c r="Z22" s="67">
        <v>46050.625</v>
      </c>
      <c r="AA22" s="5">
        <v>11735.310999999976</v>
      </c>
    </row>
    <row r="23" spans="1:27" ht="14.45" customHeight="1" x14ac:dyDescent="0.25">
      <c r="A23" s="50">
        <f t="shared" ca="1" si="3"/>
        <v>46037.625</v>
      </c>
      <c r="B23" s="51">
        <f ca="1">IF(COUNTIF($V$2:V1008,A23)=1,VLOOKUP(A23,N:O,2), IF(COUNTIF($V$2:V1008,A23)=0,$B$9,""))</f>
        <v>48.993000000000002</v>
      </c>
      <c r="C23" s="2">
        <f t="shared" ca="1" si="4"/>
        <v>5233.7319999999827</v>
      </c>
      <c r="D23" s="54">
        <f t="shared" ca="1" si="5"/>
        <v>3611.1111111111109</v>
      </c>
      <c r="E23" s="51">
        <f ca="1">IF(COUNTIF($V$2:V1008,A23)=1,VLOOKUP(A23,P:Q,2), IF(COUNTIF($V$2:V1008,A23)=0,$C$9,""))</f>
        <v>83.97</v>
      </c>
      <c r="F23" s="2">
        <f t="shared" ca="1" si="6"/>
        <v>9338.4284690708701</v>
      </c>
      <c r="G23" s="54">
        <f t="shared" ca="1" si="7"/>
        <v>-4874.2777777777774</v>
      </c>
      <c r="H23" s="51">
        <f ca="1">IF(COUNTIF($V$2:V1008,A23)=1,VLOOKUP(A23,R:S,2), IF(COUNTIF($V$2:V1008,A23)=0,$D$9,""))</f>
        <v>99.484375</v>
      </c>
      <c r="I23" s="2">
        <f t="shared" ca="1" si="8"/>
        <v>-812.5</v>
      </c>
      <c r="J23" s="54">
        <f t="shared" ca="1" si="9"/>
        <v>-71.139904513889178</v>
      </c>
      <c r="K23" s="52"/>
      <c r="L23" s="55">
        <f ca="1">IF(ISERROR(B23-2),"",C23+D23-F23-G23+I23+J23-SUM($K$14:K23))</f>
        <v>3497.0525153041112</v>
      </c>
      <c r="M23" s="12">
        <f t="shared" ca="1" si="2"/>
        <v>10503.997888888891</v>
      </c>
      <c r="N23" s="4">
        <v>45951.625</v>
      </c>
      <c r="O23" s="5">
        <v>52.637</v>
      </c>
      <c r="P23" s="4">
        <v>45915.625</v>
      </c>
      <c r="Q23" s="5">
        <v>84.54</v>
      </c>
      <c r="R23" s="4">
        <v>46045.625</v>
      </c>
      <c r="S23" s="5">
        <v>99.09375</v>
      </c>
      <c r="T23" s="4" t="str">
        <f t="shared" si="1"/>
        <v/>
      </c>
      <c r="U23" s="4" t="str">
        <f t="shared" si="0"/>
        <v/>
      </c>
      <c r="V23" s="4">
        <v>46055.625</v>
      </c>
      <c r="Y23" s="20" t="s">
        <v>59</v>
      </c>
      <c r="Z23" s="67">
        <v>46051.625</v>
      </c>
      <c r="AA23" s="5">
        <v>10996.43177777776</v>
      </c>
    </row>
    <row r="24" spans="1:27" ht="14.45" customHeight="1" x14ac:dyDescent="0.25">
      <c r="A24" s="50">
        <f t="shared" ca="1" si="3"/>
        <v>46038.625</v>
      </c>
      <c r="B24" s="51">
        <f ca="1">IF(COUNTIF($V$2:V1009,A24)=1,VLOOKUP(A24,N:O,2), IF(COUNTIF($V$2:V1009,A24)=0,$B$9,""))</f>
        <v>48.69</v>
      </c>
      <c r="C24" s="2">
        <f t="shared" ca="1" si="4"/>
        <v>6615.1090000000031</v>
      </c>
      <c r="D24" s="54">
        <f t="shared" ca="1" si="5"/>
        <v>3888.8888888888887</v>
      </c>
      <c r="E24" s="51">
        <f ca="1">IF(COUNTIF($V$2:V1009,A24)=1,VLOOKUP(A24,P:Q,2), IF(COUNTIF($V$2:V1009,A24)=0,$C$9,""))</f>
        <v>83.78</v>
      </c>
      <c r="F24" s="2">
        <f t="shared" ca="1" si="6"/>
        <v>1624.0745163600857</v>
      </c>
      <c r="G24" s="54">
        <f t="shared" ca="1" si="7"/>
        <v>-5249.2222222222226</v>
      </c>
      <c r="H24" s="51">
        <f ca="1">IF(COUNTIF($V$2:V1009,A24)=1,VLOOKUP(A24,R:S,2), IF(COUNTIF($V$2:V1009,A24)=0,$D$9,""))</f>
        <v>99.15625</v>
      </c>
      <c r="I24" s="2">
        <f t="shared" ca="1" si="8"/>
        <v>-9343.75</v>
      </c>
      <c r="J24" s="54">
        <f t="shared" ca="1" si="9"/>
        <v>-76.612204861111422</v>
      </c>
      <c r="K24" s="52"/>
      <c r="L24" s="55">
        <f ca="1">IF(ISERROR(B24-2),"",C24+D24-F24-G24+I24+J24-SUM($K$14:K24))</f>
        <v>4708.7833898899162</v>
      </c>
      <c r="M24" s="12">
        <f t="shared" ca="1" si="2"/>
        <v>4252.3239999999932</v>
      </c>
      <c r="N24" s="4">
        <v>45952.625</v>
      </c>
      <c r="O24" s="5">
        <v>53.167999999999999</v>
      </c>
      <c r="P24" s="4">
        <v>45916.625</v>
      </c>
      <c r="Q24" s="5">
        <v>84.53</v>
      </c>
      <c r="R24" s="4">
        <v>46048.625</v>
      </c>
      <c r="S24" s="5">
        <v>99.1875</v>
      </c>
      <c r="T24" s="4" t="str">
        <f t="shared" si="1"/>
        <v/>
      </c>
      <c r="U24" s="4" t="str">
        <f t="shared" si="0"/>
        <v/>
      </c>
      <c r="V24" s="4">
        <v>46056.625</v>
      </c>
      <c r="Y24" s="20" t="s">
        <v>60</v>
      </c>
      <c r="Z24" s="67">
        <v>46052.625</v>
      </c>
      <c r="AA24" s="5">
        <v>14537.811111111099</v>
      </c>
    </row>
    <row r="25" spans="1:27" ht="14.45" customHeight="1" x14ac:dyDescent="0.25">
      <c r="A25" s="50">
        <f t="shared" ca="1" si="3"/>
        <v>46042.625</v>
      </c>
      <c r="B25" s="51">
        <f ca="1">IF(COUNTIF($V$2:V1010,A25)=1,VLOOKUP(A25,N:O,2), IF(COUNTIF($V$2:V1010,A25)=0,$B$9,""))</f>
        <v>50.305</v>
      </c>
      <c r="C25" s="2">
        <f t="shared" ca="1" si="4"/>
        <v>-747.67600000000675</v>
      </c>
      <c r="D25" s="54">
        <f t="shared" ca="1" si="5"/>
        <v>5000</v>
      </c>
      <c r="E25" s="51">
        <f ca="1">IF(COUNTIF($V$2:V1010,A25)=1,VLOOKUP(A25,P:Q,2), IF(COUNTIF($V$2:V1010,A25)=0,$C$9,""))</f>
        <v>83.48</v>
      </c>
      <c r="F25" s="2">
        <f t="shared" ca="1" si="6"/>
        <v>-10556.484356340556</v>
      </c>
      <c r="G25" s="54">
        <f t="shared" ca="1" si="7"/>
        <v>-6749.0000000000009</v>
      </c>
      <c r="H25" s="51">
        <f ca="1">IF(COUNTIF($V$2:V1010,A25)=1,VLOOKUP(A25,R:S,2), IF(COUNTIF($V$2:V1010,A25)=0,$D$9,""))</f>
        <v>98.84375</v>
      </c>
      <c r="I25" s="2">
        <f t="shared" ca="1" si="8"/>
        <v>-17468.75</v>
      </c>
      <c r="J25" s="54">
        <f t="shared" ca="1" si="9"/>
        <v>-98.50140625000131</v>
      </c>
      <c r="K25" s="52"/>
      <c r="L25" s="55">
        <f ca="1">IF(ISERROR(B25-2),"",C25+D25-F25-G25+I25+J25-SUM($K$14:K25))</f>
        <v>3990.5569500905476</v>
      </c>
      <c r="M25" s="12">
        <f t="shared" ca="1" si="2"/>
        <v>11040.353777777758</v>
      </c>
      <c r="N25" s="4">
        <v>45953.625</v>
      </c>
      <c r="O25" s="5">
        <v>52.180999999999997</v>
      </c>
      <c r="P25" s="4">
        <v>45917.625</v>
      </c>
      <c r="Q25" s="5">
        <v>84.37</v>
      </c>
      <c r="R25" s="4">
        <v>46049.625</v>
      </c>
      <c r="S25" s="5">
        <v>99.109375</v>
      </c>
      <c r="T25" s="4" t="str">
        <f t="shared" si="1"/>
        <v/>
      </c>
      <c r="U25" s="4" t="str">
        <f t="shared" si="0"/>
        <v/>
      </c>
      <c r="V25" s="4">
        <v>46057.625</v>
      </c>
      <c r="Y25" s="20" t="s">
        <v>61</v>
      </c>
      <c r="Z25" s="67">
        <v>46055.625</v>
      </c>
      <c r="AA25" s="5">
        <v>11008.823888888872</v>
      </c>
    </row>
    <row r="26" spans="1:27" ht="14.45" customHeight="1" x14ac:dyDescent="0.25">
      <c r="A26" s="50">
        <f t="shared" ca="1" si="3"/>
        <v>46043.625</v>
      </c>
      <c r="B26" s="51">
        <f ca="1">IF(COUNTIF($V$2:V1011,A26)=1,VLOOKUP(A26,N:O,2), IF(COUNTIF($V$2:V1011,A26)=0,$B$9,""))</f>
        <v>48.877000000000002</v>
      </c>
      <c r="C26" s="2">
        <f t="shared" ca="1" si="4"/>
        <v>5762.5759999999809</v>
      </c>
      <c r="D26" s="54">
        <f t="shared" ca="1" si="5"/>
        <v>5277.7777777777774</v>
      </c>
      <c r="E26" s="51">
        <f ca="1">IF(COUNTIF($V$2:V1011,A26)=1,VLOOKUP(A26,P:Q,2), IF(COUNTIF($V$2:V1011,A26)=0,$C$9,""))</f>
        <v>83.81</v>
      </c>
      <c r="F26" s="2">
        <f t="shared" ca="1" si="6"/>
        <v>2842.1304036305273</v>
      </c>
      <c r="G26" s="54">
        <f t="shared" ca="1" si="7"/>
        <v>-7123.9444444444453</v>
      </c>
      <c r="H26" s="51">
        <f ca="1">IF(COUNTIF($V$2:V1011,A26)=1,VLOOKUP(A26,R:S,2), IF(COUNTIF($V$2:V1011,A26)=0,$D$9,""))</f>
        <v>99.046875</v>
      </c>
      <c r="I26" s="2">
        <f t="shared" ca="1" si="8"/>
        <v>-12187.5</v>
      </c>
      <c r="J26" s="54">
        <f t="shared" ca="1" si="9"/>
        <v>-103.97370659722219</v>
      </c>
      <c r="K26" s="52"/>
      <c r="L26" s="55">
        <f ca="1">IF(ISERROR(B26-2),"",C26+D26-F26-G26+I26+J26-SUM($K$14:K26))</f>
        <v>3030.6941119944531</v>
      </c>
      <c r="M26" s="12">
        <f t="shared" ca="1" si="2"/>
        <v>13096.14155555554</v>
      </c>
      <c r="N26" s="4">
        <v>45954.625</v>
      </c>
      <c r="O26" s="5">
        <v>51.527000000000001</v>
      </c>
      <c r="P26" s="4">
        <v>45918.625</v>
      </c>
      <c r="Q26" s="5">
        <v>84.295000000000002</v>
      </c>
      <c r="R26" s="4">
        <v>46050.625</v>
      </c>
      <c r="S26" s="5">
        <v>99.046875</v>
      </c>
      <c r="T26" s="4" t="str">
        <f t="shared" si="1"/>
        <v/>
      </c>
      <c r="U26" s="4" t="str">
        <f t="shared" si="0"/>
        <v/>
      </c>
      <c r="V26" s="4">
        <v>46058.625</v>
      </c>
      <c r="Y26" s="20" t="s">
        <v>62</v>
      </c>
      <c r="Z26" s="67">
        <v>46056.625</v>
      </c>
      <c r="AA26" s="5">
        <v>9681.8336666666637</v>
      </c>
    </row>
    <row r="27" spans="1:27" ht="14.45" customHeight="1" x14ac:dyDescent="0.25">
      <c r="A27" s="50">
        <f t="shared" ca="1" si="3"/>
        <v>46044.625</v>
      </c>
      <c r="B27" s="51">
        <f ca="1">IF(COUNTIF($V$2:V1012,A27)=1,VLOOKUP(A27,N:O,2), IF(COUNTIF($V$2:V1012,A27)=0,$B$9,""))</f>
        <v>48.487000000000002</v>
      </c>
      <c r="C27" s="2">
        <f t="shared" ca="1" si="4"/>
        <v>7540.5859999999839</v>
      </c>
      <c r="D27" s="54">
        <f t="shared" ca="1" si="5"/>
        <v>5555.5555555555547</v>
      </c>
      <c r="E27" s="51">
        <f ca="1">IF(COUNTIF($V$2:V1012,A27)=1,VLOOKUP(A27,P:Q,2), IF(COUNTIF($V$2:V1012,A27)=0,$C$9,""))</f>
        <v>83.83</v>
      </c>
      <c r="F27" s="2">
        <f t="shared" ca="1" si="6"/>
        <v>3654.1676618105703</v>
      </c>
      <c r="G27" s="54">
        <f t="shared" ca="1" si="7"/>
        <v>-7498.8888888888878</v>
      </c>
      <c r="H27" s="51">
        <f ca="1">IF(COUNTIF($V$2:V1012,A27)=1,VLOOKUP(A27,R:S,2), IF(COUNTIF($V$2:V1012,A27)=0,$D$9,""))</f>
        <v>98.984375</v>
      </c>
      <c r="I27" s="2">
        <f t="shared" ca="1" si="8"/>
        <v>-13812.500000000002</v>
      </c>
      <c r="J27" s="54">
        <f t="shared" ca="1" si="9"/>
        <v>-109.44600694444216</v>
      </c>
      <c r="K27" s="52"/>
      <c r="L27" s="55">
        <f ca="1">IF(ISERROR(B27-2),"",C27+D27-F27-G27+I27+J27-SUM($K$14:K27))</f>
        <v>3018.9167756894121</v>
      </c>
      <c r="M27" s="12">
        <f t="shared" ca="1" si="2"/>
        <v>11614.145333333337</v>
      </c>
      <c r="N27" s="4">
        <v>45957.625</v>
      </c>
      <c r="O27" s="5">
        <v>50.18</v>
      </c>
      <c r="P27" s="4">
        <v>45919.625</v>
      </c>
      <c r="Q27" s="5">
        <v>84.29</v>
      </c>
      <c r="R27" s="4">
        <v>46051.625</v>
      </c>
      <c r="S27" s="5">
        <v>99.15625</v>
      </c>
      <c r="T27" s="4" t="str">
        <f t="shared" si="1"/>
        <v/>
      </c>
      <c r="U27" s="4" t="str">
        <f t="shared" si="0"/>
        <v/>
      </c>
      <c r="V27" s="4">
        <v>46059.625</v>
      </c>
      <c r="Y27" s="20" t="s">
        <v>63</v>
      </c>
      <c r="Z27" s="67">
        <v>46057.625</v>
      </c>
      <c r="AA27" s="5">
        <v>2200.1934444444487</v>
      </c>
    </row>
    <row r="28" spans="1:27" ht="14.45" customHeight="1" x14ac:dyDescent="0.25">
      <c r="A28" s="50">
        <f t="shared" ca="1" si="3"/>
        <v>46045.625</v>
      </c>
      <c r="B28" s="51">
        <f ca="1">IF(COUNTIF($V$2:V1013,A28)=1,VLOOKUP(A28,N:O,2), IF(COUNTIF($V$2:V1013,A28)=0,$B$9,""))</f>
        <v>48.872999999999998</v>
      </c>
      <c r="C28" s="2">
        <f t="shared" ca="1" si="4"/>
        <v>5780.8120000000035</v>
      </c>
      <c r="D28" s="54">
        <f t="shared" ca="1" si="5"/>
        <v>5833.3333333333339</v>
      </c>
      <c r="E28" s="51">
        <f ca="1">IF(COUNTIF($V$2:V1013,A28)=1,VLOOKUP(A28,P:Q,2), IF(COUNTIF($V$2:V1013,A28)=0,$C$9,""))</f>
        <v>83.89</v>
      </c>
      <c r="F28" s="2">
        <f t="shared" ca="1" si="6"/>
        <v>6090.2794363506982</v>
      </c>
      <c r="G28" s="54">
        <f t="shared" ca="1" si="7"/>
        <v>-7873.833333333333</v>
      </c>
      <c r="H28" s="51">
        <f ca="1">IF(COUNTIF($V$2:V1013,A28)=1,VLOOKUP(A28,R:S,2), IF(COUNTIF($V$2:V1013,A28)=0,$D$9,""))</f>
        <v>99.09375</v>
      </c>
      <c r="I28" s="2">
        <f t="shared" ca="1" si="8"/>
        <v>-10968.75</v>
      </c>
      <c r="J28" s="54">
        <f t="shared" ca="1" si="9"/>
        <v>-114.91830729166668</v>
      </c>
      <c r="K28" s="52"/>
      <c r="L28" s="55">
        <f ca="1">IF(ISERROR(B28-2),"",C28+D28-F28-G28+I28+J28-SUM($K$14:K28))</f>
        <v>2314.0309230243047</v>
      </c>
      <c r="M28" s="12">
        <f t="shared" ca="1" si="2"/>
        <v>12297.031666666664</v>
      </c>
      <c r="N28" s="4">
        <v>45958.625</v>
      </c>
      <c r="O28" s="5">
        <v>50.65</v>
      </c>
      <c r="P28" s="4">
        <v>45922.625</v>
      </c>
      <c r="Q28" s="5">
        <v>84.154300000000006</v>
      </c>
      <c r="R28" s="4">
        <v>46052.625</v>
      </c>
      <c r="S28" s="5">
        <v>99.125</v>
      </c>
      <c r="T28" s="4" t="str">
        <f t="shared" si="1"/>
        <v/>
      </c>
      <c r="U28" s="4" t="str">
        <f t="shared" si="0"/>
        <v/>
      </c>
      <c r="V28" s="4">
        <v>46062.625</v>
      </c>
      <c r="Y28" s="20" t="s">
        <v>64</v>
      </c>
      <c r="Z28" s="67">
        <v>46058.625</v>
      </c>
      <c r="AA28" s="5">
        <v>9029.2542222222182</v>
      </c>
    </row>
    <row r="29" spans="1:27" ht="14.45" customHeight="1" x14ac:dyDescent="0.25">
      <c r="A29" s="50">
        <f t="shared" ca="1" si="3"/>
        <v>46048.625</v>
      </c>
      <c r="B29" s="51">
        <f ca="1">IF(COUNTIF($V$2:V1014,A29)=1,VLOOKUP(A29,N:O,2), IF(COUNTIF($V$2:V1014,A29)=0,$B$9,""))</f>
        <v>48.905999999999999</v>
      </c>
      <c r="C29" s="2">
        <f t="shared" ca="1" si="4"/>
        <v>5630.364999999998</v>
      </c>
      <c r="D29" s="54">
        <f t="shared" ca="1" si="5"/>
        <v>6666.6666666666661</v>
      </c>
      <c r="E29" s="51">
        <f ca="1">IF(COUNTIF($V$2:V1014,A29)=1,VLOOKUP(A29,P:Q,2), IF(COUNTIF($V$2:V1014,A29)=0,$C$9,""))</f>
        <v>83.97</v>
      </c>
      <c r="F29" s="2">
        <f t="shared" ca="1" si="6"/>
        <v>9338.4284690708701</v>
      </c>
      <c r="G29" s="54">
        <f t="shared" ca="1" si="7"/>
        <v>-8998.6666666666661</v>
      </c>
      <c r="H29" s="51">
        <f ca="1">IF(COUNTIF($V$2:V1014,A29)=1,VLOOKUP(A29,R:S,2), IF(COUNTIF($V$2:V1014,A29)=0,$D$9,""))</f>
        <v>99.1875</v>
      </c>
      <c r="I29" s="2">
        <f t="shared" ca="1" si="8"/>
        <v>-8531.25</v>
      </c>
      <c r="J29" s="54">
        <f t="shared" ca="1" si="9"/>
        <v>-131.33520833333296</v>
      </c>
      <c r="K29" s="52"/>
      <c r="L29" s="55">
        <f ca="1">IF(ISERROR(B29-2),"",C29+D29-F29-G29+I29+J29-SUM($K$14:K29))</f>
        <v>3294.6846559291271</v>
      </c>
      <c r="M29" s="12">
        <f t="shared" ca="1" si="2"/>
        <v>11936.549444444441</v>
      </c>
      <c r="N29" s="4">
        <v>45959.625</v>
      </c>
      <c r="O29" s="5">
        <v>51.055</v>
      </c>
      <c r="P29" s="4">
        <v>45923.625</v>
      </c>
      <c r="Q29" s="5">
        <v>84.29</v>
      </c>
      <c r="R29" s="4">
        <v>46055.625</v>
      </c>
      <c r="S29" s="5">
        <v>98.96875</v>
      </c>
      <c r="T29" s="4" t="str">
        <f t="shared" si="1"/>
        <v/>
      </c>
      <c r="U29" s="4" t="str">
        <f t="shared" si="0"/>
        <v/>
      </c>
      <c r="V29" s="4">
        <v>46063.625</v>
      </c>
      <c r="Y29" s="20" t="s">
        <v>65</v>
      </c>
      <c r="Z29" s="67">
        <v>46059.625</v>
      </c>
      <c r="AA29" s="5">
        <v>11544.858555555549</v>
      </c>
    </row>
    <row r="30" spans="1:27" ht="14.45" customHeight="1" x14ac:dyDescent="0.25">
      <c r="A30" s="50">
        <f t="shared" ca="1" si="3"/>
        <v>46049.625</v>
      </c>
      <c r="B30" s="51">
        <f ca="1">IF(COUNTIF($V$2:V1015,A30)=1,VLOOKUP(A30,N:O,2), IF(COUNTIF($V$2:V1015,A30)=0,$B$9,""))</f>
        <v>49.045999999999999</v>
      </c>
      <c r="C30" s="2">
        <f t="shared" ca="1" si="4"/>
        <v>4992.1049999999959</v>
      </c>
      <c r="D30" s="54">
        <f t="shared" ca="1" si="5"/>
        <v>6944.4444444444453</v>
      </c>
      <c r="E30" s="51">
        <f ca="1">IF(COUNTIF($V$2:V1015,A30)=1,VLOOKUP(A30,P:Q,2), IF(COUNTIF($V$2:V1015,A30)=0,$C$9,""))</f>
        <v>83.96</v>
      </c>
      <c r="F30" s="2">
        <f t="shared" ca="1" si="6"/>
        <v>8932.4098399804716</v>
      </c>
      <c r="G30" s="54">
        <f t="shared" ca="1" si="7"/>
        <v>-9373.6111111111113</v>
      </c>
      <c r="H30" s="51">
        <f ca="1">IF(COUNTIF($V$2:V1015,A30)=1,VLOOKUP(A30,R:S,2), IF(COUNTIF($V$2:V1015,A30)=0,$D$9,""))</f>
        <v>99.109375</v>
      </c>
      <c r="I30" s="2">
        <f t="shared" ca="1" si="8"/>
        <v>-10562.5</v>
      </c>
      <c r="J30" s="54">
        <f t="shared" ca="1" si="9"/>
        <v>-136.80750868055748</v>
      </c>
      <c r="K30" s="52"/>
      <c r="L30" s="55">
        <f ca="1">IF(ISERROR(B30-2),"",C30+D30-F30-G30+I30+J30-SUM($K$14:K30))</f>
        <v>1678.4432068945234</v>
      </c>
      <c r="M30" s="12">
        <f t="shared" ca="1" si="2"/>
        <v>12615.519222222221</v>
      </c>
      <c r="N30" s="4">
        <v>45960.625</v>
      </c>
      <c r="O30" s="5">
        <v>52.241999999999997</v>
      </c>
      <c r="P30" s="4">
        <v>45924.625</v>
      </c>
      <c r="Q30" s="5">
        <v>84.05</v>
      </c>
      <c r="R30" s="4">
        <v>46056.625</v>
      </c>
      <c r="S30" s="5">
        <v>99.03125</v>
      </c>
      <c r="T30" s="4" t="str">
        <f t="shared" si="1"/>
        <v/>
      </c>
      <c r="U30" s="4" t="str">
        <f t="shared" si="0"/>
        <v/>
      </c>
      <c r="V30" s="4">
        <v>46064.625</v>
      </c>
      <c r="Y30" s="20" t="s">
        <v>66</v>
      </c>
      <c r="Z30" s="67">
        <v>46062.625</v>
      </c>
      <c r="AA30" s="5">
        <v>8877.5223333333233</v>
      </c>
    </row>
    <row r="31" spans="1:27" ht="14.45" customHeight="1" x14ac:dyDescent="0.25">
      <c r="A31" s="50">
        <f t="shared" ca="1" si="3"/>
        <v>46050.625</v>
      </c>
      <c r="B31" s="51">
        <f ca="1">IF(COUNTIF($V$2:V1016,A31)=1,VLOOKUP(A31,N:O,2), IF(COUNTIF($V$2:V1016,A31)=0,$B$9,""))</f>
        <v>48.957999999999998</v>
      </c>
      <c r="C31" s="2">
        <f t="shared" ca="1" si="4"/>
        <v>5393.2969999999996</v>
      </c>
      <c r="D31" s="54">
        <f t="shared" ca="1" si="5"/>
        <v>7222.2222222222217</v>
      </c>
      <c r="E31" s="51">
        <f ca="1">IF(COUNTIF($V$2:V1016,A31)=1,VLOOKUP(A31,P:Q,2), IF(COUNTIF($V$2:V1016,A31)=0,$C$9,""))</f>
        <v>83.91</v>
      </c>
      <c r="F31" s="2">
        <f t="shared" ca="1" si="6"/>
        <v>6902.3166945307412</v>
      </c>
      <c r="G31" s="54">
        <f t="shared" ca="1" si="7"/>
        <v>-9748.5555555555547</v>
      </c>
      <c r="H31" s="51">
        <f ca="1">IF(COUNTIF($V$2:V1016,A31)=1,VLOOKUP(A31,R:S,2), IF(COUNTIF($V$2:V1016,A31)=0,$D$9,""))</f>
        <v>99.046875</v>
      </c>
      <c r="I31" s="2">
        <f t="shared" ca="1" si="8"/>
        <v>-12187.5</v>
      </c>
      <c r="J31" s="54">
        <f t="shared" ca="1" si="9"/>
        <v>-142.27980902777836</v>
      </c>
      <c r="K31" s="52"/>
      <c r="L31" s="55">
        <f ca="1">IF(ISERROR(B31-2),"",C31+D31-F31-G31+I31+J31-SUM($K$14:K31))</f>
        <v>3131.9782742192556</v>
      </c>
      <c r="M31" s="12">
        <f t="shared" ca="1" si="2"/>
        <v>11735.310999999976</v>
      </c>
      <c r="N31" s="4">
        <v>45961.625</v>
      </c>
      <c r="O31" s="5">
        <v>52.654000000000003</v>
      </c>
      <c r="P31" s="4">
        <v>45925.625</v>
      </c>
      <c r="Q31" s="5">
        <v>83.87</v>
      </c>
      <c r="R31" s="4">
        <v>46057.625</v>
      </c>
      <c r="S31" s="5">
        <v>99</v>
      </c>
      <c r="T31" s="4" t="str">
        <f t="shared" si="1"/>
        <v/>
      </c>
      <c r="U31" s="4" t="str">
        <f t="shared" si="0"/>
        <v/>
      </c>
      <c r="V31" s="4">
        <v>46065.625</v>
      </c>
      <c r="Y31" s="20" t="s">
        <v>67</v>
      </c>
      <c r="Z31" s="67">
        <v>46063.625</v>
      </c>
      <c r="AA31" s="5">
        <v>10012.39211111111</v>
      </c>
    </row>
    <row r="32" spans="1:27" ht="14.45" customHeight="1" x14ac:dyDescent="0.25">
      <c r="A32" s="50">
        <f t="shared" ca="1" si="3"/>
        <v>46051.625</v>
      </c>
      <c r="B32" s="51">
        <f ca="1">IF(COUNTIF($V$2:V1017,A32)=1,VLOOKUP(A32,N:O,2), IF(COUNTIF($V$2:V1017,A32)=0,$B$9,""))</f>
        <v>49.212000000000003</v>
      </c>
      <c r="C32" s="2">
        <f t="shared" ca="1" si="4"/>
        <v>4235.310999999977</v>
      </c>
      <c r="D32" s="54">
        <f t="shared" ca="1" si="5"/>
        <v>7500</v>
      </c>
      <c r="E32" s="51">
        <f ca="1">IF(COUNTIF($V$2:V1017,A32)=1,VLOOKUP(A32,P:Q,2), IF(COUNTIF($V$2:V1017,A32)=0,$C$9,""))</f>
        <v>83.96</v>
      </c>
      <c r="F32" s="2">
        <f t="shared" ca="1" si="6"/>
        <v>8932.4098399804716</v>
      </c>
      <c r="G32" s="54">
        <f t="shared" ca="1" si="7"/>
        <v>-10123.499999999998</v>
      </c>
      <c r="H32" s="51">
        <f ca="1">IF(COUNTIF($V$2:V1017,A32)=1,VLOOKUP(A32,R:S,2), IF(COUNTIF($V$2:V1017,A32)=0,$D$9,""))</f>
        <v>99.15625</v>
      </c>
      <c r="I32" s="2">
        <f t="shared" ca="1" si="8"/>
        <v>-9343.75</v>
      </c>
      <c r="J32" s="54">
        <f t="shared" ca="1" si="9"/>
        <v>-147.75210937499924</v>
      </c>
      <c r="K32" s="52"/>
      <c r="L32" s="55">
        <f ca="1">IF(ISERROR(B32-2),"",C32+D32-F32-G32+I32+J32-SUM($K$14:K32))</f>
        <v>3434.8990506445034</v>
      </c>
      <c r="M32" s="12">
        <f t="shared" ca="1" si="2"/>
        <v>10996.43177777776</v>
      </c>
      <c r="N32" s="4">
        <v>45964.625</v>
      </c>
      <c r="O32" s="5">
        <v>53.234000000000002</v>
      </c>
      <c r="P32" s="4">
        <v>45926.625</v>
      </c>
      <c r="Q32" s="5">
        <v>83.93</v>
      </c>
      <c r="R32" s="4">
        <v>46058.625</v>
      </c>
      <c r="S32" s="5">
        <v>99.546875</v>
      </c>
      <c r="T32" s="4" t="str">
        <f t="shared" si="1"/>
        <v/>
      </c>
      <c r="U32" s="4" t="str">
        <f t="shared" si="0"/>
        <v/>
      </c>
      <c r="V32" s="4">
        <v>46066.625</v>
      </c>
      <c r="Y32" s="20" t="s">
        <v>68</v>
      </c>
      <c r="Z32" s="67">
        <v>46064.625</v>
      </c>
      <c r="AA32" s="5">
        <v>3602.116888888896</v>
      </c>
    </row>
    <row r="33" spans="1:27" ht="14.45" customHeight="1" x14ac:dyDescent="0.25">
      <c r="A33" s="50">
        <f t="shared" ca="1" si="3"/>
        <v>46052.625</v>
      </c>
      <c r="B33" s="51">
        <f ca="1">IF(COUNTIF($V$2:V1018,A33)=1,VLOOKUP(A33,N:O,2), IF(COUNTIF($V$2:V1018,A33)=0,$B$9,""))</f>
        <v>49.435000000000002</v>
      </c>
      <c r="C33" s="2">
        <f t="shared" ca="1" si="4"/>
        <v>3218.6539999999818</v>
      </c>
      <c r="D33" s="54">
        <f t="shared" ca="1" si="5"/>
        <v>7777.7777777777774</v>
      </c>
      <c r="E33" s="51">
        <f ca="1">IF(COUNTIF($V$2:V1018,A33)=1,VLOOKUP(A33,P:Q,2), IF(COUNTIF($V$2:V1018,A33)=0,$C$9,""))</f>
        <v>83.95</v>
      </c>
      <c r="F33" s="2">
        <f t="shared" ca="1" si="6"/>
        <v>8526.3912108908262</v>
      </c>
      <c r="G33" s="54">
        <f t="shared" ca="1" si="7"/>
        <v>-10498.444444444445</v>
      </c>
      <c r="H33" s="51">
        <f ca="1">IF(COUNTIF($V$2:V1018,A33)=1,VLOOKUP(A33,R:S,2), IF(COUNTIF($V$2:V1018,A33)=0,$D$9,""))</f>
        <v>99.125</v>
      </c>
      <c r="I33" s="2">
        <f t="shared" ca="1" si="8"/>
        <v>-10156.25</v>
      </c>
      <c r="J33" s="54">
        <f t="shared" ca="1" si="9"/>
        <v>-153.22440972222284</v>
      </c>
      <c r="K33" s="52"/>
      <c r="L33" s="55">
        <f ca="1">IF(ISERROR(B33-2),"",C33+D33-F33-G33+I33+J33-SUM($K$14:K33))</f>
        <v>2659.0106016091559</v>
      </c>
      <c r="M33" s="12">
        <f t="shared" ca="1" si="2"/>
        <v>14537.811111111099</v>
      </c>
      <c r="N33" s="4">
        <v>45965.625</v>
      </c>
      <c r="O33" s="5">
        <v>53.936</v>
      </c>
      <c r="P33" s="4">
        <v>45929.625</v>
      </c>
      <c r="Q33" s="5">
        <v>84.11</v>
      </c>
      <c r="R33" s="4">
        <v>46059.625</v>
      </c>
      <c r="S33" s="5">
        <v>99.46875</v>
      </c>
      <c r="T33" s="4" t="str">
        <f t="shared" si="1"/>
        <v/>
      </c>
      <c r="U33" s="4" t="str">
        <f t="shared" si="0"/>
        <v/>
      </c>
      <c r="V33" s="4">
        <v>46070.625</v>
      </c>
      <c r="Y33" s="20" t="s">
        <v>69</v>
      </c>
      <c r="Z33" s="67">
        <v>46065.625</v>
      </c>
      <c r="AA33" s="5">
        <v>2790.2936666666537</v>
      </c>
    </row>
    <row r="34" spans="1:27" ht="14.45" customHeight="1" x14ac:dyDescent="0.25">
      <c r="A34" s="50">
        <f t="shared" ca="1" si="3"/>
        <v>46055.625</v>
      </c>
      <c r="B34" s="51">
        <f ca="1">IF(COUNTIF($V$2:V1019,A34)=1,VLOOKUP(A34,N:O,2), IF(COUNTIF($V$2:V1019,A34)=0,$B$9,""))</f>
        <v>48.841000000000001</v>
      </c>
      <c r="C34" s="2">
        <f t="shared" ca="1" si="4"/>
        <v>5926.6999999999871</v>
      </c>
      <c r="D34" s="54">
        <f t="shared" ca="1" si="5"/>
        <v>8611.1111111111113</v>
      </c>
      <c r="E34" s="51">
        <f ca="1">IF(COUNTIF($V$2:V1019,A34)=1,VLOOKUP(A34,P:Q,2), IF(COUNTIF($V$2:V1019,A34)=0,$C$9,""))</f>
        <v>83.52</v>
      </c>
      <c r="F34" s="2">
        <f t="shared" ca="1" si="6"/>
        <v>-8932.4098399808481</v>
      </c>
      <c r="G34" s="54">
        <f t="shared" ca="1" si="7"/>
        <v>-11623.277777777777</v>
      </c>
      <c r="H34" s="51">
        <f ca="1">IF(COUNTIF($V$2:V1019,A34)=1,VLOOKUP(A34,R:S,2), IF(COUNTIF($V$2:V1019,A34)=0,$D$9,""))</f>
        <v>98.96875</v>
      </c>
      <c r="I34" s="2">
        <f t="shared" ca="1" si="8"/>
        <v>-14218.75</v>
      </c>
      <c r="J34" s="54">
        <f t="shared" ca="1" si="9"/>
        <v>-169.6413107638873</v>
      </c>
      <c r="K34" s="52">
        <f>G6*G7</f>
        <v>13398.614759971342</v>
      </c>
      <c r="L34" s="55">
        <f ca="1">IF(ISERROR(B34-2),"",C34+D34-F34-G34+I34+J34-SUM($K$14:K34))</f>
        <v>7306.4926581345007</v>
      </c>
      <c r="M34" s="12">
        <f t="shared" ca="1" si="2"/>
        <v>11008.823888888872</v>
      </c>
      <c r="N34" s="4">
        <v>45966.625</v>
      </c>
      <c r="O34" s="5">
        <v>52.872</v>
      </c>
      <c r="P34" s="4">
        <v>45930.625</v>
      </c>
      <c r="Q34" s="5">
        <v>84.11</v>
      </c>
      <c r="R34" s="4">
        <v>46062.625</v>
      </c>
      <c r="S34" s="5">
        <v>99.5</v>
      </c>
      <c r="T34" s="4" t="str">
        <f t="shared" si="1"/>
        <v/>
      </c>
      <c r="U34" s="4" t="str">
        <f t="shared" si="0"/>
        <v/>
      </c>
      <c r="V34" s="4">
        <v>46071.625</v>
      </c>
      <c r="Y34" s="20" t="s">
        <v>70</v>
      </c>
      <c r="Z34" s="67">
        <v>46066.625</v>
      </c>
      <c r="AA34" s="5">
        <v>1781.4697777777801</v>
      </c>
    </row>
    <row r="35" spans="1:27" ht="14.45" customHeight="1" x14ac:dyDescent="0.25">
      <c r="A35" s="50">
        <f t="shared" ca="1" si="3"/>
        <v>46056.625</v>
      </c>
      <c r="B35" s="51">
        <f ca="1">IF(COUNTIF($V$2:V1020,A35)=1,VLOOKUP(A35,N:O,2), IF(COUNTIF($V$2:V1020,A35)=0,$B$9,""))</f>
        <v>49.676000000000002</v>
      </c>
      <c r="C35" s="2">
        <f t="shared" ca="1" si="4"/>
        <v>2119.9349999999831</v>
      </c>
      <c r="D35" s="54">
        <f t="shared" ca="1" si="5"/>
        <v>8888.8888888888887</v>
      </c>
      <c r="E35" s="51">
        <f ca="1">IF(COUNTIF($V$2:V1020,A35)=1,VLOOKUP(A35,P:Q,2), IF(COUNTIF($V$2:V1020,A35)=0,$C$9,""))</f>
        <v>83.54</v>
      </c>
      <c r="F35" s="2">
        <f t="shared" ca="1" si="6"/>
        <v>-8120.3725818004277</v>
      </c>
      <c r="G35" s="54">
        <f t="shared" ca="1" si="7"/>
        <v>-11998.222222222223</v>
      </c>
      <c r="H35" s="51">
        <f ca="1">IF(COUNTIF($V$2:V1020,A35)=1,VLOOKUP(A35,R:S,2), IF(COUNTIF($V$2:V1020,A35)=0,$D$9,""))</f>
        <v>99.03125</v>
      </c>
      <c r="I35" s="2">
        <f t="shared" ca="1" si="8"/>
        <v>-12593.75</v>
      </c>
      <c r="J35" s="54">
        <f t="shared" ca="1" si="9"/>
        <v>-175.11361111111182</v>
      </c>
      <c r="K35" s="52"/>
      <c r="L35" s="55">
        <f ca="1">IF(ISERROR(B35-2),"",C35+D35-F35-G35+I35+J35-SUM($K$14:K35))</f>
        <v>4959.9403218290663</v>
      </c>
      <c r="M35" s="12">
        <f t="shared" ca="1" si="2"/>
        <v>9681.8336666666637</v>
      </c>
      <c r="N35" s="4">
        <v>45967.625</v>
      </c>
      <c r="O35" s="5">
        <v>53.744999999999997</v>
      </c>
      <c r="P35" s="4">
        <v>45931.625</v>
      </c>
      <c r="Q35" s="5">
        <v>84.07</v>
      </c>
      <c r="R35" s="4">
        <v>46063.625</v>
      </c>
      <c r="S35" s="5">
        <v>99.828125</v>
      </c>
      <c r="T35" s="4" t="str">
        <f t="shared" si="1"/>
        <v/>
      </c>
      <c r="U35" s="4" t="str">
        <f t="shared" si="0"/>
        <v/>
      </c>
      <c r="V35" s="4">
        <v>46072.625</v>
      </c>
      <c r="Y35" s="20" t="s">
        <v>71</v>
      </c>
      <c r="Z35" s="67">
        <v>46070.625</v>
      </c>
      <c r="AA35" s="5">
        <v>6039.2545555555507</v>
      </c>
    </row>
    <row r="36" spans="1:27" ht="14.45" customHeight="1" x14ac:dyDescent="0.25">
      <c r="A36" s="50">
        <f t="shared" ca="1" si="3"/>
        <v>46057.625</v>
      </c>
      <c r="B36" s="51">
        <f ca="1">IF(COUNTIF($V$2:V1021,A36)=1,VLOOKUP(A36,N:O,2), IF(COUNTIF($V$2:V1021,A36)=0,$B$9,""))</f>
        <v>50.027999999999999</v>
      </c>
      <c r="C36" s="2">
        <f t="shared" ca="1" si="4"/>
        <v>515.16699999999798</v>
      </c>
      <c r="D36" s="54">
        <f t="shared" ca="1" si="5"/>
        <v>9166.6666666666661</v>
      </c>
      <c r="E36" s="51">
        <f ca="1">IF(COUNTIF($V$2:V1021,A36)=1,VLOOKUP(A36,P:Q,2), IF(COUNTIF($V$2:V1021,A36)=0,$C$9,""))</f>
        <v>83.51</v>
      </c>
      <c r="F36" s="2">
        <f t="shared" ca="1" si="6"/>
        <v>-9338.4284690704917</v>
      </c>
      <c r="G36" s="54">
        <f t="shared" ca="1" si="7"/>
        <v>-12373.166666666666</v>
      </c>
      <c r="H36" s="51">
        <f ca="1">IF(COUNTIF($V$2:V1021,A36)=1,VLOOKUP(A36,R:S,2), IF(COUNTIF($V$2:V1021,A36)=0,$D$9,""))</f>
        <v>99</v>
      </c>
      <c r="I36" s="2">
        <f t="shared" ca="1" si="8"/>
        <v>-13406.25</v>
      </c>
      <c r="J36" s="54">
        <f t="shared" ca="1" si="9"/>
        <v>-180.5859114583327</v>
      </c>
      <c r="K36" s="52"/>
      <c r="L36" s="55">
        <f ca="1">IF(ISERROR(B36-2),"",C36+D36-F36-G36+I36+J36-SUM($K$14:K36))</f>
        <v>4407.9781309741429</v>
      </c>
      <c r="M36" s="12">
        <f t="shared" ca="1" si="2"/>
        <v>2200.1934444444487</v>
      </c>
      <c r="N36" s="4">
        <v>45968.625</v>
      </c>
      <c r="O36" s="5">
        <v>53.613999999999997</v>
      </c>
      <c r="P36" s="4">
        <v>45932.625</v>
      </c>
      <c r="Q36" s="5">
        <v>84.16</v>
      </c>
      <c r="R36" s="4">
        <v>46064.625</v>
      </c>
      <c r="S36" s="5">
        <v>99.578125</v>
      </c>
      <c r="T36" s="4" t="str">
        <f t="shared" si="1"/>
        <v/>
      </c>
      <c r="U36" s="4" t="str">
        <f t="shared" si="0"/>
        <v/>
      </c>
      <c r="V36" s="4">
        <v>46073.625</v>
      </c>
      <c r="Y36" s="20" t="s">
        <v>72</v>
      </c>
      <c r="Z36" s="67">
        <v>46071.625</v>
      </c>
      <c r="AA36" s="5">
        <v>5368.7603333333327</v>
      </c>
    </row>
    <row r="37" spans="1:27" x14ac:dyDescent="0.25">
      <c r="A37" s="50">
        <f t="shared" ca="1" si="3"/>
        <v>46058.625</v>
      </c>
      <c r="B37" s="51">
        <f ca="1">IF(COUNTIF($V$2:V1022,A37)=1,VLOOKUP(A37,N:O,2), IF(COUNTIF($V$2:V1022,A37)=0,$B$9,""))</f>
        <v>51.73</v>
      </c>
      <c r="C37" s="2">
        <f t="shared" ca="1" si="4"/>
        <v>-7244.2509999999947</v>
      </c>
      <c r="D37" s="54">
        <f t="shared" ca="1" si="5"/>
        <v>9444.4444444444434</v>
      </c>
      <c r="E37" s="51">
        <f ca="1">IF(COUNTIF($V$2:V1022,A37)=1,VLOOKUP(A37,P:Q,2), IF(COUNTIF($V$2:V1022,A37)=0,$C$9,""))</f>
        <v>83.84</v>
      </c>
      <c r="F37" s="2">
        <f t="shared" ca="1" si="6"/>
        <v>4060.1862909009687</v>
      </c>
      <c r="G37" s="54">
        <f t="shared" ca="1" si="7"/>
        <v>-12748.111111111109</v>
      </c>
      <c r="H37" s="51">
        <f ca="1">IF(COUNTIF($V$2:V1022,A37)=1,VLOOKUP(A37,R:S,2), IF(COUNTIF($V$2:V1022,A37)=0,$D$9,""))</f>
        <v>99.546875</v>
      </c>
      <c r="I37" s="2">
        <f t="shared" ca="1" si="8"/>
        <v>812.5</v>
      </c>
      <c r="J37" s="54">
        <f t="shared" ca="1" si="9"/>
        <v>-186.0582118055554</v>
      </c>
      <c r="K37" s="52"/>
      <c r="L37" s="55">
        <f ca="1">IF(ISERROR(B37-2),"",C37+D37-F37-G37+I37+J37-SUM($K$14:K37))</f>
        <v>-1884.0547071223082</v>
      </c>
      <c r="M37" s="12">
        <f t="shared" ca="1" si="2"/>
        <v>9029.2542222222182</v>
      </c>
      <c r="N37" s="4">
        <v>45971.625</v>
      </c>
      <c r="O37" s="5">
        <v>51.887</v>
      </c>
      <c r="P37" s="4">
        <v>45933.625</v>
      </c>
      <c r="Q37" s="5">
        <v>84.06</v>
      </c>
      <c r="R37" s="4">
        <v>46065.625</v>
      </c>
      <c r="S37" s="5">
        <v>100.09375</v>
      </c>
      <c r="T37" s="4" t="str">
        <f t="shared" si="1"/>
        <v/>
      </c>
      <c r="U37" s="4" t="str">
        <f t="shared" si="0"/>
        <v/>
      </c>
      <c r="V37" s="4">
        <v>46076.625</v>
      </c>
      <c r="Y37" s="20" t="s">
        <v>73</v>
      </c>
      <c r="Z37" s="67">
        <v>46072.625</v>
      </c>
      <c r="AA37" s="5">
        <v>7378.9581111110892</v>
      </c>
    </row>
    <row r="38" spans="1:27" x14ac:dyDescent="0.25">
      <c r="A38" s="50">
        <f t="shared" ca="1" si="3"/>
        <v>46059.625</v>
      </c>
      <c r="B38" s="51">
        <f ca="1">IF(COUNTIF($V$2:V1023,A38)=1,VLOOKUP(A38,N:O,2), IF(COUNTIF($V$2:V1023,A38)=0,$B$9,""))</f>
        <v>50.292999999999999</v>
      </c>
      <c r="C38" s="2">
        <f t="shared" ca="1" si="4"/>
        <v>-692.96800000000474</v>
      </c>
      <c r="D38" s="54">
        <f t="shared" ca="1" si="5"/>
        <v>9722.2222222222226</v>
      </c>
      <c r="E38" s="51">
        <f ca="1">IF(COUNTIF($V$2:V1023,A38)=1,VLOOKUP(A38,P:Q,2), IF(COUNTIF($V$2:V1023,A38)=0,$C$9,""))</f>
        <v>83.87</v>
      </c>
      <c r="F38" s="2">
        <f t="shared" ca="1" si="6"/>
        <v>5278.2421781706553</v>
      </c>
      <c r="G38" s="54">
        <f t="shared" ca="1" si="7"/>
        <v>-13123.055555555557</v>
      </c>
      <c r="H38" s="51">
        <f ca="1">IF(COUNTIF($V$2:V1023,A38)=1,VLOOKUP(A38,R:S,2), IF(COUNTIF($V$2:V1023,A38)=0,$D$9,""))</f>
        <v>99.46875</v>
      </c>
      <c r="I38" s="2">
        <f t="shared" ca="1" si="8"/>
        <v>-1218.75</v>
      </c>
      <c r="J38" s="54">
        <f t="shared" ca="1" si="9"/>
        <v>-191.5305121527781</v>
      </c>
      <c r="K38" s="52"/>
      <c r="L38" s="55">
        <f ca="1">IF(ISERROR(B38-2),"",C38+D38-F38-G38+I38+J38-SUM($K$14:K38))</f>
        <v>2065.1723274829983</v>
      </c>
      <c r="M38" s="12">
        <f t="shared" ca="1" si="2"/>
        <v>11544.858555555549</v>
      </c>
      <c r="N38" s="4">
        <v>45973.625</v>
      </c>
      <c r="O38" s="5">
        <v>52.323</v>
      </c>
      <c r="P38" s="4">
        <v>45936.625</v>
      </c>
      <c r="Q38" s="5">
        <v>83.89</v>
      </c>
      <c r="R38" s="4">
        <v>46066.625</v>
      </c>
      <c r="S38" s="5">
        <v>100.40625</v>
      </c>
      <c r="T38" s="4" t="str">
        <f t="shared" si="1"/>
        <v/>
      </c>
      <c r="U38" s="4" t="str">
        <f t="shared" si="0"/>
        <v/>
      </c>
      <c r="V38" s="4">
        <v>46077.625</v>
      </c>
      <c r="Y38" s="20" t="s">
        <v>74</v>
      </c>
      <c r="Z38" s="67">
        <v>46073.625</v>
      </c>
      <c r="AA38" s="5">
        <v>3571.2294444444196</v>
      </c>
    </row>
    <row r="39" spans="1:27" x14ac:dyDescent="0.25">
      <c r="A39" s="50">
        <f t="shared" ca="1" si="3"/>
        <v>46062.625</v>
      </c>
      <c r="B39" s="51">
        <f ca="1">IF(COUNTIF($V$2:V1024,A39)=1,VLOOKUP(A39,N:O,2), IF(COUNTIF($V$2:V1024,A39)=0,$B$9,""))</f>
        <v>49.923999999999999</v>
      </c>
      <c r="C39" s="2">
        <f t="shared" ca="1" si="4"/>
        <v>989.30299999999443</v>
      </c>
      <c r="D39" s="54">
        <f t="shared" ca="1" si="5"/>
        <v>10555.555555555555</v>
      </c>
      <c r="E39" s="51">
        <f ca="1">IF(COUNTIF($V$2:V1024,A39)=1,VLOOKUP(A39,P:Q,2), IF(COUNTIF($V$2:V1024,A39)=0,$C$9,""))</f>
        <v>83.9</v>
      </c>
      <c r="F39" s="2">
        <f t="shared" ca="1" si="6"/>
        <v>6496.2980654410976</v>
      </c>
      <c r="G39" s="54">
        <f t="shared" ca="1" si="7"/>
        <v>-14247.888888888891</v>
      </c>
      <c r="H39" s="51">
        <f ca="1">IF(COUNTIF($V$2:V1024,A39)=1,VLOOKUP(A39,R:S,2), IF(COUNTIF($V$2:V1024,A39)=0,$D$9,""))</f>
        <v>99.5</v>
      </c>
      <c r="I39" s="2">
        <f t="shared" ca="1" si="8"/>
        <v>-406.25</v>
      </c>
      <c r="J39" s="54">
        <f t="shared" ca="1" si="9"/>
        <v>-207.94741319444438</v>
      </c>
      <c r="K39" s="52"/>
      <c r="L39" s="55">
        <f ca="1">IF(ISERROR(B39-2),"",C39+D39-F39-G39+I39+J39-SUM($K$14:K39))</f>
        <v>5283.6372058375546</v>
      </c>
      <c r="M39" s="12">
        <f t="shared" ca="1" si="2"/>
        <v>8877.5223333333233</v>
      </c>
      <c r="N39" s="4">
        <v>45974.625</v>
      </c>
      <c r="O39" s="5">
        <v>53.618000000000002</v>
      </c>
      <c r="P39" s="4">
        <v>45937.625</v>
      </c>
      <c r="Q39" s="5">
        <v>84</v>
      </c>
      <c r="R39" s="4">
        <v>46069.625</v>
      </c>
      <c r="S39" s="5">
        <v>100.421875</v>
      </c>
      <c r="T39" s="4" t="str">
        <f t="shared" si="1"/>
        <v/>
      </c>
      <c r="U39" s="4" t="str">
        <f t="shared" si="0"/>
        <v/>
      </c>
      <c r="V39" s="4">
        <v>46078.625</v>
      </c>
      <c r="Y39" s="20" t="s">
        <v>75</v>
      </c>
      <c r="Z39" s="67">
        <v>46076.625</v>
      </c>
      <c r="AA39" s="5">
        <v>2426.5992222222103</v>
      </c>
    </row>
    <row r="40" spans="1:27" x14ac:dyDescent="0.25">
      <c r="A40" s="50">
        <f t="shared" ca="1" si="3"/>
        <v>46063.625</v>
      </c>
      <c r="B40" s="51">
        <f ca="1">IF(COUNTIF($V$2:V1025,A40)=1,VLOOKUP(A40,N:O,2), IF(COUNTIF($V$2:V1025,A40)=0,$B$9,""))</f>
        <v>50.57</v>
      </c>
      <c r="C40" s="2">
        <f t="shared" ca="1" si="4"/>
        <v>-1955.8110000000097</v>
      </c>
      <c r="D40" s="54">
        <f t="shared" ca="1" si="5"/>
        <v>10833.333333333332</v>
      </c>
      <c r="E40" s="51">
        <f ca="1">IF(COUNTIF($V$2:V1025,A40)=1,VLOOKUP(A40,P:Q,2), IF(COUNTIF($V$2:V1025,A40)=0,$C$9,""))</f>
        <v>84.03</v>
      </c>
      <c r="F40" s="2">
        <f t="shared" ca="1" si="6"/>
        <v>11774.540243611753</v>
      </c>
      <c r="G40" s="54">
        <f t="shared" ca="1" si="7"/>
        <v>-14622.833333333334</v>
      </c>
      <c r="H40" s="51">
        <f ca="1">IF(COUNTIF($V$2:V1025,A40)=1,VLOOKUP(A40,R:S,2), IF(COUNTIF($V$2:V1025,A40)=0,$D$9,""))</f>
        <v>99.828125</v>
      </c>
      <c r="I40" s="2">
        <f t="shared" ca="1" si="8"/>
        <v>8125</v>
      </c>
      <c r="J40" s="54">
        <f t="shared" ca="1" si="9"/>
        <v>-213.4197135416689</v>
      </c>
      <c r="K40" s="52"/>
      <c r="L40" s="55">
        <f ca="1">IF(ISERROR(B40-2),"",C40+D40-F40-G40+I40+J40-SUM($K$14:K40))</f>
        <v>6238.7809495418933</v>
      </c>
      <c r="M40" s="12">
        <f t="shared" ca="1" si="2"/>
        <v>10012.39211111111</v>
      </c>
      <c r="N40" s="4">
        <v>45975.625</v>
      </c>
      <c r="O40" s="5">
        <v>53.448</v>
      </c>
      <c r="P40" s="4">
        <v>45938.625</v>
      </c>
      <c r="Q40" s="5">
        <v>83.91</v>
      </c>
      <c r="R40" s="4">
        <v>46070.625</v>
      </c>
      <c r="S40" s="5">
        <v>100.359375</v>
      </c>
      <c r="T40" s="4" t="str">
        <f t="shared" si="1"/>
        <v/>
      </c>
      <c r="U40" s="4" t="str">
        <f t="shared" si="0"/>
        <v/>
      </c>
      <c r="V40" s="4">
        <v>46079.625</v>
      </c>
      <c r="Y40" s="20" t="s">
        <v>76</v>
      </c>
      <c r="Z40" s="67">
        <v>46077.625</v>
      </c>
      <c r="AA40" s="5">
        <v>4272.6729999999934</v>
      </c>
    </row>
    <row r="41" spans="1:27" x14ac:dyDescent="0.25">
      <c r="A41" s="50">
        <f t="shared" ca="1" si="3"/>
        <v>46064.625</v>
      </c>
      <c r="B41" s="51">
        <f ca="1">IF(COUNTIF($V$2:V1026,A41)=1,VLOOKUP(A41,N:O,2), IF(COUNTIF($V$2:V1026,A41)=0,$B$9,""))</f>
        <v>50.381999999999998</v>
      </c>
      <c r="C41" s="2">
        <f t="shared" ca="1" si="4"/>
        <v>-1098.7189999999985</v>
      </c>
      <c r="D41" s="54">
        <f t="shared" ca="1" si="5"/>
        <v>11111.111111111109</v>
      </c>
      <c r="E41" s="51">
        <f ca="1">IF(COUNTIF($V$2:V1026,A41)=1,VLOOKUP(A41,P:Q,2), IF(COUNTIF($V$2:V1026,A41)=0,$C$9,""))</f>
        <v>83.96</v>
      </c>
      <c r="F41" s="2">
        <f t="shared" ca="1" si="6"/>
        <v>8932.4098399804716</v>
      </c>
      <c r="G41" s="54">
        <f t="shared" ca="1" si="7"/>
        <v>-14997.777777777776</v>
      </c>
      <c r="H41" s="51">
        <f ca="1">IF(COUNTIF($V$2:V1026,A41)=1,VLOOKUP(A41,R:S,2), IF(COUNTIF($V$2:V1026,A41)=0,$D$9,""))</f>
        <v>99.578125</v>
      </c>
      <c r="I41" s="2">
        <f t="shared" ca="1" si="8"/>
        <v>1625</v>
      </c>
      <c r="J41" s="54">
        <f t="shared" ca="1" si="9"/>
        <v>-218.89201388888432</v>
      </c>
      <c r="K41" s="52"/>
      <c r="L41" s="55">
        <f ca="1">IF(ISERROR(B41-2),"",C41+D41-F41-G41+I41+J41-SUM($K$14:K41))</f>
        <v>4085.253275048186</v>
      </c>
      <c r="M41" s="12">
        <f t="shared" ca="1" si="2"/>
        <v>3602.116888888896</v>
      </c>
      <c r="N41" s="4">
        <v>45978.625</v>
      </c>
      <c r="O41" s="5">
        <v>54.393999999999998</v>
      </c>
      <c r="P41" s="4">
        <v>45939.625</v>
      </c>
      <c r="Q41" s="5">
        <v>83.78</v>
      </c>
      <c r="R41" s="4">
        <v>46071.625</v>
      </c>
      <c r="S41" s="5">
        <v>100.15625</v>
      </c>
      <c r="T41" s="4" t="str">
        <f t="shared" si="1"/>
        <v/>
      </c>
      <c r="U41" s="4" t="str">
        <f t="shared" si="0"/>
        <v/>
      </c>
      <c r="V41" s="4">
        <v>46080.625</v>
      </c>
      <c r="Y41" s="20" t="s">
        <v>77</v>
      </c>
      <c r="Z41" s="67">
        <v>46078.625</v>
      </c>
      <c r="AA41" s="5">
        <v>-377.8282222222424</v>
      </c>
    </row>
    <row r="42" spans="1:27" x14ac:dyDescent="0.25">
      <c r="A42" s="50">
        <f t="shared" ca="1" si="3"/>
        <v>46065.625</v>
      </c>
      <c r="B42" s="51">
        <f ca="1">IF(COUNTIF($V$2:V1027,A42)=1,VLOOKUP(A42,N:O,2), IF(COUNTIF($V$2:V1027,A42)=0,$B$9,""))</f>
        <v>51.848999999999997</v>
      </c>
      <c r="C42" s="2">
        <f t="shared" ca="1" si="4"/>
        <v>-7786.7719999999927</v>
      </c>
      <c r="D42" s="54">
        <f t="shared" ca="1" si="5"/>
        <v>11388.888888888889</v>
      </c>
      <c r="E42" s="51">
        <f ca="1">IF(COUNTIF($V$2:V1027,A42)=1,VLOOKUP(A42,P:Q,2), IF(COUNTIF($V$2:V1027,A42)=0,$C$9,""))</f>
        <v>84.22</v>
      </c>
      <c r="F42" s="2">
        <f t="shared" ca="1" si="6"/>
        <v>19488.89419632178</v>
      </c>
      <c r="G42" s="54">
        <f t="shared" ca="1" si="7"/>
        <v>-15372.722222222223</v>
      </c>
      <c r="H42" s="51">
        <f ca="1">IF(COUNTIF($V$2:V1027,A42)=1,VLOOKUP(A42,R:S,2), IF(COUNTIF($V$2:V1027,A42)=0,$D$9,""))</f>
        <v>100.09375</v>
      </c>
      <c r="I42" s="2">
        <f t="shared" ca="1" si="8"/>
        <v>15031.25</v>
      </c>
      <c r="J42" s="54">
        <f t="shared" ca="1" si="9"/>
        <v>-224.36431423611248</v>
      </c>
      <c r="K42" s="52"/>
      <c r="L42" s="55">
        <f ca="1">IF(ISERROR(B42-2),"",C42+D42-F42-G42+I42+J42-SUM($K$14:K42))</f>
        <v>894.21584058188455</v>
      </c>
      <c r="M42" s="12">
        <f t="shared" ca="1" si="2"/>
        <v>2790.2936666666537</v>
      </c>
      <c r="N42" s="4">
        <v>45979.625</v>
      </c>
      <c r="O42" s="5">
        <v>55.21</v>
      </c>
      <c r="P42" s="4">
        <v>45940.625</v>
      </c>
      <c r="Q42" s="5">
        <v>83.94</v>
      </c>
      <c r="R42" s="4">
        <v>46072.625</v>
      </c>
      <c r="S42" s="5">
        <v>100.21875</v>
      </c>
      <c r="T42" s="4" t="str">
        <f t="shared" si="1"/>
        <v/>
      </c>
      <c r="U42" s="4" t="str">
        <f t="shared" si="0"/>
        <v/>
      </c>
      <c r="Z42" s="67">
        <v>46079.625</v>
      </c>
      <c r="AA42" s="5">
        <v>-10325.887444444445</v>
      </c>
    </row>
    <row r="43" spans="1:27" x14ac:dyDescent="0.25">
      <c r="A43" s="50">
        <f t="shared" ca="1" si="3"/>
        <v>46066.625</v>
      </c>
      <c r="B43" s="51">
        <f ca="1">IF(COUNTIF($V$2:V1028,A43)=1,VLOOKUP(A43,N:O,2), IF(COUNTIF($V$2:V1028,A43)=0,$B$9,""))</f>
        <v>52.088000000000001</v>
      </c>
      <c r="C43" s="2">
        <f t="shared" ca="1" si="4"/>
        <v>-8876.3730000000141</v>
      </c>
      <c r="D43" s="54">
        <f t="shared" ca="1" si="5"/>
        <v>11666.666666666668</v>
      </c>
      <c r="E43" s="51">
        <f ca="1">IF(COUNTIF($V$2:V1028,A43)=1,VLOOKUP(A43,P:Q,2), IF(COUNTIF($V$2:V1028,A43)=0,$C$9,""))</f>
        <v>84.49</v>
      </c>
      <c r="F43" s="2">
        <f t="shared" ca="1" si="6"/>
        <v>30451.397181752738</v>
      </c>
      <c r="G43" s="54">
        <f t="shared" ca="1" si="7"/>
        <v>-15747.666666666666</v>
      </c>
      <c r="H43" s="51">
        <f ca="1">IF(COUNTIF($V$2:V1028,A43)=1,VLOOKUP(A43,R:S,2), IF(COUNTIF($V$2:V1028,A43)=0,$D$9,""))</f>
        <v>100.40625</v>
      </c>
      <c r="I43" s="2">
        <f t="shared" ca="1" si="8"/>
        <v>23156.249999999996</v>
      </c>
      <c r="J43" s="54">
        <f t="shared" ca="1" si="9"/>
        <v>-229.83661458333336</v>
      </c>
      <c r="K43" s="52"/>
      <c r="L43" s="55">
        <f ca="1">IF(ISERROR(B43-2),"",C43+D43-F43-G43+I43+J43-SUM($K$14:K43))</f>
        <v>-2385.6382229740975</v>
      </c>
      <c r="M43" s="12">
        <f t="shared" ca="1" si="2"/>
        <v>1781.4697777777801</v>
      </c>
      <c r="N43" s="4">
        <v>45980.625</v>
      </c>
      <c r="O43" s="5">
        <v>54.734999999999999</v>
      </c>
      <c r="P43" s="4">
        <v>45943.625</v>
      </c>
      <c r="Q43" s="5">
        <v>84.18</v>
      </c>
      <c r="R43" s="4">
        <v>46073.625</v>
      </c>
      <c r="S43" s="5">
        <v>100.203125</v>
      </c>
      <c r="T43" s="4" t="str">
        <f t="shared" si="1"/>
        <v/>
      </c>
      <c r="U43" s="4" t="str">
        <f t="shared" si="0"/>
        <v/>
      </c>
      <c r="Z43" s="67">
        <v>46080.625</v>
      </c>
      <c r="AA43" s="5">
        <v>-10931.049104444468</v>
      </c>
    </row>
    <row r="44" spans="1:27" x14ac:dyDescent="0.25">
      <c r="A44" s="50">
        <f t="shared" ca="1" si="3"/>
        <v>46070.625</v>
      </c>
      <c r="B44" s="51">
        <f ca="1">IF(COUNTIF($V$2:V1029,A44)=1,VLOOKUP(A44,N:O,2), IF(COUNTIF($V$2:V1029,A44)=0,$B$9,""))</f>
        <v>52.552999999999997</v>
      </c>
      <c r="C44" s="2">
        <f t="shared" ca="1" si="4"/>
        <v>-10996.307999999997</v>
      </c>
      <c r="D44" s="54">
        <f t="shared" ca="1" si="5"/>
        <v>12777.777777777777</v>
      </c>
      <c r="E44" s="51">
        <f ca="1">IF(COUNTIF($V$2:V1029,A44)=1,VLOOKUP(A44,P:Q,2), IF(COUNTIF($V$2:V1029,A44)=0,$C$9,""))</f>
        <v>84.53</v>
      </c>
      <c r="F44" s="2">
        <f t="shared" ca="1" si="6"/>
        <v>32075.471698113579</v>
      </c>
      <c r="G44" s="54">
        <f t="shared" ca="1" si="7"/>
        <v>-17247.444444444445</v>
      </c>
      <c r="H44" s="51">
        <f ca="1">IF(COUNTIF($V$2:V1029,A44)=1,VLOOKUP(A44,R:S,2), IF(COUNTIF($V$2:V1029,A44)=0,$D$9,""))</f>
        <v>100.359375</v>
      </c>
      <c r="I44" s="2">
        <f t="shared" ca="1" si="8"/>
        <v>21937.5</v>
      </c>
      <c r="J44" s="54">
        <f t="shared" ca="1" si="9"/>
        <v>-251.72581597222415</v>
      </c>
      <c r="K44" s="52"/>
      <c r="L44" s="55">
        <f ca="1">IF(ISERROR(B44-2),"",C44+D44-F44-G44+I44+J44-SUM($K$14:K44))</f>
        <v>-4759.3980518349199</v>
      </c>
      <c r="M44" s="12">
        <f t="shared" ca="1" si="2"/>
        <v>6039.2545555555507</v>
      </c>
      <c r="N44" s="4">
        <v>45981.625</v>
      </c>
      <c r="O44" s="5">
        <v>55.808999999999997</v>
      </c>
      <c r="P44" s="4">
        <v>45944.625</v>
      </c>
      <c r="Q44" s="5">
        <v>84.33</v>
      </c>
      <c r="R44" s="4">
        <v>46076.625</v>
      </c>
      <c r="S44" s="5">
        <v>100.578125</v>
      </c>
      <c r="T44" s="4" t="str">
        <f t="shared" si="1"/>
        <v/>
      </c>
      <c r="U44" s="4" t="str">
        <f t="shared" si="0"/>
        <v/>
      </c>
      <c r="Z44" s="67">
        <v>46080.820291782409</v>
      </c>
      <c r="AA44" s="5" t="e">
        <v>#VALUE!</v>
      </c>
    </row>
    <row r="45" spans="1:27" x14ac:dyDescent="0.25">
      <c r="A45" s="50">
        <f t="shared" ca="1" si="3"/>
        <v>46071.625</v>
      </c>
      <c r="B45" s="51">
        <f ca="1">IF(COUNTIF($V$2:V1030,A45)=1,VLOOKUP(A45,N:O,2), IF(COUNTIF($V$2:V1030,A45)=0,$B$9,""))</f>
        <v>51.68</v>
      </c>
      <c r="C45" s="2">
        <f t="shared" ca="1" si="4"/>
        <v>-7016.3010000000077</v>
      </c>
      <c r="D45" s="54">
        <f t="shared" ca="1" si="5"/>
        <v>13055.555555555558</v>
      </c>
      <c r="E45" s="51">
        <f ca="1">IF(COUNTIF($V$2:V1030,A45)=1,VLOOKUP(A45,P:Q,2), IF(COUNTIF($V$2:V1030,A45)=0,$C$9,""))</f>
        <v>84.46</v>
      </c>
      <c r="F45" s="2">
        <f t="shared" ca="1" si="6"/>
        <v>29233.341294483049</v>
      </c>
      <c r="G45" s="54">
        <f t="shared" ca="1" si="7"/>
        <v>-17622.388888888891</v>
      </c>
      <c r="H45" s="51">
        <f ca="1">IF(COUNTIF($V$2:V1030,A45)=1,VLOOKUP(A45,R:S,2), IF(COUNTIF($V$2:V1030,A45)=0,$D$9,""))</f>
        <v>100.15625</v>
      </c>
      <c r="I45" s="2">
        <f t="shared" ca="1" si="8"/>
        <v>16656.25</v>
      </c>
      <c r="J45" s="54">
        <f t="shared" ca="1" si="9"/>
        <v>-257.19811631944503</v>
      </c>
      <c r="K45" s="52"/>
      <c r="L45" s="55">
        <f ca="1">IF(ISERROR(B45-2),"",C45+D45-F45-G45+I45+J45-SUM($K$14:K45))</f>
        <v>-2571.2607263293939</v>
      </c>
      <c r="M45" s="12">
        <f t="shared" ca="1" si="2"/>
        <v>5368.7603333333327</v>
      </c>
      <c r="N45" s="4">
        <v>45982.625</v>
      </c>
      <c r="O45" s="5">
        <v>54.811</v>
      </c>
      <c r="P45" s="4">
        <v>45945.625</v>
      </c>
      <c r="Q45" s="5">
        <v>84.38</v>
      </c>
      <c r="R45" s="4">
        <v>46077.625</v>
      </c>
      <c r="S45" s="5">
        <v>100.515625</v>
      </c>
      <c r="T45" s="4" t="str">
        <f t="shared" si="1"/>
        <v/>
      </c>
      <c r="U45" s="4" t="str">
        <f t="shared" si="0"/>
        <v/>
      </c>
    </row>
    <row r="46" spans="1:27" x14ac:dyDescent="0.25">
      <c r="A46" s="50">
        <f t="shared" ca="1" si="3"/>
        <v>46072.625</v>
      </c>
      <c r="B46" s="51">
        <f ca="1">IF(COUNTIF($V$2:V1031,A46)=1,VLOOKUP(A46,N:O,2), IF(COUNTIF($V$2:V1031,A46)=0,$B$9,""))</f>
        <v>51.887999999999998</v>
      </c>
      <c r="C46" s="2">
        <f t="shared" ca="1" si="4"/>
        <v>-7964.5729999999994</v>
      </c>
      <c r="D46" s="54">
        <f t="shared" ca="1" si="5"/>
        <v>13333.333333333332</v>
      </c>
      <c r="E46" s="51">
        <f ca="1">IF(COUNTIF($V$2:V1031,A46)=1,VLOOKUP(A46,P:Q,2), IF(COUNTIF($V$2:V1031,A46)=0,$C$9,""))</f>
        <v>84.52</v>
      </c>
      <c r="F46" s="2">
        <f t="shared" ca="1" si="6"/>
        <v>31669.45306902318</v>
      </c>
      <c r="G46" s="54">
        <f t="shared" ca="1" si="7"/>
        <v>-17997.333333333332</v>
      </c>
      <c r="H46" s="51">
        <f ca="1">IF(COUNTIF($V$2:V1031,A46)=1,VLOOKUP(A46,R:S,2), IF(COUNTIF($V$2:V1031,A46)=0,$D$9,""))</f>
        <v>100.21875</v>
      </c>
      <c r="I46" s="2">
        <f t="shared" ca="1" si="8"/>
        <v>18281.25</v>
      </c>
      <c r="J46" s="54">
        <f t="shared" ca="1" si="9"/>
        <v>-262.67041666666591</v>
      </c>
      <c r="K46" s="52"/>
      <c r="L46" s="55">
        <f ca="1">IF(ISERROR(B46-2),"",C46+D46-F46-G46+I46+J46-SUM($K$14:K46))</f>
        <v>-3683.3945789945246</v>
      </c>
      <c r="M46" s="12">
        <f t="shared" ca="1" si="2"/>
        <v>7378.9581111110892</v>
      </c>
      <c r="N46" s="4">
        <v>45985.625</v>
      </c>
      <c r="O46" s="5">
        <v>53.137999999999998</v>
      </c>
      <c r="P46" s="4">
        <v>45946.625</v>
      </c>
      <c r="Q46" s="5">
        <v>84.594999999999999</v>
      </c>
      <c r="R46" s="4">
        <v>46078.625</v>
      </c>
      <c r="S46" s="5">
        <v>100.40625</v>
      </c>
      <c r="T46" s="4" t="str">
        <f t="shared" si="1"/>
        <v/>
      </c>
      <c r="U46" s="4" t="str">
        <f t="shared" si="0"/>
        <v/>
      </c>
    </row>
    <row r="47" spans="1:27" x14ac:dyDescent="0.25">
      <c r="A47" s="50">
        <f t="shared" ca="1" si="3"/>
        <v>46073.625</v>
      </c>
      <c r="B47" s="51">
        <f ca="1">IF(COUNTIF($V$2:V1032,A47)=1,VLOOKUP(A47,N:O,2), IF(COUNTIF($V$2:V1032,A47)=0,$B$9,""))</f>
        <v>51.508000000000003</v>
      </c>
      <c r="C47" s="2">
        <f t="shared" ca="1" si="4"/>
        <v>-6232.1530000000203</v>
      </c>
      <c r="D47" s="54">
        <f t="shared" ca="1" si="5"/>
        <v>13611.111111111109</v>
      </c>
      <c r="E47" s="51">
        <f ca="1">IF(COUNTIF($V$2:V1032,A47)=1,VLOOKUP(A47,P:Q,2), IF(COUNTIF($V$2:V1032,A47)=0,$C$9,""))</f>
        <v>84.54</v>
      </c>
      <c r="F47" s="2">
        <f t="shared" ca="1" si="6"/>
        <v>32481.490327203977</v>
      </c>
      <c r="G47" s="54">
        <f t="shared" ca="1" si="7"/>
        <v>-18372.277777777777</v>
      </c>
      <c r="H47" s="51">
        <f ca="1">IF(COUNTIF($V$2:V1032,A47)=1,VLOOKUP(A47,R:S,2), IF(COUNTIF($V$2:V1032,A47)=0,$D$9,""))</f>
        <v>100.203125</v>
      </c>
      <c r="I47" s="2">
        <f t="shared" ca="1" si="8"/>
        <v>17875</v>
      </c>
      <c r="J47" s="54">
        <f t="shared" ca="1" si="9"/>
        <v>-268.14271701389043</v>
      </c>
      <c r="K47" s="52"/>
      <c r="L47" s="55">
        <f ca="1">IF(ISERROR(B47-2),"",C47+D47-F47-G47+I47+J47-SUM($K$14:K47))</f>
        <v>-2522.0119153003434</v>
      </c>
      <c r="M47" s="12">
        <f t="shared" ca="1" si="2"/>
        <v>3571.2294444444196</v>
      </c>
      <c r="N47" s="4">
        <v>45986.625</v>
      </c>
      <c r="O47" s="5">
        <v>52.378999999999998</v>
      </c>
      <c r="P47" s="4">
        <v>45947.625</v>
      </c>
      <c r="Q47" s="5">
        <v>84.47</v>
      </c>
      <c r="R47" s="4">
        <v>46079.625</v>
      </c>
      <c r="S47" s="5">
        <v>100.65625</v>
      </c>
      <c r="T47" s="4" t="str">
        <f t="shared" si="1"/>
        <v/>
      </c>
      <c r="U47" s="4" t="str">
        <f t="shared" si="0"/>
        <v/>
      </c>
    </row>
    <row r="48" spans="1:27" x14ac:dyDescent="0.25">
      <c r="A48" s="50">
        <f t="shared" ca="1" si="3"/>
        <v>46076.625</v>
      </c>
      <c r="B48" s="51">
        <f ca="1">IF(COUNTIF($V$2:V1033,A48)=1,VLOOKUP(A48,N:O,2), IF(COUNTIF($V$2:V1033,A48)=0,$B$9,""))</f>
        <v>52.526000000000003</v>
      </c>
      <c r="C48" s="2">
        <f t="shared" ca="1" si="4"/>
        <v>-10873.215000000024</v>
      </c>
      <c r="D48" s="54">
        <f t="shared" ca="1" si="5"/>
        <v>14444.444444444443</v>
      </c>
      <c r="E48" s="51">
        <f ca="1">IF(COUNTIF($V$2:V1033,A48)=1,VLOOKUP(A48,P:Q,2), IF(COUNTIF($V$2:V1033,A48)=0,$C$9,""))</f>
        <v>84.71</v>
      </c>
      <c r="F48" s="2">
        <f t="shared" ca="1" si="6"/>
        <v>39383.807021733963</v>
      </c>
      <c r="G48" s="54">
        <f t="shared" ca="1" si="7"/>
        <v>-19497.111111111109</v>
      </c>
      <c r="H48" s="51">
        <f ca="1">IF(COUNTIF($V$2:V1033,A48)=1,VLOOKUP(A48,R:S,2), IF(COUNTIF($V$2:V1033,A48)=0,$D$9,""))</f>
        <v>100.578125</v>
      </c>
      <c r="I48" s="2">
        <f t="shared" ca="1" si="8"/>
        <v>27625.000000000004</v>
      </c>
      <c r="J48" s="54">
        <f t="shared" ca="1" si="9"/>
        <v>-284.55961805555671</v>
      </c>
      <c r="K48" s="52"/>
      <c r="L48" s="55">
        <f ca="1">IF(ISERROR(B48-2),"",C48+D48-F48-G48+I48+J48-SUM($K$14:K48))</f>
        <v>-2373.6408442053289</v>
      </c>
      <c r="M48" s="12">
        <f t="shared" ca="1" si="2"/>
        <v>2426.5992222222103</v>
      </c>
      <c r="N48" s="4">
        <v>45987.625</v>
      </c>
      <c r="O48" s="5">
        <v>51.655999999999999</v>
      </c>
      <c r="P48" s="4">
        <v>45950.625</v>
      </c>
      <c r="Q48" s="5">
        <v>84.6</v>
      </c>
      <c r="R48" s="4">
        <v>46080.625</v>
      </c>
      <c r="S48" s="5">
        <v>101</v>
      </c>
      <c r="T48" s="4" t="str">
        <f t="shared" si="1"/>
        <v/>
      </c>
      <c r="U48" s="4" t="str">
        <f t="shared" si="0"/>
        <v/>
      </c>
    </row>
    <row r="49" spans="1:31" x14ac:dyDescent="0.25">
      <c r="A49" s="50">
        <f t="shared" ca="1" si="3"/>
        <v>46077.625</v>
      </c>
      <c r="B49" s="51">
        <f ca="1">IF(COUNTIF($V$2:V1034,A49)=1,VLOOKUP(A49,N:O,2), IF(COUNTIF($V$2:V1034,A49)=0,$B$9,""))</f>
        <v>52.838000000000001</v>
      </c>
      <c r="C49" s="2">
        <f t="shared" ca="1" si="4"/>
        <v>-12295.623000000012</v>
      </c>
      <c r="D49" s="54">
        <f t="shared" ca="1" si="5"/>
        <v>14722.222222222223</v>
      </c>
      <c r="E49" s="51">
        <f ca="1">IF(COUNTIF($V$2:V1034,A49)=1,VLOOKUP(A49,P:Q,2), IF(COUNTIF($V$2:V1034,A49)=0,$C$9,""))</f>
        <v>84.63</v>
      </c>
      <c r="F49" s="2">
        <f t="shared" ca="1" si="6"/>
        <v>36135.657989013795</v>
      </c>
      <c r="G49" s="54">
        <f t="shared" ca="1" si="7"/>
        <v>-19872.055555555555</v>
      </c>
      <c r="H49" s="51">
        <f ca="1">IF(COUNTIF($V$2:V1034,A49)=1,VLOOKUP(A49,R:S,2), IF(COUNTIF($V$2:V1034,A49)=0,$D$9,""))</f>
        <v>100.515625</v>
      </c>
      <c r="I49" s="2">
        <f t="shared" ca="1" si="8"/>
        <v>26000</v>
      </c>
      <c r="J49" s="54">
        <f t="shared" ca="1" si="9"/>
        <v>-290.03191840277941</v>
      </c>
      <c r="K49" s="52"/>
      <c r="L49" s="55">
        <f ca="1">IF(ISERROR(B49-2),"",C49+D49-F49-G49+I49+J49-SUM($K$14:K49))</f>
        <v>-1525.6498896101493</v>
      </c>
      <c r="M49" s="12">
        <f t="shared" ca="1" si="2"/>
        <v>4272.6729999999934</v>
      </c>
      <c r="N49" s="4">
        <v>45992.625</v>
      </c>
      <c r="O49" s="5">
        <v>51.323999999999998</v>
      </c>
      <c r="P49" s="4">
        <v>45951.625</v>
      </c>
      <c r="Q49" s="5">
        <v>84.65</v>
      </c>
      <c r="T49" s="4" t="str">
        <f t="shared" si="1"/>
        <v/>
      </c>
      <c r="U49" s="4" t="str">
        <f t="shared" si="0"/>
        <v/>
      </c>
    </row>
    <row r="50" spans="1:31" x14ac:dyDescent="0.25">
      <c r="A50" s="50">
        <f t="shared" ca="1" si="3"/>
        <v>46078.625</v>
      </c>
      <c r="B50" s="51">
        <f ca="1">IF(COUNTIF($V$2:V1035,A50)=1,VLOOKUP(A50,N:O,2), IF(COUNTIF($V$2:V1035,A50)=0,$B$9,""))</f>
        <v>52.494</v>
      </c>
      <c r="C50" s="2">
        <f t="shared" ca="1" si="4"/>
        <v>-10727.327000000007</v>
      </c>
      <c r="D50" s="54">
        <f t="shared" ca="1" si="5"/>
        <v>15000</v>
      </c>
      <c r="E50" s="51">
        <f ca="1">IF(COUNTIF($V$2:V1035,A50)=1,VLOOKUP(A50,P:Q,2), IF(COUNTIF($V$2:V1035,A50)=0,$C$9,""))</f>
        <v>84.59</v>
      </c>
      <c r="F50" s="2">
        <f t="shared" ca="1" si="6"/>
        <v>34511.583472653707</v>
      </c>
      <c r="G50" s="54">
        <f t="shared" ca="1" si="7"/>
        <v>-20246.999999999996</v>
      </c>
      <c r="H50" s="51">
        <f ca="1">IF(COUNTIF($V$2:V1035,A50)=1,VLOOKUP(A50,R:S,2), IF(COUNTIF($V$2:V1035,A50)=0,$D$9,""))</f>
        <v>100.40625</v>
      </c>
      <c r="I50" s="2">
        <f t="shared" ca="1" si="8"/>
        <v>23156.249999999996</v>
      </c>
      <c r="J50" s="54">
        <f t="shared" ca="1" si="9"/>
        <v>-295.50421874999847</v>
      </c>
      <c r="K50" s="52"/>
      <c r="L50" s="55">
        <f ca="1">IF(ISERROR(B50-2),"",C50+D50-F50-G50+I50+J50-SUM($K$14:K50))</f>
        <v>-529.77945137505958</v>
      </c>
      <c r="M50" s="12">
        <f t="shared" ca="1" si="2"/>
        <v>-377.8282222222424</v>
      </c>
      <c r="N50" s="4">
        <v>45993.625</v>
      </c>
      <c r="O50" s="5">
        <v>51.029000000000003</v>
      </c>
      <c r="P50" s="4">
        <v>45952.625</v>
      </c>
      <c r="Q50" s="5">
        <v>84.67</v>
      </c>
      <c r="T50" s="4" t="str">
        <f t="shared" si="1"/>
        <v/>
      </c>
      <c r="U50" s="4" t="str">
        <f t="shared" si="0"/>
        <v/>
      </c>
    </row>
    <row r="51" spans="1:31" x14ac:dyDescent="0.25">
      <c r="A51" s="50">
        <f t="shared" ca="1" si="3"/>
        <v>46079.625</v>
      </c>
      <c r="B51" s="51">
        <f ca="1">IF(COUNTIF($V$2:V1036,A51)=1,VLOOKUP(A51,N:O,2), IF(COUNTIF($V$2:V1036,A51)=0,$B$9,""))</f>
        <v>53.575000000000003</v>
      </c>
      <c r="C51" s="2">
        <f t="shared" ca="1" si="4"/>
        <v>-15655.606000000023</v>
      </c>
      <c r="D51" s="54">
        <f t="shared" ca="1" si="5"/>
        <v>15277.777777777781</v>
      </c>
      <c r="E51" s="51">
        <f ca="1">IF(COUNTIF($V$2:V1036,A51)=1,VLOOKUP(A51,P:Q,2), IF(COUNTIF($V$2:V1036,A51)=0,$C$9,""))</f>
        <v>84.68</v>
      </c>
      <c r="F51" s="2">
        <f t="shared" ca="1" si="6"/>
        <v>38165.751134464277</v>
      </c>
      <c r="G51" s="54">
        <f t="shared" ca="1" si="7"/>
        <v>-20621.944444444445</v>
      </c>
      <c r="H51" s="51">
        <f ca="1">IF(COUNTIF($V$2:V1036,A51)=1,VLOOKUP(A51,R:S,2), IF(COUNTIF($V$2:V1036,A51)=0,$D$9,""))</f>
        <v>100.65625</v>
      </c>
      <c r="I51" s="2">
        <f t="shared" ca="1" si="8"/>
        <v>29656.25</v>
      </c>
      <c r="J51" s="54">
        <f t="shared" ca="1" si="9"/>
        <v>-300.97651909722117</v>
      </c>
      <c r="K51" s="52"/>
      <c r="L51" s="55">
        <f ca="1">IF(ISERROR(B51-2),"",C51+D51-F51-G51+I51+J51-SUM($K$14:K51))</f>
        <v>-1964.9761913106358</v>
      </c>
      <c r="M51" s="12">
        <f t="shared" ca="1" si="2"/>
        <v>-10325.887444444445</v>
      </c>
      <c r="N51" s="4">
        <v>45994.625</v>
      </c>
      <c r="O51" s="5">
        <v>51.06</v>
      </c>
      <c r="P51" s="4">
        <v>45953.625</v>
      </c>
      <c r="Q51" s="5">
        <v>84.594999999999999</v>
      </c>
      <c r="T51" s="4" t="str">
        <f t="shared" si="1"/>
        <v/>
      </c>
      <c r="U51" s="4" t="str">
        <f t="shared" si="0"/>
        <v/>
      </c>
    </row>
    <row r="52" spans="1:31" x14ac:dyDescent="0.25">
      <c r="A52" s="50">
        <f t="shared" ca="1" si="3"/>
        <v>46080.625</v>
      </c>
      <c r="B52" s="51">
        <f ca="1">IF(COUNTIF($V$2:V1037,A52)=1,VLOOKUP(A52,N:O,2), IF(COUNTIF($V$2:V1037,A52)=0,$B$9,""))</f>
        <v>55.817999999999998</v>
      </c>
      <c r="C52" s="2">
        <f t="shared" ca="1" si="4"/>
        <v>-25881.442999999999</v>
      </c>
      <c r="D52" s="54">
        <f t="shared" ca="1" si="5"/>
        <v>15555.555555555555</v>
      </c>
      <c r="E52" s="51">
        <f ca="1">IF(COUNTIF($V$2:V1037,A52)=1,VLOOKUP(A52,P:Q,2), IF(COUNTIF($V$2:V1037,A52)=0,$C$9,""))</f>
        <v>84.72</v>
      </c>
      <c r="F52" s="2">
        <f t="shared" ca="1" si="6"/>
        <v>39789.825650824365</v>
      </c>
      <c r="G52" s="54">
        <f t="shared" ca="1" si="7"/>
        <v>-20996.888888888891</v>
      </c>
      <c r="H52" s="51">
        <f ca="1">IF(COUNTIF($V$2:V1037,A52)=1,VLOOKUP(A52,R:S,2), IF(COUNTIF($V$2:V1037,A52)=0,$D$9,""))</f>
        <v>101</v>
      </c>
      <c r="I52" s="2">
        <f t="shared" ca="1" si="8"/>
        <v>38593.75</v>
      </c>
      <c r="J52" s="54">
        <f t="shared" ca="1" si="9"/>
        <v>-306.44881944444569</v>
      </c>
      <c r="K52" s="52"/>
      <c r="L52" s="55">
        <f ca="1">IF(ISERROR(B52-2),"",C52+D52-F52-G52+I52+J52-SUM($K$14:K52))</f>
        <v>-4230.1377857957068</v>
      </c>
      <c r="M52" s="12">
        <f t="shared" ca="1" si="2"/>
        <v>-10931.049104444468</v>
      </c>
      <c r="N52" s="4">
        <v>45995.625</v>
      </c>
      <c r="O52" s="5">
        <v>50.872</v>
      </c>
      <c r="P52" s="4">
        <v>45954.625</v>
      </c>
      <c r="Q52" s="5">
        <v>84.76</v>
      </c>
      <c r="T52" s="4" t="str">
        <f t="shared" si="1"/>
        <v/>
      </c>
      <c r="U52" s="4" t="str">
        <f t="shared" si="0"/>
        <v/>
      </c>
    </row>
    <row r="53" spans="1:31" x14ac:dyDescent="0.25">
      <c r="A53" s="50">
        <f t="shared" ca="1" si="3"/>
        <v>46080.828635763886</v>
      </c>
      <c r="B53" s="51">
        <f ca="1">IF(COUNTIF($V$2:V1038,A53)=1,VLOOKUP(A53,N:O,2), IF(COUNTIF($V$2:V1038,A53)=0,$B$9,""))</f>
        <v>55.950740000000003</v>
      </c>
      <c r="C53" s="2">
        <f t="shared" ca="1" si="4"/>
        <v>-26486.604660000023</v>
      </c>
      <c r="D53" s="54">
        <f t="shared" ca="1" si="5"/>
        <v>15555.555555555555</v>
      </c>
      <c r="E53" s="51">
        <f ca="1">IF(COUNTIF($V$2:V1038,A53)=1,VLOOKUP(A53,P:Q,2), IF(COUNTIF($V$2:V1038,A53)=0,$C$9,""))</f>
        <v>84.72</v>
      </c>
      <c r="F53" s="2">
        <f t="shared" ca="1" si="6"/>
        <v>39789.825650824365</v>
      </c>
      <c r="G53" s="54">
        <f t="shared" ca="1" si="7"/>
        <v>-20996.888888888891</v>
      </c>
      <c r="H53" s="51">
        <f ca="1">IF(COUNTIF($V$2:V1038,A53)=1,VLOOKUP(A53,R:S,2), IF(COUNTIF($V$2:V1038,A53)=0,$D$9,""))</f>
        <v>101.140625</v>
      </c>
      <c r="I53" s="2">
        <f t="shared" ca="1" si="8"/>
        <v>42250</v>
      </c>
      <c r="J53" s="54">
        <f t="shared" ca="1" si="9"/>
        <v>-306.44881944444569</v>
      </c>
      <c r="K53" s="52"/>
      <c r="L53" s="55">
        <f ca="1">IF(ISERROR(B53-2),"",C53+D53-F53-G53+I53+J53-SUM($K$14:K53))</f>
        <v>-1179.0494457957266</v>
      </c>
      <c r="M53" s="12" t="e">
        <f t="shared" ca="1" si="2"/>
        <v>#VALUE!</v>
      </c>
      <c r="N53" s="4">
        <v>45996.625</v>
      </c>
      <c r="O53" s="5">
        <v>50.491</v>
      </c>
      <c r="P53" s="4">
        <v>45957.625</v>
      </c>
      <c r="Q53" s="5">
        <v>84.82</v>
      </c>
      <c r="T53" s="4" t="str">
        <f t="shared" si="1"/>
        <v/>
      </c>
      <c r="U53" s="4" t="str">
        <f t="shared" si="0"/>
        <v/>
      </c>
    </row>
    <row r="54" spans="1:31" x14ac:dyDescent="0.25">
      <c r="A54" s="50" t="str">
        <f t="shared" ca="1" si="3"/>
        <v/>
      </c>
      <c r="B54" s="51" t="str">
        <f ca="1">IF(COUNTIF($V$2:V1039,A54)=1,VLOOKUP(A54,N:O,2), IF(COUNTIF($V$2:V1039,A54)=0,$B$9,""))</f>
        <v/>
      </c>
      <c r="C54" s="2" t="str">
        <f t="shared" ca="1" si="4"/>
        <v/>
      </c>
      <c r="D54" s="54" t="str">
        <f t="shared" ca="1" si="5"/>
        <v/>
      </c>
      <c r="E54" s="51" t="str">
        <f ca="1">IF(COUNTIF($V$2:V1039,A54)=1,VLOOKUP(A54,P:Q,2), IF(COUNTIF($V$2:V1039,A54)=0,$C$9,""))</f>
        <v/>
      </c>
      <c r="F54" s="2" t="str">
        <f t="shared" ca="1" si="6"/>
        <v/>
      </c>
      <c r="G54" s="54" t="str">
        <f t="shared" ca="1" si="7"/>
        <v/>
      </c>
      <c r="H54" s="51" t="str">
        <f ca="1">IF(COUNTIF($V$2:V1039,A54)=1,VLOOKUP(A54,R:S,2), IF(COUNTIF($V$2:V1039,A54)=0,$D$9,""))</f>
        <v/>
      </c>
      <c r="I54" s="2" t="str">
        <f t="shared" ca="1" si="8"/>
        <v/>
      </c>
      <c r="J54" s="54" t="str">
        <f t="shared" ca="1" si="9"/>
        <v/>
      </c>
      <c r="K54" s="52"/>
      <c r="L54" s="55" t="str">
        <f ca="1">IF(ISERROR(B54-2),"",C54+D54-F54-G54+I54+J54-SUM($K$14:K54))</f>
        <v/>
      </c>
      <c r="N54" s="4">
        <v>45999.625</v>
      </c>
      <c r="O54" s="5">
        <v>50.97</v>
      </c>
      <c r="P54" s="4">
        <v>45958.625</v>
      </c>
      <c r="Q54" s="5">
        <v>84.81</v>
      </c>
      <c r="T54" s="4" t="str">
        <f t="shared" si="1"/>
        <v/>
      </c>
      <c r="U54" s="4" t="str">
        <f t="shared" si="0"/>
        <v/>
      </c>
    </row>
    <row r="55" spans="1:31" x14ac:dyDescent="0.25">
      <c r="A55" s="50" t="str">
        <f t="shared" ca="1" si="3"/>
        <v/>
      </c>
      <c r="B55" s="51" t="str">
        <f ca="1">IF(COUNTIF($V$2:V1040,A55)=1,VLOOKUP(A55,N:O,2), IF(COUNTIF($V$2:V1040,A55)=0,$B$9,""))</f>
        <v/>
      </c>
      <c r="C55" s="2" t="str">
        <f t="shared" ca="1" si="4"/>
        <v/>
      </c>
      <c r="D55" s="54" t="str">
        <f t="shared" ca="1" si="5"/>
        <v/>
      </c>
      <c r="E55" s="51" t="str">
        <f ca="1">IF(COUNTIF($V$2:V1040,A55)=1,VLOOKUP(A55,P:Q,2), IF(COUNTIF($V$2:V1040,A55)=0,$C$9,""))</f>
        <v/>
      </c>
      <c r="F55" s="2" t="str">
        <f t="shared" ca="1" si="6"/>
        <v/>
      </c>
      <c r="G55" s="54" t="str">
        <f t="shared" ca="1" si="7"/>
        <v/>
      </c>
      <c r="H55" s="51" t="str">
        <f ca="1">IF(COUNTIF($V$2:V1040,A55)=1,VLOOKUP(A55,R:S,2), IF(COUNTIF($V$2:V1040,A55)=0,$D$9,""))</f>
        <v/>
      </c>
      <c r="I55" s="2" t="str">
        <f t="shared" ca="1" si="8"/>
        <v/>
      </c>
      <c r="J55" s="54" t="str">
        <f t="shared" ca="1" si="9"/>
        <v/>
      </c>
      <c r="K55" s="52"/>
      <c r="L55" s="55" t="str">
        <f ca="1">IF(ISERROR(B55-2),"",C55+D55-F55-G55+I55+J55-SUM($K$14:K55))</f>
        <v/>
      </c>
      <c r="N55" s="4">
        <v>46000.625</v>
      </c>
      <c r="O55" s="5">
        <v>51.034999999999997</v>
      </c>
      <c r="P55" s="4">
        <v>45959.625</v>
      </c>
      <c r="Q55" s="5">
        <v>84.4</v>
      </c>
      <c r="T55" s="4" t="str">
        <f t="shared" si="1"/>
        <v/>
      </c>
      <c r="U55" s="4" t="str">
        <f t="shared" si="0"/>
        <v/>
      </c>
    </row>
    <row r="56" spans="1:31" x14ac:dyDescent="0.25">
      <c r="A56" s="50" t="str">
        <f t="shared" ca="1" si="3"/>
        <v/>
      </c>
      <c r="B56" s="51" t="str">
        <f ca="1">IF(COUNTIF($V$2:V1041,A56)=1,VLOOKUP(A56,N:O,2), IF(COUNTIF($V$2:V1041,A56)=0,$B$9,""))</f>
        <v/>
      </c>
      <c r="C56" s="2" t="str">
        <f t="shared" ca="1" si="4"/>
        <v/>
      </c>
      <c r="D56" s="54" t="str">
        <f t="shared" ca="1" si="5"/>
        <v/>
      </c>
      <c r="E56" s="51" t="str">
        <f ca="1">IF(COUNTIF($V$2:V1041,A56)=1,VLOOKUP(A56,P:Q,2), IF(COUNTIF($V$2:V1041,A56)=0,$C$9,""))</f>
        <v/>
      </c>
      <c r="F56" s="2" t="str">
        <f t="shared" ca="1" si="6"/>
        <v/>
      </c>
      <c r="G56" s="54" t="str">
        <f t="shared" ca="1" si="7"/>
        <v/>
      </c>
      <c r="H56" s="51" t="str">
        <f ca="1">IF(COUNTIF($V$2:V1041,A56)=1,VLOOKUP(A56,R:S,2), IF(COUNTIF($V$2:V1041,A56)=0,$D$9,""))</f>
        <v/>
      </c>
      <c r="I56" s="2" t="str">
        <f t="shared" ca="1" si="8"/>
        <v/>
      </c>
      <c r="J56" s="54" t="str">
        <f t="shared" ca="1" si="9"/>
        <v/>
      </c>
      <c r="K56" s="52"/>
      <c r="L56" s="55" t="str">
        <f ca="1">IF(ISERROR(B56-2),"",C56+D56-F56-G56+I56+J56-SUM($K$14:K56))</f>
        <v/>
      </c>
      <c r="N56" s="4">
        <v>46001.625</v>
      </c>
      <c r="O56" s="5">
        <v>49.942</v>
      </c>
      <c r="P56" s="4">
        <v>45960.625</v>
      </c>
      <c r="Q56" s="5">
        <v>84.17</v>
      </c>
      <c r="T56" s="4" t="str">
        <f t="shared" si="1"/>
        <v/>
      </c>
      <c r="U56" s="4" t="str">
        <f t="shared" si="0"/>
        <v/>
      </c>
    </row>
    <row r="57" spans="1:31" x14ac:dyDescent="0.25">
      <c r="A57" s="50" t="str">
        <f t="shared" ca="1" si="3"/>
        <v/>
      </c>
      <c r="B57" s="51" t="str">
        <f ca="1">IF(COUNTIF($V$2:V1042,A57)=1,VLOOKUP(A57,N:O,2), IF(COUNTIF($V$2:V1042,A57)=0,$B$9,""))</f>
        <v/>
      </c>
      <c r="C57" s="2" t="str">
        <f t="shared" ca="1" si="4"/>
        <v/>
      </c>
      <c r="D57" s="54" t="str">
        <f t="shared" ca="1" si="5"/>
        <v/>
      </c>
      <c r="E57" s="51" t="str">
        <f ca="1">IF(COUNTIF($V$2:V1042,A57)=1,VLOOKUP(A57,P:Q,2), IF(COUNTIF($V$2:V1042,A57)=0,$C$9,""))</f>
        <v/>
      </c>
      <c r="F57" s="2" t="str">
        <f t="shared" ca="1" si="6"/>
        <v/>
      </c>
      <c r="G57" s="54" t="str">
        <f t="shared" ca="1" si="7"/>
        <v/>
      </c>
      <c r="H57" s="51" t="str">
        <f ca="1">IF(COUNTIF($V$2:V1042,A57)=1,VLOOKUP(A57,R:S,2), IF(COUNTIF($V$2:V1042,A57)=0,$D$9,""))</f>
        <v/>
      </c>
      <c r="I57" s="2" t="str">
        <f t="shared" ca="1" si="8"/>
        <v/>
      </c>
      <c r="J57" s="54" t="str">
        <f t="shared" ca="1" si="9"/>
        <v/>
      </c>
      <c r="K57" s="52"/>
      <c r="L57" s="55" t="str">
        <f ca="1">IF(ISERROR(B57-2),"",C57+D57-F57-G57+I57+J57-SUM($K$14:K57))</f>
        <v/>
      </c>
      <c r="N57" s="4">
        <v>46002.625</v>
      </c>
      <c r="O57" s="5">
        <v>50.048000000000002</v>
      </c>
      <c r="P57" s="4">
        <v>45961.625</v>
      </c>
      <c r="Q57" s="5">
        <v>84.05</v>
      </c>
      <c r="T57" s="4" t="str">
        <f t="shared" si="1"/>
        <v/>
      </c>
      <c r="U57" s="4" t="str">
        <f t="shared" si="0"/>
        <v/>
      </c>
    </row>
    <row r="58" spans="1:31" x14ac:dyDescent="0.25">
      <c r="A58" s="50" t="str">
        <f t="shared" ca="1" si="3"/>
        <v/>
      </c>
      <c r="B58" s="51" t="str">
        <f ca="1">IF(COUNTIF($V$2:V1043,A58)=1,VLOOKUP(A58,N:O,2), IF(COUNTIF($V$2:V1043,A58)=0,$B$9,""))</f>
        <v/>
      </c>
      <c r="C58" s="2" t="str">
        <f t="shared" ca="1" si="4"/>
        <v/>
      </c>
      <c r="D58" s="54" t="str">
        <f t="shared" ca="1" si="5"/>
        <v/>
      </c>
      <c r="E58" s="51" t="str">
        <f ca="1">IF(COUNTIF($V$2:V1043,A58)=1,VLOOKUP(A58,P:Q,2), IF(COUNTIF($V$2:V1043,A58)=0,$C$9,""))</f>
        <v/>
      </c>
      <c r="F58" s="2" t="str">
        <f t="shared" ca="1" si="6"/>
        <v/>
      </c>
      <c r="G58" s="54" t="str">
        <f t="shared" ca="1" si="7"/>
        <v/>
      </c>
      <c r="H58" s="51" t="str">
        <f ca="1">IF(COUNTIF($V$2:V1043,A58)=1,VLOOKUP(A58,R:S,2), IF(COUNTIF($V$2:V1043,A58)=0,$D$9,""))</f>
        <v/>
      </c>
      <c r="I58" s="2" t="str">
        <f t="shared" ca="1" si="8"/>
        <v/>
      </c>
      <c r="J58" s="54" t="str">
        <f t="shared" ca="1" si="9"/>
        <v/>
      </c>
      <c r="K58" s="52"/>
      <c r="L58" s="55" t="str">
        <f ca="1">IF(ISERROR(B58-2),"",C58+D58-F58-G58+I58+J58-SUM($K$14:K58))</f>
        <v/>
      </c>
      <c r="N58" s="4">
        <v>46003.625</v>
      </c>
      <c r="O58" s="5">
        <v>50.905000000000001</v>
      </c>
      <c r="P58" s="4">
        <v>45964.625</v>
      </c>
      <c r="Q58" s="5">
        <v>83.59</v>
      </c>
      <c r="T58" s="4" t="str">
        <f t="shared" si="1"/>
        <v/>
      </c>
      <c r="U58" s="4" t="str">
        <f t="shared" si="0"/>
        <v/>
      </c>
    </row>
    <row r="59" spans="1:31" x14ac:dyDescent="0.25">
      <c r="A59" s="50" t="str">
        <f t="shared" ca="1" si="3"/>
        <v/>
      </c>
      <c r="B59" s="51" t="str">
        <f ca="1">IF(COUNTIF($V$2:V1044,A59)=1,VLOOKUP(A59,N:O,2), IF(COUNTIF($V$2:V1044,A59)=0,$B$9,""))</f>
        <v/>
      </c>
      <c r="C59" s="2" t="str">
        <f t="shared" ca="1" si="4"/>
        <v/>
      </c>
      <c r="D59" s="54" t="str">
        <f t="shared" ca="1" si="5"/>
        <v/>
      </c>
      <c r="E59" s="51" t="str">
        <f ca="1">IF(COUNTIF($V$2:V1044,A59)=1,VLOOKUP(A59,P:Q,2), IF(COUNTIF($V$2:V1044,A59)=0,$C$9,""))</f>
        <v/>
      </c>
      <c r="F59" s="2" t="str">
        <f t="shared" ca="1" si="6"/>
        <v/>
      </c>
      <c r="G59" s="54" t="str">
        <f t="shared" ca="1" si="7"/>
        <v/>
      </c>
      <c r="H59" s="51" t="str">
        <f ca="1">IF(COUNTIF($V$2:V1044,A59)=1,VLOOKUP(A59,R:S,2), IF(COUNTIF($V$2:V1044,A59)=0,$D$9,""))</f>
        <v/>
      </c>
      <c r="I59" s="2" t="str">
        <f t="shared" ca="1" si="8"/>
        <v/>
      </c>
      <c r="J59" s="54" t="str">
        <f t="shared" ca="1" si="9"/>
        <v/>
      </c>
      <c r="K59" s="52"/>
      <c r="L59" s="55" t="str">
        <f ca="1">IF(ISERROR(B59-2),"",C59+D59-F59-G59+I59+J59-SUM($K$14:K59))</f>
        <v/>
      </c>
      <c r="N59" s="4">
        <v>46006.625</v>
      </c>
      <c r="O59" s="5">
        <v>50.838999999999999</v>
      </c>
      <c r="P59" s="4">
        <v>45965.625</v>
      </c>
      <c r="Q59" s="5">
        <v>83.66</v>
      </c>
      <c r="T59" s="4" t="str">
        <f t="shared" si="1"/>
        <v/>
      </c>
      <c r="U59" s="4" t="str">
        <f t="shared" si="0"/>
        <v/>
      </c>
    </row>
    <row r="60" spans="1:31" x14ac:dyDescent="0.25">
      <c r="A60" s="50" t="str">
        <f t="shared" ca="1" si="3"/>
        <v/>
      </c>
      <c r="B60" s="51" t="str">
        <f ca="1">IF(COUNTIF($V$2:V1045,A60)=1,VLOOKUP(A60,N:O,2), IF(COUNTIF($V$2:V1045,A60)=0,$B$9,""))</f>
        <v/>
      </c>
      <c r="C60" s="2" t="str">
        <f t="shared" ca="1" si="4"/>
        <v/>
      </c>
      <c r="D60" s="54" t="str">
        <f t="shared" ca="1" si="5"/>
        <v/>
      </c>
      <c r="E60" s="51" t="str">
        <f ca="1">IF(COUNTIF($V$2:V1045,A60)=1,VLOOKUP(A60,P:Q,2), IF(COUNTIF($V$2:V1045,A60)=0,$C$9,""))</f>
        <v/>
      </c>
      <c r="F60" s="2" t="str">
        <f t="shared" ca="1" si="6"/>
        <v/>
      </c>
      <c r="G60" s="54" t="str">
        <f t="shared" ca="1" si="7"/>
        <v/>
      </c>
      <c r="H60" s="51" t="str">
        <f ca="1">IF(COUNTIF($V$2:V1045,A60)=1,VLOOKUP(A60,R:S,2), IF(COUNTIF($V$2:V1045,A60)=0,$D$9,""))</f>
        <v/>
      </c>
      <c r="I60" s="2" t="str">
        <f t="shared" ca="1" si="8"/>
        <v/>
      </c>
      <c r="J60" s="54" t="str">
        <f t="shared" ca="1" si="9"/>
        <v/>
      </c>
      <c r="K60" s="52"/>
      <c r="L60" s="55" t="str">
        <f ca="1">IF(ISERROR(B60-2),"",C60+D60-F60-G60+I60+J60-SUM($K$14:K60))</f>
        <v/>
      </c>
      <c r="N60" s="4">
        <v>46007.625</v>
      </c>
      <c r="O60" s="5">
        <v>51.031999999999996</v>
      </c>
      <c r="P60" s="4">
        <v>45966.625</v>
      </c>
      <c r="Q60" s="5">
        <v>83.48</v>
      </c>
      <c r="T60" s="4" t="str">
        <f t="shared" si="1"/>
        <v/>
      </c>
      <c r="U60" s="4" t="str">
        <f t="shared" si="0"/>
        <v/>
      </c>
    </row>
    <row r="61" spans="1:31" x14ac:dyDescent="0.25">
      <c r="A61" s="50" t="str">
        <f t="shared" ca="1" si="3"/>
        <v/>
      </c>
      <c r="B61" s="51" t="str">
        <f ca="1">IF(COUNTIF($V$2:V1046,A61)=1,VLOOKUP(A61,N:O,2), IF(COUNTIF($V$2:V1046,A61)=0,$B$9,""))</f>
        <v/>
      </c>
      <c r="C61" s="2" t="str">
        <f t="shared" ca="1" si="4"/>
        <v/>
      </c>
      <c r="D61" s="54" t="str">
        <f t="shared" ca="1" si="5"/>
        <v/>
      </c>
      <c r="E61" s="51" t="str">
        <f ca="1">IF(COUNTIF($V$2:V1046,A61)=1,VLOOKUP(A61,P:Q,2), IF(COUNTIF($V$2:V1046,A61)=0,$C$9,""))</f>
        <v/>
      </c>
      <c r="F61" s="2" t="str">
        <f t="shared" ca="1" si="6"/>
        <v/>
      </c>
      <c r="G61" s="54" t="str">
        <f t="shared" ca="1" si="7"/>
        <v/>
      </c>
      <c r="H61" s="51" t="str">
        <f ca="1">IF(COUNTIF($V$2:V1046,A61)=1,VLOOKUP(A61,R:S,2), IF(COUNTIF($V$2:V1046,A61)=0,$D$9,""))</f>
        <v/>
      </c>
      <c r="I61" s="2" t="str">
        <f t="shared" ca="1" si="8"/>
        <v/>
      </c>
      <c r="J61" s="54" t="str">
        <f t="shared" ca="1" si="9"/>
        <v/>
      </c>
      <c r="K61" s="52"/>
      <c r="L61" s="55" t="str">
        <f ca="1">IF(ISERROR(B61-2),"",C61+D61-F61-G61+I61+J61-SUM($K$14:K61))</f>
        <v/>
      </c>
      <c r="N61" s="4">
        <v>46008.625</v>
      </c>
      <c r="O61" s="5">
        <v>51.988999999999997</v>
      </c>
      <c r="P61" s="4">
        <v>45967.625</v>
      </c>
      <c r="Q61" s="5">
        <v>83.79</v>
      </c>
      <c r="T61" s="4" t="str">
        <f t="shared" si="1"/>
        <v/>
      </c>
      <c r="U61" s="4" t="str">
        <f t="shared" si="0"/>
        <v/>
      </c>
    </row>
    <row r="62" spans="1:31" x14ac:dyDescent="0.25">
      <c r="A62" s="50" t="str">
        <f t="shared" ca="1" si="3"/>
        <v/>
      </c>
      <c r="B62" s="51" t="str">
        <f ca="1">IF(COUNTIF($V$2:V1047,A62)=1,VLOOKUP(A62,N:O,2), IF(COUNTIF($V$2:V1047,A62)=0,$B$9,""))</f>
        <v/>
      </c>
      <c r="C62" s="2" t="str">
        <f t="shared" ca="1" si="4"/>
        <v/>
      </c>
      <c r="D62" s="54" t="str">
        <f t="shared" ca="1" si="5"/>
        <v/>
      </c>
      <c r="E62" s="51" t="str">
        <f ca="1">IF(COUNTIF($V$2:V1047,A62)=1,VLOOKUP(A62,P:Q,2), IF(COUNTIF($V$2:V1047,A62)=0,$C$9,""))</f>
        <v/>
      </c>
      <c r="F62" s="2" t="str">
        <f t="shared" ca="1" si="6"/>
        <v/>
      </c>
      <c r="G62" s="54" t="str">
        <f t="shared" ca="1" si="7"/>
        <v/>
      </c>
      <c r="H62" s="51" t="str">
        <f ca="1">IF(COUNTIF($V$2:V1047,A62)=1,VLOOKUP(A62,R:S,2), IF(COUNTIF($V$2:V1047,A62)=0,$D$9,""))</f>
        <v/>
      </c>
      <c r="I62" s="2" t="str">
        <f t="shared" ca="1" si="8"/>
        <v/>
      </c>
      <c r="J62" s="54" t="str">
        <f t="shared" ca="1" si="9"/>
        <v/>
      </c>
      <c r="K62" s="52"/>
      <c r="L62" s="55" t="str">
        <f ca="1">IF(ISERROR(B62-2),"",C62+D62-F62-G62+I62+J62-SUM($K$14:K62))</f>
        <v/>
      </c>
      <c r="N62" s="4">
        <v>46009.625</v>
      </c>
      <c r="O62" s="5">
        <v>50.912999999999997</v>
      </c>
      <c r="P62" s="4">
        <v>45968.625</v>
      </c>
      <c r="Q62" s="5">
        <v>83.75</v>
      </c>
      <c r="T62" s="4" t="str">
        <f t="shared" si="1"/>
        <v/>
      </c>
      <c r="U62" s="4" t="str">
        <f t="shared" si="0"/>
        <v/>
      </c>
    </row>
    <row r="63" spans="1:31" x14ac:dyDescent="0.25">
      <c r="A63" s="50" t="str">
        <f t="shared" ca="1" si="3"/>
        <v/>
      </c>
      <c r="B63" s="51" t="str">
        <f ca="1">IF(COUNTIF($V$2:V1048,A63)=1,VLOOKUP(A63,N:O,2), IF(COUNTIF($V$2:V1048,A63)=0,$B$9,""))</f>
        <v/>
      </c>
      <c r="C63" s="2" t="str">
        <f t="shared" ca="1" si="4"/>
        <v/>
      </c>
      <c r="D63" s="54" t="str">
        <f t="shared" ca="1" si="5"/>
        <v/>
      </c>
      <c r="E63" s="51" t="str">
        <f ca="1">IF(COUNTIF($V$2:V1048,A63)=1,VLOOKUP(A63,P:Q,2), IF(COUNTIF($V$2:V1048,A63)=0,$C$9,""))</f>
        <v/>
      </c>
      <c r="F63" s="2" t="str">
        <f t="shared" ca="1" si="6"/>
        <v/>
      </c>
      <c r="G63" s="54" t="str">
        <f t="shared" ca="1" si="7"/>
        <v/>
      </c>
      <c r="H63" s="51" t="str">
        <f ca="1">IF(COUNTIF($V$2:V1048,A63)=1,VLOOKUP(A63,R:S,2), IF(COUNTIF($V$2:V1048,A63)=0,$D$9,""))</f>
        <v/>
      </c>
      <c r="I63" s="2" t="str">
        <f t="shared" ca="1" si="8"/>
        <v/>
      </c>
      <c r="J63" s="54" t="str">
        <f t="shared" ca="1" si="9"/>
        <v/>
      </c>
      <c r="K63" s="52"/>
      <c r="L63" s="55" t="str">
        <f ca="1">IF(ISERROR(B63-2),"",C63+D63-F63-G63+I63+J63-SUM($K$14:K63))</f>
        <v/>
      </c>
      <c r="N63" s="4">
        <v>46010.625</v>
      </c>
      <c r="O63" s="5">
        <v>50.798999999999999</v>
      </c>
      <c r="P63" s="4">
        <v>45971.625</v>
      </c>
      <c r="Q63" s="5">
        <v>83.73</v>
      </c>
      <c r="T63" s="4" t="str">
        <f t="shared" si="1"/>
        <v/>
      </c>
      <c r="U63" s="4" t="str">
        <f t="shared" si="0"/>
        <v/>
      </c>
      <c r="AE63" s="12"/>
    </row>
    <row r="64" spans="1:31" x14ac:dyDescent="0.25">
      <c r="A64" s="50" t="str">
        <f t="shared" ca="1" si="3"/>
        <v/>
      </c>
      <c r="B64" s="51" t="str">
        <f ca="1">IF(COUNTIF($V$2:V1049,A64)=1,VLOOKUP(A64,N:O,2), IF(COUNTIF($V$2:V1049,A64)=0,$B$9,""))</f>
        <v/>
      </c>
      <c r="C64" s="2" t="str">
        <f t="shared" ca="1" si="4"/>
        <v/>
      </c>
      <c r="D64" s="54" t="str">
        <f t="shared" ca="1" si="5"/>
        <v/>
      </c>
      <c r="E64" s="51" t="str">
        <f ca="1">IF(COUNTIF($V$2:V1049,A64)=1,VLOOKUP(A64,P:Q,2), IF(COUNTIF($V$2:V1049,A64)=0,$C$9,""))</f>
        <v/>
      </c>
      <c r="F64" s="2" t="str">
        <f t="shared" ca="1" si="6"/>
        <v/>
      </c>
      <c r="G64" s="54" t="str">
        <f t="shared" ca="1" si="7"/>
        <v/>
      </c>
      <c r="H64" s="51" t="str">
        <f ca="1">IF(COUNTIF($V$2:V1049,A64)=1,VLOOKUP(A64,R:S,2), IF(COUNTIF($V$2:V1049,A64)=0,$D$9,""))</f>
        <v/>
      </c>
      <c r="I64" s="2" t="str">
        <f t="shared" ca="1" si="8"/>
        <v/>
      </c>
      <c r="J64" s="54" t="str">
        <f t="shared" ca="1" si="9"/>
        <v/>
      </c>
      <c r="K64" s="52"/>
      <c r="L64" s="55" t="str">
        <f ca="1">IF(ISERROR(B64-2),"",C64+D64-F64-G64+I64+J64-SUM($K$14:K64))</f>
        <v/>
      </c>
      <c r="N64" s="4">
        <v>46013.625</v>
      </c>
      <c r="O64" s="5">
        <v>50.158999999999999</v>
      </c>
      <c r="P64" s="4">
        <v>45972.625</v>
      </c>
      <c r="Q64" s="5">
        <v>84.04</v>
      </c>
      <c r="T64" s="4" t="str">
        <f t="shared" si="1"/>
        <v/>
      </c>
      <c r="U64" s="4" t="str">
        <f t="shared" si="0"/>
        <v/>
      </c>
      <c r="X64" s="57"/>
      <c r="Y64" s="65"/>
      <c r="Z64" s="68"/>
      <c r="AA64" s="57"/>
      <c r="AC64" s="57"/>
      <c r="AD64" s="58"/>
      <c r="AE64" s="12"/>
    </row>
    <row r="65" spans="1:31" x14ac:dyDescent="0.25">
      <c r="A65" s="50" t="str">
        <f t="shared" ca="1" si="3"/>
        <v/>
      </c>
      <c r="B65" s="51" t="str">
        <f ca="1">IF(COUNTIF($V$2:V1050,A65)=1,VLOOKUP(A65,N:O,2), IF(COUNTIF($V$2:V1050,A65)=0,$B$9,""))</f>
        <v/>
      </c>
      <c r="C65" s="2" t="str">
        <f t="shared" ca="1" si="4"/>
        <v/>
      </c>
      <c r="D65" s="54" t="str">
        <f t="shared" ca="1" si="5"/>
        <v/>
      </c>
      <c r="E65" s="51" t="str">
        <f ca="1">IF(COUNTIF($V$2:V1050,A65)=1,VLOOKUP(A65,P:Q,2), IF(COUNTIF($V$2:V1050,A65)=0,$C$9,""))</f>
        <v/>
      </c>
      <c r="F65" s="2" t="str">
        <f t="shared" ca="1" si="6"/>
        <v/>
      </c>
      <c r="G65" s="54" t="str">
        <f t="shared" ca="1" si="7"/>
        <v/>
      </c>
      <c r="H65" s="51" t="str">
        <f ca="1">IF(COUNTIF($V$2:V1050,A65)=1,VLOOKUP(A65,R:S,2), IF(COUNTIF($V$2:V1050,A65)=0,$D$9,""))</f>
        <v/>
      </c>
      <c r="I65" s="2" t="str">
        <f t="shared" ca="1" si="8"/>
        <v/>
      </c>
      <c r="J65" s="54" t="str">
        <f t="shared" ca="1" si="9"/>
        <v/>
      </c>
      <c r="K65" s="52"/>
      <c r="L65" s="55" t="str">
        <f ca="1">IF(ISERROR(B65-2),"",C65+D65-F65-G65+I65+J65-SUM($K$14:K65))</f>
        <v/>
      </c>
      <c r="N65" s="4">
        <v>46014.625</v>
      </c>
      <c r="O65" s="5">
        <v>50.011000000000003</v>
      </c>
      <c r="P65" s="4">
        <v>45973.625</v>
      </c>
      <c r="Q65" s="5">
        <v>83.93</v>
      </c>
      <c r="T65" s="4" t="str">
        <f t="shared" si="1"/>
        <v/>
      </c>
      <c r="U65" s="4" t="str">
        <f t="shared" si="0"/>
        <v/>
      </c>
      <c r="X65" s="60"/>
      <c r="Y65" s="66"/>
      <c r="Z65" s="59"/>
      <c r="AA65" s="60"/>
      <c r="AC65" s="60"/>
      <c r="AD65" s="60"/>
      <c r="AE65" s="12"/>
    </row>
    <row r="66" spans="1:31" x14ac:dyDescent="0.25">
      <c r="A66" s="50" t="str">
        <f t="shared" ca="1" si="3"/>
        <v/>
      </c>
      <c r="B66" s="51" t="str">
        <f ca="1">IF(COUNTIF($V$2:V1051,A66)=1,VLOOKUP(A66,N:O,2), IF(COUNTIF($V$2:V1051,A66)=0,$B$9,""))</f>
        <v/>
      </c>
      <c r="C66" s="2" t="str">
        <f t="shared" ca="1" si="4"/>
        <v/>
      </c>
      <c r="D66" s="54" t="str">
        <f t="shared" ca="1" si="5"/>
        <v/>
      </c>
      <c r="E66" s="51" t="str">
        <f ca="1">IF(COUNTIF($V$2:V1051,A66)=1,VLOOKUP(A66,P:Q,2), IF(COUNTIF($V$2:V1051,A66)=0,$C$9,""))</f>
        <v/>
      </c>
      <c r="F66" s="2" t="str">
        <f t="shared" ca="1" si="6"/>
        <v/>
      </c>
      <c r="G66" s="54" t="str">
        <f t="shared" ca="1" si="7"/>
        <v/>
      </c>
      <c r="H66" s="51" t="str">
        <f ca="1">IF(COUNTIF($V$2:V1051,A66)=1,VLOOKUP(A66,R:S,2), IF(COUNTIF($V$2:V1051,A66)=0,$D$9,""))</f>
        <v/>
      </c>
      <c r="I66" s="2" t="str">
        <f t="shared" ca="1" si="8"/>
        <v/>
      </c>
      <c r="J66" s="54" t="str">
        <f t="shared" ca="1" si="9"/>
        <v/>
      </c>
      <c r="K66" s="52"/>
      <c r="L66" s="55" t="str">
        <f ca="1">IF(ISERROR(B66-2),"",C66+D66-F66-G66+I66+J66-SUM($K$14:K66))</f>
        <v/>
      </c>
      <c r="N66" s="4">
        <v>46017.625</v>
      </c>
      <c r="O66" s="5">
        <v>50.113999999999997</v>
      </c>
      <c r="P66" s="4">
        <v>45974.625</v>
      </c>
      <c r="Q66" s="5">
        <v>83.7</v>
      </c>
      <c r="T66" s="4">
        <f t="shared" si="1"/>
        <v>46017.625</v>
      </c>
      <c r="U66" s="4" t="str">
        <f t="shared" si="0"/>
        <v/>
      </c>
      <c r="X66" s="60"/>
      <c r="Y66" s="66"/>
      <c r="Z66" s="59"/>
      <c r="AA66" s="60"/>
      <c r="AC66" s="60"/>
      <c r="AD66" s="60"/>
      <c r="AE66" s="12"/>
    </row>
    <row r="67" spans="1:31" x14ac:dyDescent="0.25">
      <c r="A67" s="50" t="str">
        <f t="shared" ca="1" si="3"/>
        <v/>
      </c>
      <c r="B67" s="51" t="str">
        <f ca="1">IF(COUNTIF($V$2:V1052,A67)=1,VLOOKUP(A67,N:O,2), IF(COUNTIF($V$2:V1052,A67)=0,$B$9,""))</f>
        <v/>
      </c>
      <c r="C67" s="2" t="str">
        <f t="shared" ca="1" si="4"/>
        <v/>
      </c>
      <c r="D67" s="54" t="str">
        <f t="shared" ca="1" si="5"/>
        <v/>
      </c>
      <c r="E67" s="51" t="str">
        <f ca="1">IF(COUNTIF($V$2:V1052,A67)=1,VLOOKUP(A67,P:Q,2), IF(COUNTIF($V$2:V1052,A67)=0,$C$9,""))</f>
        <v/>
      </c>
      <c r="F67" s="2" t="str">
        <f t="shared" ca="1" si="6"/>
        <v/>
      </c>
      <c r="G67" s="54" t="str">
        <f t="shared" ca="1" si="7"/>
        <v/>
      </c>
      <c r="H67" s="51" t="str">
        <f ca="1">IF(COUNTIF($V$2:V1052,A67)=1,VLOOKUP(A67,R:S,2), IF(COUNTIF($V$2:V1052,A67)=0,$D$9,""))</f>
        <v/>
      </c>
      <c r="I67" s="2" t="str">
        <f t="shared" ca="1" si="8"/>
        <v/>
      </c>
      <c r="J67" s="54" t="str">
        <f t="shared" ca="1" si="9"/>
        <v/>
      </c>
      <c r="K67" s="52"/>
      <c r="L67" s="55" t="str">
        <f ca="1">IF(ISERROR(B67-2),"",C67+D67-F67-G67+I67+J67-SUM($K$14:K67))</f>
        <v/>
      </c>
      <c r="N67" s="4">
        <v>46020.625</v>
      </c>
      <c r="O67" s="5">
        <v>50.405000000000001</v>
      </c>
      <c r="P67" s="4">
        <v>45975.625</v>
      </c>
      <c r="Q67" s="5">
        <v>83.56</v>
      </c>
      <c r="T67" s="4">
        <f t="shared" si="1"/>
        <v>46020.625</v>
      </c>
      <c r="U67" s="4" t="str">
        <f t="shared" ref="U67:U130" si="10">IF(T67&gt;$A$14,T67,"")</f>
        <v/>
      </c>
      <c r="X67" s="60"/>
      <c r="Y67" s="66"/>
      <c r="Z67" s="59"/>
      <c r="AA67" s="60"/>
      <c r="AC67" s="60"/>
      <c r="AD67" s="60"/>
      <c r="AE67" s="12"/>
    </row>
    <row r="68" spans="1:31" x14ac:dyDescent="0.25">
      <c r="A68" s="50" t="str">
        <f t="shared" ca="1" si="3"/>
        <v/>
      </c>
      <c r="B68" s="51" t="str">
        <f ca="1">IF(COUNTIF($V$2:V1053,A68)=1,VLOOKUP(A68,N:O,2), IF(COUNTIF($V$2:V1053,A68)=0,$B$9,""))</f>
        <v/>
      </c>
      <c r="C68" s="2" t="str">
        <f t="shared" ca="1" si="4"/>
        <v/>
      </c>
      <c r="D68" s="54" t="str">
        <f t="shared" ca="1" si="5"/>
        <v/>
      </c>
      <c r="E68" s="51" t="str">
        <f ca="1">IF(COUNTIF($V$2:V1053,A68)=1,VLOOKUP(A68,P:Q,2), IF(COUNTIF($V$2:V1053,A68)=0,$C$9,""))</f>
        <v/>
      </c>
      <c r="F68" s="2" t="str">
        <f t="shared" ca="1" si="6"/>
        <v/>
      </c>
      <c r="G68" s="54" t="str">
        <f t="shared" ca="1" si="7"/>
        <v/>
      </c>
      <c r="H68" s="51" t="str">
        <f ca="1">IF(COUNTIF($V$2:V1053,A68)=1,VLOOKUP(A68,R:S,2), IF(COUNTIF($V$2:V1053,A68)=0,$D$9,""))</f>
        <v/>
      </c>
      <c r="I68" s="2" t="str">
        <f t="shared" ca="1" si="8"/>
        <v/>
      </c>
      <c r="J68" s="54" t="str">
        <f t="shared" ca="1" si="9"/>
        <v/>
      </c>
      <c r="K68" s="52"/>
      <c r="L68" s="55" t="str">
        <f ca="1">IF(ISERROR(B68-2),"",C68+D68-F68-G68+I68+J68-SUM($K$14:K68))</f>
        <v/>
      </c>
      <c r="N68" s="4">
        <v>46021.625</v>
      </c>
      <c r="O68" s="5">
        <v>50.018000000000001</v>
      </c>
      <c r="P68" s="4">
        <v>45978.625</v>
      </c>
      <c r="Q68" s="5">
        <v>83.57</v>
      </c>
      <c r="T68" s="4">
        <f t="shared" ref="T68:T131" si="11">IF(COUNTIF(P:P,N68)*COUNTIF(R:R,N68),N68,"")</f>
        <v>46021.625</v>
      </c>
      <c r="U68" s="4" t="str">
        <f t="shared" si="10"/>
        <v/>
      </c>
      <c r="X68" s="60"/>
      <c r="Y68" s="66"/>
      <c r="Z68" s="59"/>
      <c r="AA68" s="60"/>
      <c r="AC68" s="60"/>
      <c r="AD68" s="60"/>
      <c r="AE68" s="12"/>
    </row>
    <row r="69" spans="1:31" x14ac:dyDescent="0.25">
      <c r="A69" s="50" t="str">
        <f t="shared" ca="1" si="3"/>
        <v/>
      </c>
      <c r="B69" s="51" t="str">
        <f ca="1">IF(COUNTIF($V$2:V1054,A69)=1,VLOOKUP(A69,N:O,2), IF(COUNTIF($V$2:V1054,A69)=0,$B$9,""))</f>
        <v/>
      </c>
      <c r="C69" s="2" t="str">
        <f t="shared" ca="1" si="4"/>
        <v/>
      </c>
      <c r="D69" s="54" t="str">
        <f t="shared" ca="1" si="5"/>
        <v/>
      </c>
      <c r="E69" s="51" t="str">
        <f ca="1">IF(COUNTIF($V$2:V1054,A69)=1,VLOOKUP(A69,P:Q,2), IF(COUNTIF($V$2:V1054,A69)=0,$C$9,""))</f>
        <v/>
      </c>
      <c r="F69" s="2" t="str">
        <f t="shared" ca="1" si="6"/>
        <v/>
      </c>
      <c r="G69" s="54" t="str">
        <f t="shared" ca="1" si="7"/>
        <v/>
      </c>
      <c r="H69" s="51" t="str">
        <f ca="1">IF(COUNTIF($V$2:V1054,A69)=1,VLOOKUP(A69,R:S,2), IF(COUNTIF($V$2:V1054,A69)=0,$D$9,""))</f>
        <v/>
      </c>
      <c r="I69" s="2" t="str">
        <f t="shared" ca="1" si="8"/>
        <v/>
      </c>
      <c r="J69" s="54" t="str">
        <f t="shared" ca="1" si="9"/>
        <v/>
      </c>
      <c r="K69" s="52"/>
      <c r="L69" s="55" t="str">
        <f ca="1">IF(ISERROR(B69-2),"",C69+D69-F69-G69+I69+J69-SUM($K$14:K69))</f>
        <v/>
      </c>
      <c r="N69" s="4">
        <v>46024.625</v>
      </c>
      <c r="O69" s="5">
        <v>50.140999999999998</v>
      </c>
      <c r="P69" s="4">
        <v>45979.625</v>
      </c>
      <c r="Q69" s="5">
        <v>83.66</v>
      </c>
      <c r="T69" s="4">
        <f t="shared" si="11"/>
        <v>46024.625</v>
      </c>
      <c r="U69" s="4" t="str">
        <f t="shared" si="10"/>
        <v/>
      </c>
      <c r="X69" s="60"/>
      <c r="Y69" s="66"/>
      <c r="Z69" s="59"/>
      <c r="AA69" s="60"/>
      <c r="AC69" s="60"/>
      <c r="AD69" s="60"/>
      <c r="AE69" s="12"/>
    </row>
    <row r="70" spans="1:31" x14ac:dyDescent="0.25">
      <c r="A70" s="50" t="str">
        <f t="shared" ca="1" si="3"/>
        <v/>
      </c>
      <c r="B70" s="51" t="str">
        <f ca="1">IF(COUNTIF($V$2:V1055,A70)=1,VLOOKUP(A70,N:O,2), IF(COUNTIF($V$2:V1055,A70)=0,$B$9,""))</f>
        <v/>
      </c>
      <c r="C70" s="2" t="str">
        <f t="shared" ca="1" si="4"/>
        <v/>
      </c>
      <c r="D70" s="54" t="str">
        <f t="shared" ca="1" si="5"/>
        <v/>
      </c>
      <c r="E70" s="51" t="str">
        <f ca="1">IF(COUNTIF($V$2:V1055,A70)=1,VLOOKUP(A70,P:Q,2), IF(COUNTIF($V$2:V1055,A70)=0,$C$9,""))</f>
        <v/>
      </c>
      <c r="F70" s="2" t="str">
        <f t="shared" ca="1" si="6"/>
        <v/>
      </c>
      <c r="G70" s="54" t="str">
        <f t="shared" ca="1" si="7"/>
        <v/>
      </c>
      <c r="H70" s="51" t="str">
        <f ca="1">IF(COUNTIF($V$2:V1055,A70)=1,VLOOKUP(A70,R:S,2), IF(COUNTIF($V$2:V1055,A70)=0,$D$9,""))</f>
        <v/>
      </c>
      <c r="I70" s="2" t="str">
        <f t="shared" ca="1" si="8"/>
        <v/>
      </c>
      <c r="J70" s="54" t="str">
        <f t="shared" ca="1" si="9"/>
        <v/>
      </c>
      <c r="K70" s="52"/>
      <c r="L70" s="55" t="str">
        <f ca="1">IF(ISERROR(B70-2),"",C70+D70-F70-G70+I70+J70-SUM($K$14:K70))</f>
        <v/>
      </c>
      <c r="N70" s="4">
        <v>46027.625</v>
      </c>
      <c r="O70" s="5">
        <v>49.325000000000003</v>
      </c>
      <c r="P70" s="4">
        <v>45980.625</v>
      </c>
      <c r="Q70" s="5">
        <v>83.62</v>
      </c>
      <c r="T70" s="4">
        <f t="shared" si="11"/>
        <v>46027.625</v>
      </c>
      <c r="U70" s="4">
        <f t="shared" si="10"/>
        <v>46027.625</v>
      </c>
      <c r="AE70" s="12"/>
    </row>
    <row r="71" spans="1:31" x14ac:dyDescent="0.25">
      <c r="A71" s="50" t="str">
        <f t="shared" ca="1" si="3"/>
        <v/>
      </c>
      <c r="B71" s="51" t="str">
        <f ca="1">IF(COUNTIF($V$2:V1056,A71)=1,VLOOKUP(A71,N:O,2), IF(COUNTIF($V$2:V1056,A71)=0,$B$9,""))</f>
        <v/>
      </c>
      <c r="C71" s="2" t="str">
        <f t="shared" ca="1" si="4"/>
        <v/>
      </c>
      <c r="D71" s="54" t="str">
        <f t="shared" ca="1" si="5"/>
        <v/>
      </c>
      <c r="E71" s="51" t="str">
        <f ca="1">IF(COUNTIF($V$2:V1056,A71)=1,VLOOKUP(A71,P:Q,2), IF(COUNTIF($V$2:V1056,A71)=0,$C$9,""))</f>
        <v/>
      </c>
      <c r="F71" s="2" t="str">
        <f t="shared" ca="1" si="6"/>
        <v/>
      </c>
      <c r="G71" s="54" t="str">
        <f t="shared" ca="1" si="7"/>
        <v/>
      </c>
      <c r="H71" s="51" t="str">
        <f ca="1">IF(COUNTIF($V$2:V1056,A71)=1,VLOOKUP(A71,R:S,2), IF(COUNTIF($V$2:V1056,A71)=0,$D$9,""))</f>
        <v/>
      </c>
      <c r="I71" s="2" t="str">
        <f t="shared" ca="1" si="8"/>
        <v/>
      </c>
      <c r="J71" s="54" t="str">
        <f t="shared" ca="1" si="9"/>
        <v/>
      </c>
      <c r="K71" s="52"/>
      <c r="L71" s="55" t="str">
        <f ca="1">IF(ISERROR(B71-2),"",C71+D71-F71-G71+I71+J71-SUM($K$14:K71))</f>
        <v/>
      </c>
      <c r="N71" s="4">
        <v>46028.625</v>
      </c>
      <c r="O71" s="5">
        <v>49.069000000000003</v>
      </c>
      <c r="P71" s="4">
        <v>45981.625</v>
      </c>
      <c r="Q71" s="5">
        <v>83.73</v>
      </c>
      <c r="T71" s="4">
        <f t="shared" si="11"/>
        <v>46028.625</v>
      </c>
      <c r="U71" s="4">
        <f t="shared" si="10"/>
        <v>46028.625</v>
      </c>
      <c r="AE71" s="12"/>
    </row>
    <row r="72" spans="1:31" x14ac:dyDescent="0.25">
      <c r="A72" s="50" t="str">
        <f t="shared" ca="1" si="3"/>
        <v/>
      </c>
      <c r="B72" s="51" t="str">
        <f ca="1">IF(COUNTIF($V$2:V1057,A72)=1,VLOOKUP(A72,N:O,2), IF(COUNTIF($V$2:V1057,A72)=0,$B$9,""))</f>
        <v/>
      </c>
      <c r="C72" s="2" t="str">
        <f t="shared" ca="1" si="4"/>
        <v/>
      </c>
      <c r="D72" s="54" t="str">
        <f t="shared" ca="1" si="5"/>
        <v/>
      </c>
      <c r="E72" s="51" t="str">
        <f ca="1">IF(COUNTIF($V$2:V1057,A72)=1,VLOOKUP(A72,P:Q,2), IF(COUNTIF($V$2:V1057,A72)=0,$C$9,""))</f>
        <v/>
      </c>
      <c r="F72" s="2" t="str">
        <f t="shared" ca="1" si="6"/>
        <v/>
      </c>
      <c r="G72" s="54" t="str">
        <f t="shared" ca="1" si="7"/>
        <v/>
      </c>
      <c r="H72" s="51" t="str">
        <f ca="1">IF(COUNTIF($V$2:V1057,A72)=1,VLOOKUP(A72,R:S,2), IF(COUNTIF($V$2:V1057,A72)=0,$D$9,""))</f>
        <v/>
      </c>
      <c r="I72" s="2" t="str">
        <f t="shared" ca="1" si="8"/>
        <v/>
      </c>
      <c r="J72" s="54" t="str">
        <f t="shared" ca="1" si="9"/>
        <v/>
      </c>
      <c r="K72" s="52"/>
      <c r="L72" s="55" t="str">
        <f ca="1">IF(ISERROR(B72-2),"",C72+D72-F72-G72+I72+J72-SUM($K$14:K72))</f>
        <v/>
      </c>
      <c r="N72" s="4">
        <v>46029.625</v>
      </c>
      <c r="O72" s="5">
        <v>49.633000000000003</v>
      </c>
      <c r="P72" s="4">
        <v>45982.625</v>
      </c>
      <c r="Q72" s="5">
        <v>84.03</v>
      </c>
      <c r="T72" s="4">
        <f t="shared" si="11"/>
        <v>46029.625</v>
      </c>
      <c r="U72" s="4">
        <f t="shared" si="10"/>
        <v>46029.625</v>
      </c>
      <c r="AE72" s="12"/>
    </row>
    <row r="73" spans="1:31" x14ac:dyDescent="0.25">
      <c r="A73" s="50" t="str">
        <f t="shared" ca="1" si="3"/>
        <v/>
      </c>
      <c r="B73" s="51" t="str">
        <f ca="1">IF(COUNTIF($V$2:V1058,A73)=1,VLOOKUP(A73,N:O,2), IF(COUNTIF($V$2:V1058,A73)=0,$B$9,""))</f>
        <v/>
      </c>
      <c r="C73" s="2" t="str">
        <f t="shared" ca="1" si="4"/>
        <v/>
      </c>
      <c r="D73" s="54" t="str">
        <f t="shared" ca="1" si="5"/>
        <v/>
      </c>
      <c r="E73" s="51" t="str">
        <f ca="1">IF(COUNTIF($V$2:V1058,A73)=1,VLOOKUP(A73,P:Q,2), IF(COUNTIF($V$2:V1058,A73)=0,$C$9,""))</f>
        <v/>
      </c>
      <c r="F73" s="2" t="str">
        <f t="shared" ca="1" si="6"/>
        <v/>
      </c>
      <c r="G73" s="54" t="str">
        <f t="shared" ca="1" si="7"/>
        <v/>
      </c>
      <c r="H73" s="51" t="str">
        <f ca="1">IF(COUNTIF($V$2:V1058,A73)=1,VLOOKUP(A73,R:S,2), IF(COUNTIF($V$2:V1058,A73)=0,$D$9,""))</f>
        <v/>
      </c>
      <c r="I73" s="2" t="str">
        <f t="shared" ca="1" si="8"/>
        <v/>
      </c>
      <c r="J73" s="54" t="str">
        <f t="shared" ca="1" si="9"/>
        <v/>
      </c>
      <c r="K73" s="52"/>
      <c r="L73" s="55" t="str">
        <f ca="1">IF(ISERROR(B73-2),"",C73+D73-F73-G73+I73+J73-SUM($K$14:K73))</f>
        <v/>
      </c>
      <c r="N73" s="4">
        <v>46030.625</v>
      </c>
      <c r="O73" s="5">
        <v>49.271999999999998</v>
      </c>
      <c r="P73" s="4">
        <v>45985.625</v>
      </c>
      <c r="Q73" s="5">
        <v>84.24</v>
      </c>
      <c r="T73" s="4">
        <f t="shared" si="11"/>
        <v>46030.625</v>
      </c>
      <c r="U73" s="4">
        <f t="shared" si="10"/>
        <v>46030.625</v>
      </c>
      <c r="AE73" s="12"/>
    </row>
    <row r="74" spans="1:31" x14ac:dyDescent="0.25">
      <c r="A74" s="50" t="str">
        <f t="shared" ca="1" si="3"/>
        <v/>
      </c>
      <c r="B74" s="51" t="str">
        <f ca="1">IF(COUNTIF($V$2:V1059,A74)=1,VLOOKUP(A74,N:O,2), IF(COUNTIF($V$2:V1059,A74)=0,$B$9,""))</f>
        <v/>
      </c>
      <c r="C74" s="2" t="str">
        <f t="shared" ca="1" si="4"/>
        <v/>
      </c>
      <c r="D74" s="54" t="str">
        <f t="shared" ca="1" si="5"/>
        <v/>
      </c>
      <c r="E74" s="51" t="str">
        <f ca="1">IF(COUNTIF($V$2:V1059,A74)=1,VLOOKUP(A74,P:Q,2), IF(COUNTIF($V$2:V1059,A74)=0,$C$9,""))</f>
        <v/>
      </c>
      <c r="F74" s="2" t="str">
        <f t="shared" ca="1" si="6"/>
        <v/>
      </c>
      <c r="G74" s="54" t="str">
        <f t="shared" ca="1" si="7"/>
        <v/>
      </c>
      <c r="H74" s="51" t="str">
        <f ca="1">IF(COUNTIF($V$2:V1059,A74)=1,VLOOKUP(A74,R:S,2), IF(COUNTIF($V$2:V1059,A74)=0,$D$9,""))</f>
        <v/>
      </c>
      <c r="I74" s="2" t="str">
        <f t="shared" ca="1" si="8"/>
        <v/>
      </c>
      <c r="J74" s="54" t="str">
        <f t="shared" ca="1" si="9"/>
        <v/>
      </c>
      <c r="K74" s="52"/>
      <c r="L74" s="55" t="str">
        <f ca="1">IF(ISERROR(B74-2),"",C74+D74-F74-G74+I74+J74-SUM($K$14:K74))</f>
        <v/>
      </c>
      <c r="N74" s="4">
        <v>46031.625</v>
      </c>
      <c r="O74" s="5">
        <v>49.093000000000004</v>
      </c>
      <c r="P74" s="4">
        <v>45986.625</v>
      </c>
      <c r="Q74" s="5">
        <v>84.46</v>
      </c>
      <c r="T74" s="4">
        <f t="shared" si="11"/>
        <v>46031.625</v>
      </c>
      <c r="U74" s="4">
        <f t="shared" si="10"/>
        <v>46031.625</v>
      </c>
      <c r="AE74" s="12"/>
    </row>
    <row r="75" spans="1:31" x14ac:dyDescent="0.25">
      <c r="A75" s="50" t="str">
        <f t="shared" ca="1" si="3"/>
        <v/>
      </c>
      <c r="B75" s="51" t="str">
        <f ca="1">IF(COUNTIF($V$2:V1060,A75)=1,VLOOKUP(A75,N:O,2), IF(COUNTIF($V$2:V1060,A75)=0,$B$9,""))</f>
        <v/>
      </c>
      <c r="C75" s="2" t="str">
        <f t="shared" ca="1" si="4"/>
        <v/>
      </c>
      <c r="D75" s="54" t="str">
        <f t="shared" ca="1" si="5"/>
        <v/>
      </c>
      <c r="E75" s="51" t="str">
        <f ca="1">IF(COUNTIF($V$2:V1060,A75)=1,VLOOKUP(A75,P:Q,2), IF(COUNTIF($V$2:V1060,A75)=0,$C$9,""))</f>
        <v/>
      </c>
      <c r="F75" s="2" t="str">
        <f t="shared" ca="1" si="6"/>
        <v/>
      </c>
      <c r="G75" s="54" t="str">
        <f t="shared" ca="1" si="7"/>
        <v/>
      </c>
      <c r="H75" s="51" t="str">
        <f ca="1">IF(COUNTIF($V$2:V1060,A75)=1,VLOOKUP(A75,R:S,2), IF(COUNTIF($V$2:V1060,A75)=0,$D$9,""))</f>
        <v/>
      </c>
      <c r="I75" s="2" t="str">
        <f t="shared" ca="1" si="8"/>
        <v/>
      </c>
      <c r="J75" s="54" t="str">
        <f t="shared" ca="1" si="9"/>
        <v/>
      </c>
      <c r="K75" s="52"/>
      <c r="L75" s="55" t="str">
        <f ca="1">IF(ISERROR(B75-2),"",C75+D75-F75-G75+I75+J75-SUM($K$14:K75))</f>
        <v/>
      </c>
      <c r="N75" s="4">
        <v>46034.625</v>
      </c>
      <c r="O75" s="5">
        <v>48.982999999999997</v>
      </c>
      <c r="P75" s="4">
        <v>45987.625</v>
      </c>
      <c r="Q75" s="5">
        <v>84.62</v>
      </c>
      <c r="T75" s="4">
        <f t="shared" si="11"/>
        <v>46034.625</v>
      </c>
      <c r="U75" s="4">
        <f t="shared" si="10"/>
        <v>46034.625</v>
      </c>
      <c r="AE75" s="12"/>
    </row>
    <row r="76" spans="1:31" x14ac:dyDescent="0.25">
      <c r="A76" s="50" t="str">
        <f t="shared" ca="1" si="3"/>
        <v/>
      </c>
      <c r="B76" s="51" t="str">
        <f ca="1">IF(COUNTIF($V$2:V1061,A76)=1,VLOOKUP(A76,N:O,2), IF(COUNTIF($V$2:V1061,A76)=0,$B$9,""))</f>
        <v/>
      </c>
      <c r="C76" s="2" t="str">
        <f t="shared" ca="1" si="4"/>
        <v/>
      </c>
      <c r="D76" s="54" t="str">
        <f t="shared" ca="1" si="5"/>
        <v/>
      </c>
      <c r="E76" s="51" t="str">
        <f ca="1">IF(COUNTIF($V$2:V1061,A76)=1,VLOOKUP(A76,P:Q,2), IF(COUNTIF($V$2:V1061,A76)=0,$C$9,""))</f>
        <v/>
      </c>
      <c r="F76" s="2" t="str">
        <f t="shared" ca="1" si="6"/>
        <v/>
      </c>
      <c r="G76" s="54" t="str">
        <f t="shared" ca="1" si="7"/>
        <v/>
      </c>
      <c r="H76" s="51" t="str">
        <f ca="1">IF(COUNTIF($V$2:V1061,A76)=1,VLOOKUP(A76,R:S,2), IF(COUNTIF($V$2:V1061,A76)=0,$D$9,""))</f>
        <v/>
      </c>
      <c r="I76" s="2" t="str">
        <f t="shared" ca="1" si="8"/>
        <v/>
      </c>
      <c r="J76" s="54" t="str">
        <f t="shared" ca="1" si="9"/>
        <v/>
      </c>
      <c r="K76" s="52"/>
      <c r="L76" s="55" t="str">
        <f ca="1">IF(ISERROR(B76-2),"",C76+D76-F76-G76+I76+J76-SUM($K$14:K76))</f>
        <v/>
      </c>
      <c r="N76" s="4">
        <v>46035.625</v>
      </c>
      <c r="O76" s="5">
        <v>49.198999999999998</v>
      </c>
      <c r="P76" s="4">
        <v>45992.625</v>
      </c>
      <c r="Q76" s="5">
        <v>83.94</v>
      </c>
      <c r="T76" s="4">
        <f t="shared" si="11"/>
        <v>46035.625</v>
      </c>
      <c r="U76" s="4">
        <f t="shared" si="10"/>
        <v>46035.625</v>
      </c>
      <c r="AE76" s="12"/>
    </row>
    <row r="77" spans="1:31" x14ac:dyDescent="0.25">
      <c r="A77" s="50" t="str">
        <f t="shared" ca="1" si="3"/>
        <v/>
      </c>
      <c r="B77" s="51" t="str">
        <f ca="1">IF(COUNTIF($V$2:V1062,A77)=1,VLOOKUP(A77,N:O,2), IF(COUNTIF($V$2:V1062,A77)=0,$B$9,""))</f>
        <v/>
      </c>
      <c r="C77" s="2" t="str">
        <f t="shared" ca="1" si="4"/>
        <v/>
      </c>
      <c r="D77" s="54" t="str">
        <f t="shared" ca="1" si="5"/>
        <v/>
      </c>
      <c r="E77" s="51" t="str">
        <f ca="1">IF(COUNTIF($V$2:V1062,A77)=1,VLOOKUP(A77,P:Q,2), IF(COUNTIF($V$2:V1062,A77)=0,$C$9,""))</f>
        <v/>
      </c>
      <c r="F77" s="2" t="str">
        <f t="shared" ca="1" si="6"/>
        <v/>
      </c>
      <c r="G77" s="54" t="str">
        <f t="shared" ca="1" si="7"/>
        <v/>
      </c>
      <c r="H77" s="51" t="str">
        <f ca="1">IF(COUNTIF($V$2:V1062,A77)=1,VLOOKUP(A77,R:S,2), IF(COUNTIF($V$2:V1062,A77)=0,$D$9,""))</f>
        <v/>
      </c>
      <c r="I77" s="2" t="str">
        <f t="shared" ca="1" si="8"/>
        <v/>
      </c>
      <c r="J77" s="54" t="str">
        <f t="shared" ca="1" si="9"/>
        <v/>
      </c>
      <c r="K77" s="52"/>
      <c r="L77" s="55" t="str">
        <f ca="1">IF(ISERROR(B77-2),"",C77+D77-F77-G77+I77+J77-SUM($K$14:K77))</f>
        <v/>
      </c>
      <c r="N77" s="4">
        <v>46036.625</v>
      </c>
      <c r="O77" s="5">
        <v>49.423000000000002</v>
      </c>
      <c r="P77" s="4">
        <v>45993.625</v>
      </c>
      <c r="Q77" s="5">
        <v>84</v>
      </c>
      <c r="T77" s="4">
        <f t="shared" si="11"/>
        <v>46036.625</v>
      </c>
      <c r="U77" s="4">
        <f t="shared" si="10"/>
        <v>46036.625</v>
      </c>
      <c r="AE77" s="12"/>
    </row>
    <row r="78" spans="1:31" x14ac:dyDescent="0.25">
      <c r="A78" s="50" t="str">
        <f t="shared" ca="1" si="3"/>
        <v/>
      </c>
      <c r="B78" s="51" t="str">
        <f ca="1">IF(COUNTIF($V$2:V1063,A78)=1,VLOOKUP(A78,N:O,2), IF(COUNTIF($V$2:V1063,A78)=0,$B$9,""))</f>
        <v/>
      </c>
      <c r="C78" s="2" t="str">
        <f t="shared" ca="1" si="4"/>
        <v/>
      </c>
      <c r="D78" s="54" t="str">
        <f t="shared" ca="1" si="5"/>
        <v/>
      </c>
      <c r="E78" s="51" t="str">
        <f ca="1">IF(COUNTIF($V$2:V1063,A78)=1,VLOOKUP(A78,P:Q,2), IF(COUNTIF($V$2:V1063,A78)=0,$C$9,""))</f>
        <v/>
      </c>
      <c r="F78" s="2" t="str">
        <f t="shared" ca="1" si="6"/>
        <v/>
      </c>
      <c r="G78" s="54" t="str">
        <f t="shared" ca="1" si="7"/>
        <v/>
      </c>
      <c r="H78" s="51" t="str">
        <f ca="1">IF(COUNTIF($V$2:V1063,A78)=1,VLOOKUP(A78,R:S,2), IF(COUNTIF($V$2:V1063,A78)=0,$D$9,""))</f>
        <v/>
      </c>
      <c r="I78" s="2" t="str">
        <f t="shared" ca="1" si="8"/>
        <v/>
      </c>
      <c r="J78" s="54" t="str">
        <f t="shared" ca="1" si="9"/>
        <v/>
      </c>
      <c r="K78" s="52"/>
      <c r="L78" s="55" t="str">
        <f ca="1">IF(ISERROR(B78-2),"",C78+D78-F78-G78+I78+J78-SUM($K$14:K78))</f>
        <v/>
      </c>
      <c r="N78" s="4">
        <v>46037.625</v>
      </c>
      <c r="O78" s="5">
        <v>48.993000000000002</v>
      </c>
      <c r="P78" s="4">
        <v>45994.625</v>
      </c>
      <c r="Q78" s="5">
        <v>84.18</v>
      </c>
      <c r="T78" s="4">
        <f t="shared" si="11"/>
        <v>46037.625</v>
      </c>
      <c r="U78" s="4">
        <f t="shared" si="10"/>
        <v>46037.625</v>
      </c>
    </row>
    <row r="79" spans="1:31" x14ac:dyDescent="0.25">
      <c r="A79" s="50" t="str">
        <f t="shared" ca="1" si="3"/>
        <v/>
      </c>
      <c r="B79" s="51" t="str">
        <f ca="1">IF(COUNTIF($V$2:V1064,A79)=1,VLOOKUP(A79,N:O,2), IF(COUNTIF($V$2:V1064,A79)=0,$B$9,""))</f>
        <v/>
      </c>
      <c r="C79" s="2" t="str">
        <f t="shared" ca="1" si="4"/>
        <v/>
      </c>
      <c r="D79" s="54" t="str">
        <f t="shared" ca="1" si="5"/>
        <v/>
      </c>
      <c r="E79" s="51" t="str">
        <f ca="1">IF(COUNTIF($V$2:V1064,A79)=1,VLOOKUP(A79,P:Q,2), IF(COUNTIF($V$2:V1064,A79)=0,$C$9,""))</f>
        <v/>
      </c>
      <c r="F79" s="2" t="str">
        <f t="shared" ca="1" si="6"/>
        <v/>
      </c>
      <c r="G79" s="54" t="str">
        <f t="shared" ca="1" si="7"/>
        <v/>
      </c>
      <c r="H79" s="51" t="str">
        <f ca="1">IF(COUNTIF($V$2:V1064,A79)=1,VLOOKUP(A79,R:S,2), IF(COUNTIF($V$2:V1064,A79)=0,$D$9,""))</f>
        <v/>
      </c>
      <c r="I79" s="2" t="str">
        <f t="shared" ca="1" si="8"/>
        <v/>
      </c>
      <c r="J79" s="54" t="str">
        <f t="shared" ca="1" si="9"/>
        <v/>
      </c>
      <c r="K79" s="52"/>
      <c r="L79" s="55" t="str">
        <f ca="1">IF(ISERROR(B79-2),"",C79+D79-F79-G79+I79+J79-SUM($K$14:K79))</f>
        <v/>
      </c>
      <c r="N79" s="4">
        <v>46038.625</v>
      </c>
      <c r="O79" s="5">
        <v>48.69</v>
      </c>
      <c r="P79" s="4">
        <v>45995.625</v>
      </c>
      <c r="Q79" s="5">
        <v>84.02</v>
      </c>
      <c r="T79" s="4">
        <f t="shared" si="11"/>
        <v>46038.625</v>
      </c>
      <c r="U79" s="4">
        <f t="shared" si="10"/>
        <v>46038.625</v>
      </c>
    </row>
    <row r="80" spans="1:31" x14ac:dyDescent="0.25">
      <c r="A80" s="50" t="str">
        <f t="shared" ref="A80:A124" ca="1" si="12">IF(AND(ISBLANK(V69), A79 = $V$1),NOW(),IF(ISBLANK(V69),"",V69))</f>
        <v/>
      </c>
      <c r="B80" s="51" t="str">
        <f ca="1">IF(COUNTIF($V$2:V1065,A80)=1,VLOOKUP(A80,N:O,2), IF(COUNTIF($V$2:V1065,A80)=0,$B$9,""))</f>
        <v/>
      </c>
      <c r="C80" s="2" t="str">
        <f t="shared" ref="C80:C124" ca="1" si="13">IF(ISERROR(B80-2),"",-1*(B80-$B$14)*10^(-4)*$B$8*$B$5)</f>
        <v/>
      </c>
      <c r="D80" s="54" t="str">
        <f t="shared" ref="D80:D124" ca="1" si="14">IF(ISERROR(B80-2),"",(INT(A80)-INT($A$14))/360*$B$5*$B$6)</f>
        <v/>
      </c>
      <c r="E80" s="51" t="str">
        <f ca="1">IF(COUNTIF($V$2:V1065,A80)=1,VLOOKUP(A80,P:Q,2), IF(COUNTIF($V$2:V1065,A80)=0,$C$9,""))</f>
        <v/>
      </c>
      <c r="F80" s="2" t="str">
        <f t="shared" ref="F80:F124" ca="1" si="15">IF(ISERROR(B80-2),"",(E80/$E$14-1)*$C$5)</f>
        <v/>
      </c>
      <c r="G80" s="54" t="str">
        <f t="shared" ref="G80:G124" ca="1" si="16">IF(ISERROR(B80-2),"",(INT(A80)-INT($A$14))/360*$C$6*$C$5-(INT(A80)-INT($A$14))/360*$C$7*$C$5)</f>
        <v/>
      </c>
      <c r="H80" s="51" t="str">
        <f ca="1">IF(COUNTIF($V$2:V1065,A80)=1,VLOOKUP(A80,R:S,2), IF(COUNTIF($V$2:V1065,A80)=0,$D$9,""))</f>
        <v/>
      </c>
      <c r="I80" s="2" t="str">
        <f t="shared" ref="I80:I124" ca="1" si="17">IF(ISERROR(B80-2),"",(H80-$H$14)/100*$D$5)</f>
        <v/>
      </c>
      <c r="J80" s="54" t="str">
        <f t="shared" ref="J80:J124" ca="1" si="18">IF(ISERROR(B80-2),"",(INT(A80)-INT($A$14))/360*$D$6*$D$5 - (INT(A80)-INT($A$14))/360*$D$7*$D$5*$H$14/100)</f>
        <v/>
      </c>
      <c r="K80" s="52"/>
      <c r="L80" s="55" t="str">
        <f ca="1">IF(ISERROR(B80-2),"",C80+D80-F80-G80+I80+J80-SUM($K$14:K80))</f>
        <v/>
      </c>
      <c r="N80" s="4">
        <v>46042.625</v>
      </c>
      <c r="O80" s="5">
        <v>50.305</v>
      </c>
      <c r="P80" s="4">
        <v>45996.625</v>
      </c>
      <c r="Q80" s="5">
        <v>83.94</v>
      </c>
      <c r="T80" s="4">
        <f t="shared" si="11"/>
        <v>46042.625</v>
      </c>
      <c r="U80" s="4">
        <f t="shared" si="10"/>
        <v>46042.625</v>
      </c>
    </row>
    <row r="81" spans="1:21" x14ac:dyDescent="0.25">
      <c r="A81" s="50" t="str">
        <f t="shared" ca="1" si="12"/>
        <v/>
      </c>
      <c r="B81" s="51" t="str">
        <f ca="1">IF(COUNTIF($V$2:V1066,A81)=1,VLOOKUP(A81,N:O,2), IF(COUNTIF($V$2:V1066,A81)=0,$B$9,""))</f>
        <v/>
      </c>
      <c r="C81" s="2" t="str">
        <f t="shared" ca="1" si="13"/>
        <v/>
      </c>
      <c r="D81" s="54" t="str">
        <f t="shared" ca="1" si="14"/>
        <v/>
      </c>
      <c r="E81" s="51" t="str">
        <f ca="1">IF(COUNTIF($V$2:V1066,A81)=1,VLOOKUP(A81,P:Q,2), IF(COUNTIF($V$2:V1066,A81)=0,$C$9,""))</f>
        <v/>
      </c>
      <c r="F81" s="2" t="str">
        <f t="shared" ca="1" si="15"/>
        <v/>
      </c>
      <c r="G81" s="54" t="str">
        <f t="shared" ca="1" si="16"/>
        <v/>
      </c>
      <c r="H81" s="51" t="str">
        <f ca="1">IF(COUNTIF($V$2:V1066,A81)=1,VLOOKUP(A81,R:S,2), IF(COUNTIF($V$2:V1066,A81)=0,$D$9,""))</f>
        <v/>
      </c>
      <c r="I81" s="2" t="str">
        <f t="shared" ca="1" si="17"/>
        <v/>
      </c>
      <c r="J81" s="54" t="str">
        <f t="shared" ca="1" si="18"/>
        <v/>
      </c>
      <c r="K81" s="52"/>
      <c r="L81" s="55" t="str">
        <f ca="1">IF(ISERROR(B81-2),"",C81+D81-F81-G81+I81+J81-SUM($K$14:K81))</f>
        <v/>
      </c>
      <c r="N81" s="4">
        <v>46043.625</v>
      </c>
      <c r="O81" s="5">
        <v>48.877000000000002</v>
      </c>
      <c r="P81" s="4">
        <v>45999.625</v>
      </c>
      <c r="Q81" s="5">
        <v>83.82</v>
      </c>
      <c r="T81" s="4">
        <f t="shared" si="11"/>
        <v>46043.625</v>
      </c>
      <c r="U81" s="4">
        <f t="shared" si="10"/>
        <v>46043.625</v>
      </c>
    </row>
    <row r="82" spans="1:21" x14ac:dyDescent="0.25">
      <c r="A82" s="50" t="str">
        <f t="shared" ca="1" si="12"/>
        <v/>
      </c>
      <c r="B82" s="51" t="str">
        <f ca="1">IF(COUNTIF($V$2:V1067,A82)=1,VLOOKUP(A82,N:O,2), IF(COUNTIF($V$2:V1067,A82)=0,$B$9,""))</f>
        <v/>
      </c>
      <c r="C82" s="2" t="str">
        <f t="shared" ca="1" si="13"/>
        <v/>
      </c>
      <c r="D82" s="54" t="str">
        <f t="shared" ca="1" si="14"/>
        <v/>
      </c>
      <c r="E82" s="51" t="str">
        <f ca="1">IF(COUNTIF($V$2:V1067,A82)=1,VLOOKUP(A82,P:Q,2), IF(COUNTIF($V$2:V1067,A82)=0,$C$9,""))</f>
        <v/>
      </c>
      <c r="F82" s="2" t="str">
        <f t="shared" ca="1" si="15"/>
        <v/>
      </c>
      <c r="G82" s="54" t="str">
        <f t="shared" ca="1" si="16"/>
        <v/>
      </c>
      <c r="H82" s="51" t="str">
        <f ca="1">IF(COUNTIF($V$2:V1067,A82)=1,VLOOKUP(A82,R:S,2), IF(COUNTIF($V$2:V1067,A82)=0,$D$9,""))</f>
        <v/>
      </c>
      <c r="I82" s="2" t="str">
        <f t="shared" ca="1" si="17"/>
        <v/>
      </c>
      <c r="J82" s="54" t="str">
        <f t="shared" ca="1" si="18"/>
        <v/>
      </c>
      <c r="K82" s="52"/>
      <c r="L82" s="55" t="str">
        <f ca="1">IF(ISERROR(B82-2),"",C82+D82-F82-G82+I82+J82-SUM($K$14:K82))</f>
        <v/>
      </c>
      <c r="N82" s="4">
        <v>46044.625</v>
      </c>
      <c r="O82" s="5">
        <v>48.487000000000002</v>
      </c>
      <c r="P82" s="4">
        <v>46000.625</v>
      </c>
      <c r="Q82" s="5">
        <v>83.7</v>
      </c>
      <c r="T82" s="4">
        <f t="shared" si="11"/>
        <v>46044.625</v>
      </c>
      <c r="U82" s="4">
        <f t="shared" si="10"/>
        <v>46044.625</v>
      </c>
    </row>
    <row r="83" spans="1:21" x14ac:dyDescent="0.25">
      <c r="A83" s="50" t="str">
        <f t="shared" ca="1" si="12"/>
        <v/>
      </c>
      <c r="B83" s="51" t="str">
        <f ca="1">IF(COUNTIF($V$2:V1068,A83)=1,VLOOKUP(A83,N:O,2), IF(COUNTIF($V$2:V1068,A83)=0,$B$9,""))</f>
        <v/>
      </c>
      <c r="C83" s="2" t="str">
        <f t="shared" ca="1" si="13"/>
        <v/>
      </c>
      <c r="D83" s="54" t="str">
        <f t="shared" ca="1" si="14"/>
        <v/>
      </c>
      <c r="E83" s="51" t="str">
        <f ca="1">IF(COUNTIF($V$2:V1068,A83)=1,VLOOKUP(A83,P:Q,2), IF(COUNTIF($V$2:V1068,A83)=0,$C$9,""))</f>
        <v/>
      </c>
      <c r="F83" s="2" t="str">
        <f t="shared" ca="1" si="15"/>
        <v/>
      </c>
      <c r="G83" s="54" t="str">
        <f t="shared" ca="1" si="16"/>
        <v/>
      </c>
      <c r="H83" s="51" t="str">
        <f ca="1">IF(COUNTIF($V$2:V1068,A83)=1,VLOOKUP(A83,R:S,2), IF(COUNTIF($V$2:V1068,A83)=0,$D$9,""))</f>
        <v/>
      </c>
      <c r="I83" s="2" t="str">
        <f t="shared" ca="1" si="17"/>
        <v/>
      </c>
      <c r="J83" s="54" t="str">
        <f t="shared" ca="1" si="18"/>
        <v/>
      </c>
      <c r="K83" s="52"/>
      <c r="L83" s="55" t="str">
        <f ca="1">IF(ISERROR(B83-2),"",C83+D83-F83-G83+I83+J83-SUM($K$14:K83))</f>
        <v/>
      </c>
      <c r="N83" s="4">
        <v>46045.625</v>
      </c>
      <c r="O83" s="5">
        <v>48.872999999999998</v>
      </c>
      <c r="P83" s="4">
        <v>46001.625</v>
      </c>
      <c r="Q83" s="5">
        <v>84.01</v>
      </c>
      <c r="T83" s="4">
        <f t="shared" si="11"/>
        <v>46045.625</v>
      </c>
      <c r="U83" s="4">
        <f t="shared" si="10"/>
        <v>46045.625</v>
      </c>
    </row>
    <row r="84" spans="1:21" x14ac:dyDescent="0.25">
      <c r="A84" s="50" t="str">
        <f t="shared" ca="1" si="12"/>
        <v/>
      </c>
      <c r="B84" s="51" t="str">
        <f ca="1">IF(COUNTIF($V$2:V1069,A84)=1,VLOOKUP(A84,N:O,2), IF(COUNTIF($V$2:V1069,A84)=0,$B$9,""))</f>
        <v/>
      </c>
      <c r="C84" s="2" t="str">
        <f t="shared" ca="1" si="13"/>
        <v/>
      </c>
      <c r="D84" s="54" t="str">
        <f t="shared" ca="1" si="14"/>
        <v/>
      </c>
      <c r="E84" s="51" t="str">
        <f ca="1">IF(COUNTIF($V$2:V1069,A84)=1,VLOOKUP(A84,P:Q,2), IF(COUNTIF($V$2:V1069,A84)=0,$C$9,""))</f>
        <v/>
      </c>
      <c r="F84" s="2" t="str">
        <f t="shared" ca="1" si="15"/>
        <v/>
      </c>
      <c r="G84" s="54" t="str">
        <f t="shared" ca="1" si="16"/>
        <v/>
      </c>
      <c r="H84" s="51" t="str">
        <f ca="1">IF(COUNTIF($V$2:V1069,A84)=1,VLOOKUP(A84,R:S,2), IF(COUNTIF($V$2:V1069,A84)=0,$D$9,""))</f>
        <v/>
      </c>
      <c r="I84" s="2" t="str">
        <f t="shared" ca="1" si="17"/>
        <v/>
      </c>
      <c r="J84" s="54" t="str">
        <f t="shared" ca="1" si="18"/>
        <v/>
      </c>
      <c r="K84" s="52"/>
      <c r="L84" s="55" t="str">
        <f ca="1">IF(ISERROR(B84-2),"",C84+D84-F84-G84+I84+J84-SUM($K$14:K84))</f>
        <v/>
      </c>
      <c r="N84" s="4">
        <v>46048.625</v>
      </c>
      <c r="O84" s="5">
        <v>48.905999999999999</v>
      </c>
      <c r="P84" s="4">
        <v>46002.625</v>
      </c>
      <c r="Q84" s="5">
        <v>84.01</v>
      </c>
      <c r="T84" s="4">
        <f t="shared" si="11"/>
        <v>46048.625</v>
      </c>
      <c r="U84" s="4">
        <f t="shared" si="10"/>
        <v>46048.625</v>
      </c>
    </row>
    <row r="85" spans="1:21" x14ac:dyDescent="0.25">
      <c r="A85" s="50" t="str">
        <f t="shared" ca="1" si="12"/>
        <v/>
      </c>
      <c r="B85" s="51" t="str">
        <f ca="1">IF(COUNTIF($V$2:V1070,A85)=1,VLOOKUP(A85,N:O,2), IF(COUNTIF($V$2:V1070,A85)=0,$B$9,""))</f>
        <v/>
      </c>
      <c r="C85" s="2" t="str">
        <f t="shared" ca="1" si="13"/>
        <v/>
      </c>
      <c r="D85" s="54" t="str">
        <f t="shared" ca="1" si="14"/>
        <v/>
      </c>
      <c r="E85" s="51" t="str">
        <f ca="1">IF(COUNTIF($V$2:V1070,A85)=1,VLOOKUP(A85,P:Q,2), IF(COUNTIF($V$2:V1070,A85)=0,$C$9,""))</f>
        <v/>
      </c>
      <c r="F85" s="2" t="str">
        <f t="shared" ca="1" si="15"/>
        <v/>
      </c>
      <c r="G85" s="54" t="str">
        <f t="shared" ca="1" si="16"/>
        <v/>
      </c>
      <c r="H85" s="51" t="str">
        <f ca="1">IF(COUNTIF($V$2:V1070,A85)=1,VLOOKUP(A85,R:S,2), IF(COUNTIF($V$2:V1070,A85)=0,$D$9,""))</f>
        <v/>
      </c>
      <c r="I85" s="2" t="str">
        <f t="shared" ca="1" si="17"/>
        <v/>
      </c>
      <c r="J85" s="54" t="str">
        <f t="shared" ca="1" si="18"/>
        <v/>
      </c>
      <c r="K85" s="52"/>
      <c r="L85" s="55" t="str">
        <f ca="1">IF(ISERROR(B85-2),"",C85+D85-F85-G85+I85+J85-SUM($K$14:K85))</f>
        <v/>
      </c>
      <c r="N85" s="4">
        <v>46049.625</v>
      </c>
      <c r="O85" s="5">
        <v>49.045999999999999</v>
      </c>
      <c r="P85" s="4">
        <v>46003.625</v>
      </c>
      <c r="Q85" s="5">
        <v>83.69</v>
      </c>
      <c r="T85" s="4">
        <f t="shared" si="11"/>
        <v>46049.625</v>
      </c>
      <c r="U85" s="4">
        <f t="shared" si="10"/>
        <v>46049.625</v>
      </c>
    </row>
    <row r="86" spans="1:21" x14ac:dyDescent="0.25">
      <c r="A86" s="50" t="str">
        <f t="shared" ca="1" si="12"/>
        <v/>
      </c>
      <c r="B86" s="51" t="str">
        <f ca="1">IF(COUNTIF($V$2:V1071,A86)=1,VLOOKUP(A86,N:O,2), IF(COUNTIF($V$2:V1071,A86)=0,$B$9,""))</f>
        <v/>
      </c>
      <c r="C86" s="2" t="str">
        <f t="shared" ca="1" si="13"/>
        <v/>
      </c>
      <c r="D86" s="54" t="str">
        <f t="shared" ca="1" si="14"/>
        <v/>
      </c>
      <c r="E86" s="51" t="str">
        <f ca="1">IF(COUNTIF($V$2:V1071,A86)=1,VLOOKUP(A86,P:Q,2), IF(COUNTIF($V$2:V1071,A86)=0,$C$9,""))</f>
        <v/>
      </c>
      <c r="F86" s="2" t="str">
        <f t="shared" ca="1" si="15"/>
        <v/>
      </c>
      <c r="G86" s="54" t="str">
        <f t="shared" ca="1" si="16"/>
        <v/>
      </c>
      <c r="H86" s="51" t="str">
        <f ca="1">IF(COUNTIF($V$2:V1071,A86)=1,VLOOKUP(A86,R:S,2), IF(COUNTIF($V$2:V1071,A86)=0,$D$9,""))</f>
        <v/>
      </c>
      <c r="I86" s="2" t="str">
        <f t="shared" ca="1" si="17"/>
        <v/>
      </c>
      <c r="J86" s="54" t="str">
        <f t="shared" ca="1" si="18"/>
        <v/>
      </c>
      <c r="K86" s="52"/>
      <c r="L86" s="55" t="str">
        <f ca="1">IF(ISERROR(B86-2),"",C86+D86-F86-G86+I86+J86-SUM($K$14:K86))</f>
        <v/>
      </c>
      <c r="N86" s="4">
        <v>46050.625</v>
      </c>
      <c r="O86" s="5">
        <v>48.957999999999998</v>
      </c>
      <c r="P86" s="4">
        <v>46006.625</v>
      </c>
      <c r="Q86" s="5">
        <v>83.79</v>
      </c>
      <c r="T86" s="4">
        <f t="shared" si="11"/>
        <v>46050.625</v>
      </c>
      <c r="U86" s="4">
        <f t="shared" si="10"/>
        <v>46050.625</v>
      </c>
    </row>
    <row r="87" spans="1:21" x14ac:dyDescent="0.25">
      <c r="A87" s="50" t="str">
        <f t="shared" ca="1" si="12"/>
        <v/>
      </c>
      <c r="B87" s="51" t="str">
        <f ca="1">IF(COUNTIF($V$2:V1072,A87)=1,VLOOKUP(A87,N:O,2), IF(COUNTIF($V$2:V1072,A87)=0,$B$9,""))</f>
        <v/>
      </c>
      <c r="C87" s="2" t="str">
        <f t="shared" ca="1" si="13"/>
        <v/>
      </c>
      <c r="D87" s="54" t="str">
        <f t="shared" ca="1" si="14"/>
        <v/>
      </c>
      <c r="E87" s="51" t="str">
        <f ca="1">IF(COUNTIF($V$2:V1072,A87)=1,VLOOKUP(A87,P:Q,2), IF(COUNTIF($V$2:V1072,A87)=0,$C$9,""))</f>
        <v/>
      </c>
      <c r="F87" s="2" t="str">
        <f t="shared" ca="1" si="15"/>
        <v/>
      </c>
      <c r="G87" s="54" t="str">
        <f t="shared" ca="1" si="16"/>
        <v/>
      </c>
      <c r="H87" s="51" t="str">
        <f ca="1">IF(COUNTIF($V$2:V1072,A87)=1,VLOOKUP(A87,R:S,2), IF(COUNTIF($V$2:V1072,A87)=0,$D$9,""))</f>
        <v/>
      </c>
      <c r="I87" s="2" t="str">
        <f t="shared" ca="1" si="17"/>
        <v/>
      </c>
      <c r="J87" s="54" t="str">
        <f t="shared" ca="1" si="18"/>
        <v/>
      </c>
      <c r="K87" s="52"/>
      <c r="L87" s="55" t="str">
        <f ca="1">IF(ISERROR(B87-2),"",C87+D87-F87-G87+I87+J87-SUM($K$14:K87))</f>
        <v/>
      </c>
      <c r="N87" s="4">
        <v>46051.625</v>
      </c>
      <c r="O87" s="5">
        <v>49.212000000000003</v>
      </c>
      <c r="P87" s="4">
        <v>46007.625</v>
      </c>
      <c r="Q87" s="5">
        <v>83.91</v>
      </c>
      <c r="T87" s="4">
        <f t="shared" si="11"/>
        <v>46051.625</v>
      </c>
      <c r="U87" s="4">
        <f t="shared" si="10"/>
        <v>46051.625</v>
      </c>
    </row>
    <row r="88" spans="1:21" x14ac:dyDescent="0.25">
      <c r="A88" s="50" t="str">
        <f t="shared" ca="1" si="12"/>
        <v/>
      </c>
      <c r="B88" s="51" t="str">
        <f ca="1">IF(COUNTIF($V$2:V1073,A88)=1,VLOOKUP(A88,N:O,2), IF(COUNTIF($V$2:V1073,A88)=0,$B$9,""))</f>
        <v/>
      </c>
      <c r="C88" s="2" t="str">
        <f t="shared" ca="1" si="13"/>
        <v/>
      </c>
      <c r="D88" s="54" t="str">
        <f t="shared" ca="1" si="14"/>
        <v/>
      </c>
      <c r="E88" s="51" t="str">
        <f ca="1">IF(COUNTIF($V$2:V1073,A88)=1,VLOOKUP(A88,P:Q,2), IF(COUNTIF($V$2:V1073,A88)=0,$C$9,""))</f>
        <v/>
      </c>
      <c r="F88" s="2" t="str">
        <f t="shared" ca="1" si="15"/>
        <v/>
      </c>
      <c r="G88" s="54" t="str">
        <f t="shared" ca="1" si="16"/>
        <v/>
      </c>
      <c r="H88" s="51" t="str">
        <f ca="1">IF(COUNTIF($V$2:V1073,A88)=1,VLOOKUP(A88,R:S,2), IF(COUNTIF($V$2:V1073,A88)=0,$D$9,""))</f>
        <v/>
      </c>
      <c r="I88" s="2" t="str">
        <f t="shared" ca="1" si="17"/>
        <v/>
      </c>
      <c r="J88" s="54" t="str">
        <f t="shared" ca="1" si="18"/>
        <v/>
      </c>
      <c r="K88" s="52"/>
      <c r="L88" s="55" t="str">
        <f ca="1">IF(ISERROR(B88-2),"",C88+D88-F88-G88+I88+J88-SUM($K$14:K88))</f>
        <v/>
      </c>
      <c r="N88" s="4">
        <v>46052.625</v>
      </c>
      <c r="O88" s="5">
        <v>49.435000000000002</v>
      </c>
      <c r="P88" s="4">
        <v>46008.625</v>
      </c>
      <c r="Q88" s="5">
        <v>83.88</v>
      </c>
      <c r="T88" s="4">
        <f t="shared" si="11"/>
        <v>46052.625</v>
      </c>
      <c r="U88" s="4">
        <f t="shared" si="10"/>
        <v>46052.625</v>
      </c>
    </row>
    <row r="89" spans="1:21" x14ac:dyDescent="0.25">
      <c r="A89" s="50" t="str">
        <f t="shared" ca="1" si="12"/>
        <v/>
      </c>
      <c r="B89" s="51" t="str">
        <f ca="1">IF(COUNTIF($V$2:V1074,A89)=1,VLOOKUP(A89,N:O,2), IF(COUNTIF($V$2:V1074,A89)=0,$B$9,""))</f>
        <v/>
      </c>
      <c r="C89" s="2" t="str">
        <f t="shared" ca="1" si="13"/>
        <v/>
      </c>
      <c r="D89" s="54" t="str">
        <f t="shared" ca="1" si="14"/>
        <v/>
      </c>
      <c r="E89" s="51" t="str">
        <f ca="1">IF(COUNTIF($V$2:V1074,A89)=1,VLOOKUP(A89,P:Q,2), IF(COUNTIF($V$2:V1074,A89)=0,$C$9,""))</f>
        <v/>
      </c>
      <c r="F89" s="2" t="str">
        <f t="shared" ca="1" si="15"/>
        <v/>
      </c>
      <c r="G89" s="54" t="str">
        <f t="shared" ca="1" si="16"/>
        <v/>
      </c>
      <c r="H89" s="51" t="str">
        <f ca="1">IF(COUNTIF($V$2:V1074,A89)=1,VLOOKUP(A89,R:S,2), IF(COUNTIF($V$2:V1074,A89)=0,$D$9,""))</f>
        <v/>
      </c>
      <c r="I89" s="2" t="str">
        <f t="shared" ca="1" si="17"/>
        <v/>
      </c>
      <c r="J89" s="54" t="str">
        <f t="shared" ca="1" si="18"/>
        <v/>
      </c>
      <c r="K89" s="52"/>
      <c r="L89" s="55" t="str">
        <f ca="1">IF(ISERROR(B89-2),"",C89+D89-F89-G89+I89+J89-SUM($K$14:K89))</f>
        <v/>
      </c>
      <c r="N89" s="4">
        <v>46055.625</v>
      </c>
      <c r="O89" s="5">
        <v>48.841000000000001</v>
      </c>
      <c r="P89" s="4">
        <v>46009.625</v>
      </c>
      <c r="Q89" s="5">
        <v>83.78</v>
      </c>
      <c r="T89" s="4">
        <f t="shared" si="11"/>
        <v>46055.625</v>
      </c>
      <c r="U89" s="4">
        <f t="shared" si="10"/>
        <v>46055.625</v>
      </c>
    </row>
    <row r="90" spans="1:21" x14ac:dyDescent="0.25">
      <c r="A90" s="50" t="str">
        <f t="shared" ca="1" si="12"/>
        <v/>
      </c>
      <c r="B90" s="51" t="str">
        <f ca="1">IF(COUNTIF($V$2:V1075,A90)=1,VLOOKUP(A90,N:O,2), IF(COUNTIF($V$2:V1075,A90)=0,$B$9,""))</f>
        <v/>
      </c>
      <c r="C90" s="2" t="str">
        <f t="shared" ca="1" si="13"/>
        <v/>
      </c>
      <c r="D90" s="54" t="str">
        <f t="shared" ca="1" si="14"/>
        <v/>
      </c>
      <c r="E90" s="51" t="str">
        <f ca="1">IF(COUNTIF($V$2:V1075,A90)=1,VLOOKUP(A90,P:Q,2), IF(COUNTIF($V$2:V1075,A90)=0,$C$9,""))</f>
        <v/>
      </c>
      <c r="F90" s="2" t="str">
        <f t="shared" ca="1" si="15"/>
        <v/>
      </c>
      <c r="G90" s="54" t="str">
        <f t="shared" ca="1" si="16"/>
        <v/>
      </c>
      <c r="H90" s="51" t="str">
        <f ca="1">IF(COUNTIF($V$2:V1075,A90)=1,VLOOKUP(A90,R:S,2), IF(COUNTIF($V$2:V1075,A90)=0,$D$9,""))</f>
        <v/>
      </c>
      <c r="I90" s="2" t="str">
        <f t="shared" ca="1" si="17"/>
        <v/>
      </c>
      <c r="J90" s="54" t="str">
        <f t="shared" ca="1" si="18"/>
        <v/>
      </c>
      <c r="K90" s="52"/>
      <c r="L90" s="55" t="str">
        <f ca="1">IF(ISERROR(B90-2),"",C90+D90-F90-G90+I90+J90-SUM($K$14:K90))</f>
        <v/>
      </c>
      <c r="N90" s="4">
        <v>46056.625</v>
      </c>
      <c r="O90" s="5">
        <v>49.676000000000002</v>
      </c>
      <c r="P90" s="4">
        <v>46010.625</v>
      </c>
      <c r="Q90" s="5">
        <v>83.64</v>
      </c>
      <c r="T90" s="4">
        <f t="shared" si="11"/>
        <v>46056.625</v>
      </c>
      <c r="U90" s="4">
        <f t="shared" si="10"/>
        <v>46056.625</v>
      </c>
    </row>
    <row r="91" spans="1:21" x14ac:dyDescent="0.25">
      <c r="A91" s="50" t="str">
        <f t="shared" ca="1" si="12"/>
        <v/>
      </c>
      <c r="B91" s="51" t="str">
        <f ca="1">IF(COUNTIF($V$2:V1076,A91)=1,VLOOKUP(A91,N:O,2), IF(COUNTIF($V$2:V1076,A91)=0,$B$9,""))</f>
        <v/>
      </c>
      <c r="C91" s="2" t="str">
        <f t="shared" ca="1" si="13"/>
        <v/>
      </c>
      <c r="D91" s="54" t="str">
        <f t="shared" ca="1" si="14"/>
        <v/>
      </c>
      <c r="E91" s="51" t="str">
        <f ca="1">IF(COUNTIF($V$2:V1076,A91)=1,VLOOKUP(A91,P:Q,2), IF(COUNTIF($V$2:V1076,A91)=0,$C$9,""))</f>
        <v/>
      </c>
      <c r="F91" s="2" t="str">
        <f t="shared" ca="1" si="15"/>
        <v/>
      </c>
      <c r="G91" s="54" t="str">
        <f t="shared" ca="1" si="16"/>
        <v/>
      </c>
      <c r="H91" s="51" t="str">
        <f ca="1">IF(COUNTIF($V$2:V1076,A91)=1,VLOOKUP(A91,R:S,2), IF(COUNTIF($V$2:V1076,A91)=0,$D$9,""))</f>
        <v/>
      </c>
      <c r="I91" s="2" t="str">
        <f t="shared" ca="1" si="17"/>
        <v/>
      </c>
      <c r="J91" s="54" t="str">
        <f t="shared" ca="1" si="18"/>
        <v/>
      </c>
      <c r="K91" s="52"/>
      <c r="L91" s="55" t="str">
        <f ca="1">IF(ISERROR(B91-2),"",C91+D91-F91-G91+I91+J91-SUM($K$14:K91))</f>
        <v/>
      </c>
      <c r="N91" s="4">
        <v>46057.625</v>
      </c>
      <c r="O91" s="5">
        <v>50.027999999999999</v>
      </c>
      <c r="P91" s="4">
        <v>46013.625</v>
      </c>
      <c r="Q91" s="5">
        <v>83.62</v>
      </c>
      <c r="T91" s="4">
        <f t="shared" si="11"/>
        <v>46057.625</v>
      </c>
      <c r="U91" s="4">
        <f t="shared" si="10"/>
        <v>46057.625</v>
      </c>
    </row>
    <row r="92" spans="1:21" x14ac:dyDescent="0.25">
      <c r="A92" s="50" t="str">
        <f t="shared" ca="1" si="12"/>
        <v/>
      </c>
      <c r="B92" s="51" t="str">
        <f ca="1">IF(COUNTIF($V$2:V1077,A92)=1,VLOOKUP(A92,N:O,2), IF(COUNTIF($V$2:V1077,A92)=0,$B$9,""))</f>
        <v/>
      </c>
      <c r="C92" s="2" t="str">
        <f t="shared" ca="1" si="13"/>
        <v/>
      </c>
      <c r="D92" s="54" t="str">
        <f t="shared" ca="1" si="14"/>
        <v/>
      </c>
      <c r="E92" s="51" t="str">
        <f ca="1">IF(COUNTIF($V$2:V1077,A92)=1,VLOOKUP(A92,P:Q,2), IF(COUNTIF($V$2:V1077,A92)=0,$C$9,""))</f>
        <v/>
      </c>
      <c r="F92" s="2" t="str">
        <f t="shared" ca="1" si="15"/>
        <v/>
      </c>
      <c r="G92" s="54" t="str">
        <f t="shared" ca="1" si="16"/>
        <v/>
      </c>
      <c r="H92" s="51" t="str">
        <f ca="1">IF(COUNTIF($V$2:V1077,A92)=1,VLOOKUP(A92,R:S,2), IF(COUNTIF($V$2:V1077,A92)=0,$D$9,""))</f>
        <v/>
      </c>
      <c r="I92" s="2" t="str">
        <f t="shared" ca="1" si="17"/>
        <v/>
      </c>
      <c r="J92" s="54" t="str">
        <f t="shared" ca="1" si="18"/>
        <v/>
      </c>
      <c r="K92" s="52"/>
      <c r="L92" s="55" t="str">
        <f ca="1">IF(ISERROR(B92-2),"",C92+D92-F92-G92+I92+J92-SUM($K$14:K92))</f>
        <v/>
      </c>
      <c r="N92" s="4">
        <v>46058.625</v>
      </c>
      <c r="O92" s="5">
        <v>51.73</v>
      </c>
      <c r="P92" s="4">
        <v>46014.625</v>
      </c>
      <c r="Q92" s="5">
        <v>83.62</v>
      </c>
      <c r="T92" s="4">
        <f t="shared" si="11"/>
        <v>46058.625</v>
      </c>
      <c r="U92" s="4">
        <f t="shared" si="10"/>
        <v>46058.625</v>
      </c>
    </row>
    <row r="93" spans="1:21" x14ac:dyDescent="0.25">
      <c r="A93" s="50" t="str">
        <f t="shared" ca="1" si="12"/>
        <v/>
      </c>
      <c r="B93" s="51" t="str">
        <f ca="1">IF(COUNTIF($V$2:V1078,A93)=1,VLOOKUP(A93,N:O,2), IF(COUNTIF($V$2:V1078,A93)=0,$B$9,""))</f>
        <v/>
      </c>
      <c r="C93" s="2" t="str">
        <f t="shared" ca="1" si="13"/>
        <v/>
      </c>
      <c r="D93" s="54" t="str">
        <f t="shared" ca="1" si="14"/>
        <v/>
      </c>
      <c r="E93" s="51" t="str">
        <f ca="1">IF(COUNTIF($V$2:V1078,A93)=1,VLOOKUP(A93,P:Q,2), IF(COUNTIF($V$2:V1078,A93)=0,$C$9,""))</f>
        <v/>
      </c>
      <c r="F93" s="2" t="str">
        <f t="shared" ca="1" si="15"/>
        <v/>
      </c>
      <c r="G93" s="54" t="str">
        <f t="shared" ca="1" si="16"/>
        <v/>
      </c>
      <c r="H93" s="51" t="str">
        <f ca="1">IF(COUNTIF($V$2:V1078,A93)=1,VLOOKUP(A93,R:S,2), IF(COUNTIF($V$2:V1078,A93)=0,$D$9,""))</f>
        <v/>
      </c>
      <c r="I93" s="2" t="str">
        <f t="shared" ca="1" si="17"/>
        <v/>
      </c>
      <c r="J93" s="54" t="str">
        <f t="shared" ca="1" si="18"/>
        <v/>
      </c>
      <c r="K93" s="52"/>
      <c r="L93" s="55" t="str">
        <f ca="1">IF(ISERROR(B93-2),"",C93+D93-F93-G93+I93+J93-SUM($K$14:K93))</f>
        <v/>
      </c>
      <c r="N93" s="4">
        <v>46059.625</v>
      </c>
      <c r="O93" s="5">
        <v>50.292999999999999</v>
      </c>
      <c r="P93" s="4">
        <v>46017.625</v>
      </c>
      <c r="Q93" s="5">
        <v>83.97</v>
      </c>
      <c r="T93" s="4">
        <f t="shared" si="11"/>
        <v>46059.625</v>
      </c>
      <c r="U93" s="4">
        <f t="shared" si="10"/>
        <v>46059.625</v>
      </c>
    </row>
    <row r="94" spans="1:21" x14ac:dyDescent="0.25">
      <c r="A94" s="50" t="str">
        <f t="shared" ca="1" si="12"/>
        <v/>
      </c>
      <c r="B94" s="51" t="str">
        <f ca="1">IF(COUNTIF($V$2:V1079,A94)=1,VLOOKUP(A94,N:O,2), IF(COUNTIF($V$2:V1079,A94)=0,$B$9,""))</f>
        <v/>
      </c>
      <c r="C94" s="2" t="str">
        <f t="shared" ca="1" si="13"/>
        <v/>
      </c>
      <c r="D94" s="54" t="str">
        <f t="shared" ca="1" si="14"/>
        <v/>
      </c>
      <c r="E94" s="51" t="str">
        <f ca="1">IF(COUNTIF($V$2:V1079,A94)=1,VLOOKUP(A94,P:Q,2), IF(COUNTIF($V$2:V1079,A94)=0,$C$9,""))</f>
        <v/>
      </c>
      <c r="F94" s="2" t="str">
        <f t="shared" ca="1" si="15"/>
        <v/>
      </c>
      <c r="G94" s="54" t="str">
        <f t="shared" ca="1" si="16"/>
        <v/>
      </c>
      <c r="H94" s="51" t="str">
        <f ca="1">IF(COUNTIF($V$2:V1079,A94)=1,VLOOKUP(A94,R:S,2), IF(COUNTIF($V$2:V1079,A94)=0,$D$9,""))</f>
        <v/>
      </c>
      <c r="I94" s="2" t="str">
        <f t="shared" ca="1" si="17"/>
        <v/>
      </c>
      <c r="J94" s="54" t="str">
        <f t="shared" ca="1" si="18"/>
        <v/>
      </c>
      <c r="K94" s="52"/>
      <c r="L94" s="55" t="str">
        <f ca="1">IF(ISERROR(B94-2),"",C94+D94-F94-G94+I94+J94-SUM($K$14:K94))</f>
        <v/>
      </c>
      <c r="N94" s="4">
        <v>46062.625</v>
      </c>
      <c r="O94" s="5">
        <v>49.923999999999999</v>
      </c>
      <c r="P94" s="4">
        <v>46020.625</v>
      </c>
      <c r="Q94" s="5">
        <v>84.06</v>
      </c>
      <c r="T94" s="4">
        <f t="shared" si="11"/>
        <v>46062.625</v>
      </c>
      <c r="U94" s="4">
        <f t="shared" si="10"/>
        <v>46062.625</v>
      </c>
    </row>
    <row r="95" spans="1:21" x14ac:dyDescent="0.25">
      <c r="A95" s="50" t="str">
        <f t="shared" ca="1" si="12"/>
        <v/>
      </c>
      <c r="B95" s="51" t="str">
        <f ca="1">IF(COUNTIF($V$2:V1080,A95)=1,VLOOKUP(A95,N:O,2), IF(COUNTIF($V$2:V1080,A95)=0,$B$9,""))</f>
        <v/>
      </c>
      <c r="C95" s="2" t="str">
        <f t="shared" ca="1" si="13"/>
        <v/>
      </c>
      <c r="D95" s="54" t="str">
        <f t="shared" ca="1" si="14"/>
        <v/>
      </c>
      <c r="E95" s="51" t="str">
        <f ca="1">IF(COUNTIF($V$2:V1080,A95)=1,VLOOKUP(A95,P:Q,2), IF(COUNTIF($V$2:V1080,A95)=0,$C$9,""))</f>
        <v/>
      </c>
      <c r="F95" s="2" t="str">
        <f t="shared" ca="1" si="15"/>
        <v/>
      </c>
      <c r="G95" s="54" t="str">
        <f t="shared" ca="1" si="16"/>
        <v/>
      </c>
      <c r="H95" s="51" t="str">
        <f ca="1">IF(COUNTIF($V$2:V1080,A95)=1,VLOOKUP(A95,R:S,2), IF(COUNTIF($V$2:V1080,A95)=0,$D$9,""))</f>
        <v/>
      </c>
      <c r="I95" s="2" t="str">
        <f t="shared" ca="1" si="17"/>
        <v/>
      </c>
      <c r="J95" s="54" t="str">
        <f t="shared" ca="1" si="18"/>
        <v/>
      </c>
      <c r="K95" s="52"/>
      <c r="L95" s="55" t="str">
        <f ca="1">IF(ISERROR(B95-2),"",C95+D95-F95-G95+I95+J95-SUM($K$14:K95))</f>
        <v/>
      </c>
      <c r="N95" s="4">
        <v>46063.625</v>
      </c>
      <c r="O95" s="5">
        <v>50.57</v>
      </c>
      <c r="P95" s="4">
        <v>46021.625</v>
      </c>
      <c r="Q95" s="5">
        <v>83.99</v>
      </c>
      <c r="T95" s="4">
        <f t="shared" si="11"/>
        <v>46063.625</v>
      </c>
      <c r="U95" s="4">
        <f t="shared" si="10"/>
        <v>46063.625</v>
      </c>
    </row>
    <row r="96" spans="1:21" x14ac:dyDescent="0.25">
      <c r="A96" s="50" t="str">
        <f t="shared" ca="1" si="12"/>
        <v/>
      </c>
      <c r="B96" s="51" t="str">
        <f ca="1">IF(COUNTIF($V$2:V1081,A96)=1,VLOOKUP(A96,N:O,2), IF(COUNTIF($V$2:V1081,A96)=0,$B$9,""))</f>
        <v/>
      </c>
      <c r="C96" s="2" t="str">
        <f t="shared" ca="1" si="13"/>
        <v/>
      </c>
      <c r="D96" s="54" t="str">
        <f t="shared" ca="1" si="14"/>
        <v/>
      </c>
      <c r="E96" s="51" t="str">
        <f ca="1">IF(COUNTIF($V$2:V1081,A96)=1,VLOOKUP(A96,P:Q,2), IF(COUNTIF($V$2:V1081,A96)=0,$C$9,""))</f>
        <v/>
      </c>
      <c r="F96" s="2" t="str">
        <f t="shared" ca="1" si="15"/>
        <v/>
      </c>
      <c r="G96" s="54" t="str">
        <f t="shared" ca="1" si="16"/>
        <v/>
      </c>
      <c r="H96" s="51" t="str">
        <f ca="1">IF(COUNTIF($V$2:V1081,A96)=1,VLOOKUP(A96,R:S,2), IF(COUNTIF($V$2:V1081,A96)=0,$D$9,""))</f>
        <v/>
      </c>
      <c r="I96" s="2" t="str">
        <f t="shared" ca="1" si="17"/>
        <v/>
      </c>
      <c r="J96" s="54" t="str">
        <f t="shared" ca="1" si="18"/>
        <v/>
      </c>
      <c r="K96" s="52"/>
      <c r="L96" s="55" t="str">
        <f ca="1">IF(ISERROR(B96-2),"",C96+D96-F96-G96+I96+J96-SUM($K$14:K96))</f>
        <v/>
      </c>
      <c r="N96" s="4">
        <v>46064.625</v>
      </c>
      <c r="O96" s="5">
        <v>50.381999999999998</v>
      </c>
      <c r="P96" s="4">
        <v>46022.625</v>
      </c>
      <c r="Q96" s="5">
        <v>83.75</v>
      </c>
      <c r="T96" s="4">
        <f t="shared" si="11"/>
        <v>46064.625</v>
      </c>
      <c r="U96" s="4">
        <f t="shared" si="10"/>
        <v>46064.625</v>
      </c>
    </row>
    <row r="97" spans="1:21" x14ac:dyDescent="0.25">
      <c r="A97" s="50" t="str">
        <f t="shared" ca="1" si="12"/>
        <v/>
      </c>
      <c r="B97" s="51" t="str">
        <f ca="1">IF(COUNTIF($V$2:V1082,A97)=1,VLOOKUP(A97,N:O,2), IF(COUNTIF($V$2:V1082,A97)=0,$B$9,""))</f>
        <v/>
      </c>
      <c r="C97" s="2" t="str">
        <f t="shared" ca="1" si="13"/>
        <v/>
      </c>
      <c r="D97" s="54" t="str">
        <f t="shared" ca="1" si="14"/>
        <v/>
      </c>
      <c r="E97" s="51" t="str">
        <f ca="1">IF(COUNTIF($V$2:V1082,A97)=1,VLOOKUP(A97,P:Q,2), IF(COUNTIF($V$2:V1082,A97)=0,$C$9,""))</f>
        <v/>
      </c>
      <c r="F97" s="2" t="str">
        <f t="shared" ca="1" si="15"/>
        <v/>
      </c>
      <c r="G97" s="54" t="str">
        <f t="shared" ca="1" si="16"/>
        <v/>
      </c>
      <c r="H97" s="51" t="str">
        <f ca="1">IF(COUNTIF($V$2:V1082,A97)=1,VLOOKUP(A97,R:S,2), IF(COUNTIF($V$2:V1082,A97)=0,$D$9,""))</f>
        <v/>
      </c>
      <c r="I97" s="2" t="str">
        <f t="shared" ca="1" si="17"/>
        <v/>
      </c>
      <c r="J97" s="54" t="str">
        <f t="shared" ca="1" si="18"/>
        <v/>
      </c>
      <c r="K97" s="52"/>
      <c r="L97" s="55" t="str">
        <f ca="1">IF(ISERROR(B97-2),"",C97+D97-F97-G97+I97+J97-SUM($K$14:K97))</f>
        <v/>
      </c>
      <c r="N97" s="4">
        <v>46065.625</v>
      </c>
      <c r="O97" s="5">
        <v>51.848999999999997</v>
      </c>
      <c r="P97" s="4">
        <v>46024.625</v>
      </c>
      <c r="Q97" s="5">
        <v>83.74</v>
      </c>
      <c r="T97" s="4">
        <f t="shared" si="11"/>
        <v>46065.625</v>
      </c>
      <c r="U97" s="4">
        <f t="shared" si="10"/>
        <v>46065.625</v>
      </c>
    </row>
    <row r="98" spans="1:21" x14ac:dyDescent="0.25">
      <c r="A98" s="50" t="str">
        <f t="shared" ca="1" si="12"/>
        <v/>
      </c>
      <c r="B98" s="51" t="str">
        <f ca="1">IF(COUNTIF($V$2:V1083,A98)=1,VLOOKUP(A98,N:O,2), IF(COUNTIF($V$2:V1083,A98)=0,$B$9,""))</f>
        <v/>
      </c>
      <c r="C98" s="2" t="str">
        <f t="shared" ca="1" si="13"/>
        <v/>
      </c>
      <c r="D98" s="54" t="str">
        <f t="shared" ca="1" si="14"/>
        <v/>
      </c>
      <c r="E98" s="51" t="str">
        <f ca="1">IF(COUNTIF($V$2:V1083,A98)=1,VLOOKUP(A98,P:Q,2), IF(COUNTIF($V$2:V1083,A98)=0,$C$9,""))</f>
        <v/>
      </c>
      <c r="F98" s="2" t="str">
        <f t="shared" ca="1" si="15"/>
        <v/>
      </c>
      <c r="G98" s="54" t="str">
        <f t="shared" ca="1" si="16"/>
        <v/>
      </c>
      <c r="H98" s="51" t="str">
        <f ca="1">IF(COUNTIF($V$2:V1083,A98)=1,VLOOKUP(A98,R:S,2), IF(COUNTIF($V$2:V1083,A98)=0,$D$9,""))</f>
        <v/>
      </c>
      <c r="I98" s="2" t="str">
        <f t="shared" ca="1" si="17"/>
        <v/>
      </c>
      <c r="J98" s="54" t="str">
        <f t="shared" ca="1" si="18"/>
        <v/>
      </c>
      <c r="K98" s="52"/>
      <c r="L98" s="55" t="str">
        <f ca="1">IF(ISERROR(B98-2),"",C98+D98-F98-G98+I98+J98-SUM($K$14:K98))</f>
        <v/>
      </c>
      <c r="N98" s="4">
        <v>46066.625</v>
      </c>
      <c r="O98" s="5">
        <v>52.088000000000001</v>
      </c>
      <c r="P98" s="4">
        <v>46027.625</v>
      </c>
      <c r="Q98" s="5">
        <v>83.92</v>
      </c>
      <c r="T98" s="4">
        <f t="shared" si="11"/>
        <v>46066.625</v>
      </c>
      <c r="U98" s="4">
        <f t="shared" si="10"/>
        <v>46066.625</v>
      </c>
    </row>
    <row r="99" spans="1:21" x14ac:dyDescent="0.25">
      <c r="A99" s="50" t="str">
        <f t="shared" ca="1" si="12"/>
        <v/>
      </c>
      <c r="B99" s="51" t="str">
        <f ca="1">IF(COUNTIF($V$2:V1084,A99)=1,VLOOKUP(A99,N:O,2), IF(COUNTIF($V$2:V1084,A99)=0,$B$9,""))</f>
        <v/>
      </c>
      <c r="C99" s="2" t="str">
        <f t="shared" ca="1" si="13"/>
        <v/>
      </c>
      <c r="D99" s="54" t="str">
        <f t="shared" ca="1" si="14"/>
        <v/>
      </c>
      <c r="E99" s="51" t="str">
        <f ca="1">IF(COUNTIF($V$2:V1084,A99)=1,VLOOKUP(A99,P:Q,2), IF(COUNTIF($V$2:V1084,A99)=0,$C$9,""))</f>
        <v/>
      </c>
      <c r="F99" s="2" t="str">
        <f t="shared" ca="1" si="15"/>
        <v/>
      </c>
      <c r="G99" s="54" t="str">
        <f t="shared" ca="1" si="16"/>
        <v/>
      </c>
      <c r="H99" s="51" t="str">
        <f ca="1">IF(COUNTIF($V$2:V1084,A99)=1,VLOOKUP(A99,R:S,2), IF(COUNTIF($V$2:V1084,A99)=0,$D$9,""))</f>
        <v/>
      </c>
      <c r="I99" s="2" t="str">
        <f t="shared" ca="1" si="17"/>
        <v/>
      </c>
      <c r="J99" s="54" t="str">
        <f t="shared" ca="1" si="18"/>
        <v/>
      </c>
      <c r="K99" s="52"/>
      <c r="L99" s="55" t="str">
        <f ca="1">IF(ISERROR(B99-2),"",C99+D99-F99-G99+I99+J99-SUM($K$14:K99))</f>
        <v/>
      </c>
      <c r="N99" s="4">
        <v>46070.625</v>
      </c>
      <c r="O99" s="5">
        <v>52.552999999999997</v>
      </c>
      <c r="P99" s="4">
        <v>46028.625</v>
      </c>
      <c r="Q99" s="5">
        <v>83.94</v>
      </c>
      <c r="T99" s="4">
        <f t="shared" si="11"/>
        <v>46070.625</v>
      </c>
      <c r="U99" s="4">
        <f t="shared" si="10"/>
        <v>46070.625</v>
      </c>
    </row>
    <row r="100" spans="1:21" x14ac:dyDescent="0.25">
      <c r="A100" s="50" t="str">
        <f t="shared" ca="1" si="12"/>
        <v/>
      </c>
      <c r="B100" s="51" t="str">
        <f ca="1">IF(COUNTIF($V$2:V1085,A100)=1,VLOOKUP(A100,N:O,2), IF(COUNTIF($V$2:V1085,A100)=0,$B$9,""))</f>
        <v/>
      </c>
      <c r="C100" s="2" t="str">
        <f t="shared" ca="1" si="13"/>
        <v/>
      </c>
      <c r="D100" s="54" t="str">
        <f t="shared" ca="1" si="14"/>
        <v/>
      </c>
      <c r="E100" s="51" t="str">
        <f ca="1">IF(COUNTIF($V$2:V1085,A100)=1,VLOOKUP(A100,P:Q,2), IF(COUNTIF($V$2:V1085,A100)=0,$C$9,""))</f>
        <v/>
      </c>
      <c r="F100" s="2" t="str">
        <f t="shared" ca="1" si="15"/>
        <v/>
      </c>
      <c r="G100" s="54" t="str">
        <f t="shared" ca="1" si="16"/>
        <v/>
      </c>
      <c r="H100" s="51" t="str">
        <f ca="1">IF(COUNTIF($V$2:V1085,A100)=1,VLOOKUP(A100,R:S,2), IF(COUNTIF($V$2:V1085,A100)=0,$D$9,""))</f>
        <v/>
      </c>
      <c r="I100" s="2" t="str">
        <f t="shared" ca="1" si="17"/>
        <v/>
      </c>
      <c r="J100" s="54" t="str">
        <f t="shared" ca="1" si="18"/>
        <v/>
      </c>
      <c r="K100" s="52"/>
      <c r="L100" s="55" t="str">
        <f ca="1">IF(ISERROR(B100-2),"",C100+D100-F100-G100+I100+J100-SUM($K$14:K100))</f>
        <v/>
      </c>
      <c r="N100" s="4">
        <v>46071.625</v>
      </c>
      <c r="O100" s="5">
        <v>51.68</v>
      </c>
      <c r="P100" s="4">
        <v>46029.625</v>
      </c>
      <c r="Q100" s="5">
        <v>83.95</v>
      </c>
      <c r="T100" s="4">
        <f t="shared" si="11"/>
        <v>46071.625</v>
      </c>
      <c r="U100" s="4">
        <f t="shared" si="10"/>
        <v>46071.625</v>
      </c>
    </row>
    <row r="101" spans="1:21" x14ac:dyDescent="0.25">
      <c r="A101" s="50" t="str">
        <f t="shared" ca="1" si="12"/>
        <v/>
      </c>
      <c r="B101" s="51" t="str">
        <f ca="1">IF(COUNTIF($V$2:V1086,A101)=1,VLOOKUP(A101,N:O,2), IF(COUNTIF($V$2:V1086,A101)=0,$B$9,""))</f>
        <v/>
      </c>
      <c r="C101" s="2" t="str">
        <f t="shared" ca="1" si="13"/>
        <v/>
      </c>
      <c r="D101" s="54" t="str">
        <f t="shared" ca="1" si="14"/>
        <v/>
      </c>
      <c r="E101" s="51" t="str">
        <f ca="1">IF(COUNTIF($V$2:V1086,A101)=1,VLOOKUP(A101,P:Q,2), IF(COUNTIF($V$2:V1086,A101)=0,$C$9,""))</f>
        <v/>
      </c>
      <c r="F101" s="2" t="str">
        <f t="shared" ca="1" si="15"/>
        <v/>
      </c>
      <c r="G101" s="54" t="str">
        <f t="shared" ca="1" si="16"/>
        <v/>
      </c>
      <c r="H101" s="51" t="str">
        <f ca="1">IF(COUNTIF($V$2:V1086,A101)=1,VLOOKUP(A101,R:S,2), IF(COUNTIF($V$2:V1086,A101)=0,$D$9,""))</f>
        <v/>
      </c>
      <c r="I101" s="2" t="str">
        <f t="shared" ca="1" si="17"/>
        <v/>
      </c>
      <c r="J101" s="54" t="str">
        <f t="shared" ca="1" si="18"/>
        <v/>
      </c>
      <c r="K101" s="52"/>
      <c r="L101" s="55" t="str">
        <f ca="1">IF(ISERROR(B101-2),"",C101+D101-F101-G101+I101+J101-SUM($K$14:K101))</f>
        <v/>
      </c>
      <c r="N101" s="4">
        <v>46072.625</v>
      </c>
      <c r="O101" s="5">
        <v>51.887999999999998</v>
      </c>
      <c r="P101" s="4">
        <v>46030.625</v>
      </c>
      <c r="Q101" s="5">
        <v>83.78</v>
      </c>
      <c r="T101" s="4">
        <f t="shared" si="11"/>
        <v>46072.625</v>
      </c>
      <c r="U101" s="4">
        <f t="shared" si="10"/>
        <v>46072.625</v>
      </c>
    </row>
    <row r="102" spans="1:21" x14ac:dyDescent="0.25">
      <c r="A102" s="50" t="str">
        <f t="shared" ca="1" si="12"/>
        <v/>
      </c>
      <c r="B102" s="51" t="str">
        <f ca="1">IF(COUNTIF($V$2:V1087,A102)=1,VLOOKUP(A102,N:O,2), IF(COUNTIF($V$2:V1087,A102)=0,$B$9,""))</f>
        <v/>
      </c>
      <c r="C102" s="2" t="str">
        <f t="shared" ca="1" si="13"/>
        <v/>
      </c>
      <c r="D102" s="54" t="str">
        <f t="shared" ca="1" si="14"/>
        <v/>
      </c>
      <c r="E102" s="51" t="str">
        <f ca="1">IF(COUNTIF($V$2:V1087,A102)=1,VLOOKUP(A102,P:Q,2), IF(COUNTIF($V$2:V1087,A102)=0,$C$9,""))</f>
        <v/>
      </c>
      <c r="F102" s="2" t="str">
        <f t="shared" ca="1" si="15"/>
        <v/>
      </c>
      <c r="G102" s="54" t="str">
        <f t="shared" ca="1" si="16"/>
        <v/>
      </c>
      <c r="H102" s="51" t="str">
        <f ca="1">IF(COUNTIF($V$2:V1087,A102)=1,VLOOKUP(A102,R:S,2), IF(COUNTIF($V$2:V1087,A102)=0,$D$9,""))</f>
        <v/>
      </c>
      <c r="I102" s="2" t="str">
        <f t="shared" ca="1" si="17"/>
        <v/>
      </c>
      <c r="J102" s="54" t="str">
        <f t="shared" ca="1" si="18"/>
        <v/>
      </c>
      <c r="K102" s="52"/>
      <c r="L102" s="55" t="str">
        <f ca="1">IF(ISERROR(B102-2),"",C102+D102-F102-G102+I102+J102-SUM($K$14:K102))</f>
        <v/>
      </c>
      <c r="N102" s="4">
        <v>46073.625</v>
      </c>
      <c r="O102" s="5">
        <v>51.508000000000003</v>
      </c>
      <c r="P102" s="4">
        <v>46031.625</v>
      </c>
      <c r="Q102" s="5">
        <v>83.91</v>
      </c>
      <c r="T102" s="4">
        <f t="shared" si="11"/>
        <v>46073.625</v>
      </c>
      <c r="U102" s="4">
        <f t="shared" si="10"/>
        <v>46073.625</v>
      </c>
    </row>
    <row r="103" spans="1:21" x14ac:dyDescent="0.25">
      <c r="A103" s="50" t="str">
        <f t="shared" ca="1" si="12"/>
        <v/>
      </c>
      <c r="B103" s="51" t="str">
        <f ca="1">IF(COUNTIF($V$2:V1088,A103)=1,VLOOKUP(A103,N:O,2), IF(COUNTIF($V$2:V1088,A103)=0,$B$9,""))</f>
        <v/>
      </c>
      <c r="C103" s="2" t="str">
        <f t="shared" ca="1" si="13"/>
        <v/>
      </c>
      <c r="D103" s="54" t="str">
        <f t="shared" ca="1" si="14"/>
        <v/>
      </c>
      <c r="E103" s="51" t="str">
        <f ca="1">IF(COUNTIF($V$2:V1088,A103)=1,VLOOKUP(A103,P:Q,2), IF(COUNTIF($V$2:V1088,A103)=0,$C$9,""))</f>
        <v/>
      </c>
      <c r="F103" s="2" t="str">
        <f t="shared" ca="1" si="15"/>
        <v/>
      </c>
      <c r="G103" s="54" t="str">
        <f t="shared" ca="1" si="16"/>
        <v/>
      </c>
      <c r="H103" s="51" t="str">
        <f ca="1">IF(COUNTIF($V$2:V1088,A103)=1,VLOOKUP(A103,R:S,2), IF(COUNTIF($V$2:V1088,A103)=0,$D$9,""))</f>
        <v/>
      </c>
      <c r="I103" s="2" t="str">
        <f t="shared" ca="1" si="17"/>
        <v/>
      </c>
      <c r="J103" s="54" t="str">
        <f t="shared" ca="1" si="18"/>
        <v/>
      </c>
      <c r="K103" s="52"/>
      <c r="L103" s="55" t="str">
        <f ca="1">IF(ISERROR(B103-2),"",C103+D103-F103-G103+I103+J103-SUM($K$14:K103))</f>
        <v/>
      </c>
      <c r="N103" s="4">
        <v>46076.625</v>
      </c>
      <c r="O103" s="5">
        <v>52.526000000000003</v>
      </c>
      <c r="P103" s="4">
        <v>46034.625</v>
      </c>
      <c r="Q103" s="5">
        <v>83.83</v>
      </c>
      <c r="T103" s="4">
        <f t="shared" si="11"/>
        <v>46076.625</v>
      </c>
      <c r="U103" s="4">
        <f t="shared" si="10"/>
        <v>46076.625</v>
      </c>
    </row>
    <row r="104" spans="1:21" x14ac:dyDescent="0.25">
      <c r="A104" s="50" t="str">
        <f t="shared" ca="1" si="12"/>
        <v/>
      </c>
      <c r="B104" s="51" t="str">
        <f ca="1">IF(COUNTIF($V$2:V1089,A104)=1,VLOOKUP(A104,N:O,2), IF(COUNTIF($V$2:V1089,A104)=0,$B$9,""))</f>
        <v/>
      </c>
      <c r="C104" s="2" t="str">
        <f t="shared" ca="1" si="13"/>
        <v/>
      </c>
      <c r="D104" s="54" t="str">
        <f t="shared" ca="1" si="14"/>
        <v/>
      </c>
      <c r="E104" s="51" t="str">
        <f ca="1">IF(COUNTIF($V$2:V1089,A104)=1,VLOOKUP(A104,P:Q,2), IF(COUNTIF($V$2:V1089,A104)=0,$C$9,""))</f>
        <v/>
      </c>
      <c r="F104" s="2" t="str">
        <f t="shared" ca="1" si="15"/>
        <v/>
      </c>
      <c r="G104" s="54" t="str">
        <f t="shared" ca="1" si="16"/>
        <v/>
      </c>
      <c r="H104" s="51" t="str">
        <f ca="1">IF(COUNTIF($V$2:V1089,A104)=1,VLOOKUP(A104,R:S,2), IF(COUNTIF($V$2:V1089,A104)=0,$D$9,""))</f>
        <v/>
      </c>
      <c r="I104" s="2" t="str">
        <f t="shared" ca="1" si="17"/>
        <v/>
      </c>
      <c r="J104" s="54" t="str">
        <f t="shared" ca="1" si="18"/>
        <v/>
      </c>
      <c r="K104" s="52"/>
      <c r="L104" s="55" t="str">
        <f ca="1">IF(ISERROR(B104-2),"",C104+D104-F104-G104+I104+J104-SUM($K$14:K104))</f>
        <v/>
      </c>
      <c r="N104" s="4">
        <v>46077.625</v>
      </c>
      <c r="O104" s="5">
        <v>52.838000000000001</v>
      </c>
      <c r="P104" s="4">
        <v>46035.625</v>
      </c>
      <c r="Q104" s="5">
        <v>84</v>
      </c>
      <c r="T104" s="4">
        <f t="shared" si="11"/>
        <v>46077.625</v>
      </c>
      <c r="U104" s="4">
        <f t="shared" si="10"/>
        <v>46077.625</v>
      </c>
    </row>
    <row r="105" spans="1:21" x14ac:dyDescent="0.25">
      <c r="A105" s="50" t="str">
        <f t="shared" ca="1" si="12"/>
        <v/>
      </c>
      <c r="B105" s="51" t="str">
        <f ca="1">IF(COUNTIF($V$2:V1090,A105)=1,VLOOKUP(A105,N:O,2), IF(COUNTIF($V$2:V1090,A105)=0,$B$9,""))</f>
        <v/>
      </c>
      <c r="C105" s="2" t="str">
        <f t="shared" ca="1" si="13"/>
        <v/>
      </c>
      <c r="D105" s="54" t="str">
        <f t="shared" ca="1" si="14"/>
        <v/>
      </c>
      <c r="E105" s="51" t="str">
        <f ca="1">IF(COUNTIF($V$2:V1090,A105)=1,VLOOKUP(A105,P:Q,2), IF(COUNTIF($V$2:V1090,A105)=0,$C$9,""))</f>
        <v/>
      </c>
      <c r="F105" s="2" t="str">
        <f t="shared" ca="1" si="15"/>
        <v/>
      </c>
      <c r="G105" s="54" t="str">
        <f t="shared" ca="1" si="16"/>
        <v/>
      </c>
      <c r="H105" s="51" t="str">
        <f ca="1">IF(COUNTIF($V$2:V1090,A105)=1,VLOOKUP(A105,R:S,2), IF(COUNTIF($V$2:V1090,A105)=0,$D$9,""))</f>
        <v/>
      </c>
      <c r="I105" s="2" t="str">
        <f t="shared" ca="1" si="17"/>
        <v/>
      </c>
      <c r="J105" s="54" t="str">
        <f t="shared" ca="1" si="18"/>
        <v/>
      </c>
      <c r="K105" s="52"/>
      <c r="L105" s="55" t="str">
        <f ca="1">IF(ISERROR(B105-2),"",C105+D105-F105-G105+I105+J105-SUM($K$14:K105))</f>
        <v/>
      </c>
      <c r="N105" s="4">
        <v>46078.625</v>
      </c>
      <c r="O105" s="5">
        <v>52.494</v>
      </c>
      <c r="P105" s="4">
        <v>46036.625</v>
      </c>
      <c r="Q105" s="5">
        <v>84.1</v>
      </c>
      <c r="T105" s="4">
        <f t="shared" si="11"/>
        <v>46078.625</v>
      </c>
      <c r="U105" s="4">
        <f t="shared" si="10"/>
        <v>46078.625</v>
      </c>
    </row>
    <row r="106" spans="1:21" x14ac:dyDescent="0.25">
      <c r="A106" s="50" t="str">
        <f t="shared" ca="1" si="12"/>
        <v/>
      </c>
      <c r="B106" s="51" t="str">
        <f ca="1">IF(COUNTIF($V$2:V1091,A106)=1,VLOOKUP(A106,N:O,2), IF(COUNTIF($V$2:V1091,A106)=0,$B$9,""))</f>
        <v/>
      </c>
      <c r="C106" s="2" t="str">
        <f t="shared" ca="1" si="13"/>
        <v/>
      </c>
      <c r="D106" s="54" t="str">
        <f t="shared" ca="1" si="14"/>
        <v/>
      </c>
      <c r="E106" s="51" t="str">
        <f ca="1">IF(COUNTIF($V$2:V1091,A106)=1,VLOOKUP(A106,P:Q,2), IF(COUNTIF($V$2:V1091,A106)=0,$C$9,""))</f>
        <v/>
      </c>
      <c r="F106" s="2" t="str">
        <f t="shared" ca="1" si="15"/>
        <v/>
      </c>
      <c r="G106" s="54" t="str">
        <f t="shared" ca="1" si="16"/>
        <v/>
      </c>
      <c r="H106" s="51" t="str">
        <f ca="1">IF(COUNTIF($V$2:V1091,A106)=1,VLOOKUP(A106,R:S,2), IF(COUNTIF($V$2:V1091,A106)=0,$D$9,""))</f>
        <v/>
      </c>
      <c r="I106" s="2" t="str">
        <f t="shared" ca="1" si="17"/>
        <v/>
      </c>
      <c r="J106" s="54" t="str">
        <f t="shared" ca="1" si="18"/>
        <v/>
      </c>
      <c r="K106" s="52"/>
      <c r="L106" s="55" t="str">
        <f ca="1">IF(ISERROR(B106-2),"",C106+D106-F106-G106+I106+J106-SUM($K$14:K106))</f>
        <v/>
      </c>
      <c r="N106" s="4">
        <v>46079.625</v>
      </c>
      <c r="O106" s="5">
        <v>53.575000000000003</v>
      </c>
      <c r="P106" s="4">
        <v>46037.625</v>
      </c>
      <c r="Q106" s="5">
        <v>83.97</v>
      </c>
      <c r="T106" s="4">
        <f t="shared" si="11"/>
        <v>46079.625</v>
      </c>
      <c r="U106" s="4">
        <f t="shared" si="10"/>
        <v>46079.625</v>
      </c>
    </row>
    <row r="107" spans="1:21" x14ac:dyDescent="0.25">
      <c r="A107" s="50" t="str">
        <f t="shared" ca="1" si="12"/>
        <v/>
      </c>
      <c r="B107" s="51" t="str">
        <f ca="1">IF(COUNTIF($V$2:V1092,A107)=1,VLOOKUP(A107,N:O,2), IF(COUNTIF($V$2:V1092,A107)=0,$B$9,""))</f>
        <v/>
      </c>
      <c r="C107" s="2" t="str">
        <f t="shared" ca="1" si="13"/>
        <v/>
      </c>
      <c r="D107" s="54" t="str">
        <f t="shared" ca="1" si="14"/>
        <v/>
      </c>
      <c r="E107" s="51" t="str">
        <f ca="1">IF(COUNTIF($V$2:V1092,A107)=1,VLOOKUP(A107,P:Q,2), IF(COUNTIF($V$2:V1092,A107)=0,$C$9,""))</f>
        <v/>
      </c>
      <c r="F107" s="2" t="str">
        <f t="shared" ca="1" si="15"/>
        <v/>
      </c>
      <c r="G107" s="54" t="str">
        <f t="shared" ca="1" si="16"/>
        <v/>
      </c>
      <c r="H107" s="51" t="str">
        <f ca="1">IF(COUNTIF($V$2:V1092,A107)=1,VLOOKUP(A107,R:S,2), IF(COUNTIF($V$2:V1092,A107)=0,$D$9,""))</f>
        <v/>
      </c>
      <c r="I107" s="2" t="str">
        <f t="shared" ca="1" si="17"/>
        <v/>
      </c>
      <c r="J107" s="54" t="str">
        <f t="shared" ca="1" si="18"/>
        <v/>
      </c>
      <c r="K107" s="52"/>
      <c r="L107" s="55" t="str">
        <f ca="1">IF(ISERROR(B107-2),"",C107+D107-F107-G107+I107+J107-SUM($K$14:K107))</f>
        <v/>
      </c>
      <c r="N107" s="4">
        <v>46080.625</v>
      </c>
      <c r="O107" s="5">
        <v>55.817999999999998</v>
      </c>
      <c r="P107" s="4">
        <v>46038.625</v>
      </c>
      <c r="Q107" s="5">
        <v>83.78</v>
      </c>
      <c r="T107" s="4">
        <f t="shared" si="11"/>
        <v>46080.625</v>
      </c>
      <c r="U107" s="4">
        <f t="shared" si="10"/>
        <v>46080.625</v>
      </c>
    </row>
    <row r="108" spans="1:21" x14ac:dyDescent="0.25">
      <c r="A108" s="50" t="str">
        <f t="shared" ca="1" si="12"/>
        <v/>
      </c>
      <c r="B108" s="51" t="str">
        <f ca="1">IF(COUNTIF($V$2:V1093,A108)=1,VLOOKUP(A108,N:O,2), IF(COUNTIF($V$2:V1093,A108)=0,$B$9,""))</f>
        <v/>
      </c>
      <c r="C108" s="2" t="str">
        <f t="shared" ca="1" si="13"/>
        <v/>
      </c>
      <c r="D108" s="54" t="str">
        <f t="shared" ca="1" si="14"/>
        <v/>
      </c>
      <c r="E108" s="51" t="str">
        <f ca="1">IF(COUNTIF($V$2:V1093,A108)=1,VLOOKUP(A108,P:Q,2), IF(COUNTIF($V$2:V1093,A108)=0,$C$9,""))</f>
        <v/>
      </c>
      <c r="F108" s="2" t="str">
        <f t="shared" ca="1" si="15"/>
        <v/>
      </c>
      <c r="G108" s="54" t="str">
        <f t="shared" ca="1" si="16"/>
        <v/>
      </c>
      <c r="H108" s="51" t="str">
        <f ca="1">IF(COUNTIF($V$2:V1093,A108)=1,VLOOKUP(A108,R:S,2), IF(COUNTIF($V$2:V1093,A108)=0,$D$9,""))</f>
        <v/>
      </c>
      <c r="I108" s="2" t="str">
        <f t="shared" ca="1" si="17"/>
        <v/>
      </c>
      <c r="J108" s="54" t="str">
        <f t="shared" ca="1" si="18"/>
        <v/>
      </c>
      <c r="K108" s="52"/>
      <c r="L108" s="55" t="str">
        <f ca="1">IF(ISERROR(B108-2),"",C108+D108-F108-G108+I108+J108-SUM($K$14:K108))</f>
        <v/>
      </c>
      <c r="P108" s="4">
        <v>46042.625</v>
      </c>
      <c r="Q108" s="5">
        <v>83.48</v>
      </c>
      <c r="T108" s="4" t="str">
        <f t="shared" si="11"/>
        <v/>
      </c>
      <c r="U108" s="4" t="str">
        <f t="shared" si="10"/>
        <v/>
      </c>
    </row>
    <row r="109" spans="1:21" x14ac:dyDescent="0.25">
      <c r="A109" s="50" t="str">
        <f t="shared" ca="1" si="12"/>
        <v/>
      </c>
      <c r="B109" s="51" t="str">
        <f ca="1">IF(COUNTIF($V$2:V1094,A109)=1,VLOOKUP(A109,N:O,2), IF(COUNTIF($V$2:V1094,A109)=0,$B$9,""))</f>
        <v/>
      </c>
      <c r="C109" s="2" t="str">
        <f t="shared" ca="1" si="13"/>
        <v/>
      </c>
      <c r="D109" s="54" t="str">
        <f t="shared" ca="1" si="14"/>
        <v/>
      </c>
      <c r="E109" s="51" t="str">
        <f ca="1">IF(COUNTIF($V$2:V1094,A109)=1,VLOOKUP(A109,P:Q,2), IF(COUNTIF($V$2:V1094,A109)=0,$C$9,""))</f>
        <v/>
      </c>
      <c r="F109" s="2" t="str">
        <f t="shared" ca="1" si="15"/>
        <v/>
      </c>
      <c r="G109" s="54" t="str">
        <f t="shared" ca="1" si="16"/>
        <v/>
      </c>
      <c r="H109" s="51" t="str">
        <f ca="1">IF(COUNTIF($V$2:V1094,A109)=1,VLOOKUP(A109,R:S,2), IF(COUNTIF($V$2:V1094,A109)=0,$D$9,""))</f>
        <v/>
      </c>
      <c r="I109" s="2" t="str">
        <f t="shared" ca="1" si="17"/>
        <v/>
      </c>
      <c r="J109" s="54" t="str">
        <f t="shared" ca="1" si="18"/>
        <v/>
      </c>
      <c r="K109" s="52"/>
      <c r="L109" s="55" t="str">
        <f ca="1">IF(ISERROR(B109-2),"",C109+D109-F109-G109+I109+J109-SUM($K$14:K109))</f>
        <v/>
      </c>
      <c r="P109" s="4">
        <v>46043.625</v>
      </c>
      <c r="Q109" s="5">
        <v>83.81</v>
      </c>
      <c r="T109" s="4" t="str">
        <f t="shared" si="11"/>
        <v/>
      </c>
      <c r="U109" s="4" t="str">
        <f t="shared" si="10"/>
        <v/>
      </c>
    </row>
    <row r="110" spans="1:21" x14ac:dyDescent="0.25">
      <c r="A110" s="50" t="str">
        <f t="shared" ca="1" si="12"/>
        <v/>
      </c>
      <c r="B110" s="51" t="str">
        <f ca="1">IF(COUNTIF($V$2:V1095,A110)=1,VLOOKUP(A110,N:O,2), IF(COUNTIF($V$2:V1095,A110)=0,$B$9,""))</f>
        <v/>
      </c>
      <c r="C110" s="2" t="str">
        <f t="shared" ca="1" si="13"/>
        <v/>
      </c>
      <c r="D110" s="54" t="str">
        <f t="shared" ca="1" si="14"/>
        <v/>
      </c>
      <c r="E110" s="51" t="str">
        <f ca="1">IF(COUNTIF($V$2:V1095,A110)=1,VLOOKUP(A110,P:Q,2), IF(COUNTIF($V$2:V1095,A110)=0,$C$9,""))</f>
        <v/>
      </c>
      <c r="F110" s="2" t="str">
        <f t="shared" ca="1" si="15"/>
        <v/>
      </c>
      <c r="G110" s="54" t="str">
        <f t="shared" ca="1" si="16"/>
        <v/>
      </c>
      <c r="H110" s="51" t="str">
        <f ca="1">IF(COUNTIF($V$2:V1095,A110)=1,VLOOKUP(A110,R:S,2), IF(COUNTIF($V$2:V1095,A110)=0,$D$9,""))</f>
        <v/>
      </c>
      <c r="I110" s="2" t="str">
        <f t="shared" ca="1" si="17"/>
        <v/>
      </c>
      <c r="J110" s="54" t="str">
        <f t="shared" ca="1" si="18"/>
        <v/>
      </c>
      <c r="K110" s="52"/>
      <c r="L110" s="55" t="str">
        <f ca="1">IF(ISERROR(B110-2),"",C110+D110-F110-G110+I110+J110-SUM($K$14:K110))</f>
        <v/>
      </c>
      <c r="P110" s="4">
        <v>46044.625</v>
      </c>
      <c r="Q110" s="5">
        <v>83.83</v>
      </c>
      <c r="T110" s="4" t="str">
        <f t="shared" si="11"/>
        <v/>
      </c>
      <c r="U110" s="4" t="str">
        <f t="shared" si="10"/>
        <v/>
      </c>
    </row>
    <row r="111" spans="1:21" x14ac:dyDescent="0.25">
      <c r="A111" s="50" t="str">
        <f t="shared" ca="1" si="12"/>
        <v/>
      </c>
      <c r="B111" s="51" t="str">
        <f ca="1">IF(COUNTIF($V$2:V1096,A111)=1,VLOOKUP(A111,N:O,2), IF(COUNTIF($V$2:V1096,A111)=0,$B$9,""))</f>
        <v/>
      </c>
      <c r="C111" s="2" t="str">
        <f t="shared" ca="1" si="13"/>
        <v/>
      </c>
      <c r="D111" s="54" t="str">
        <f t="shared" ca="1" si="14"/>
        <v/>
      </c>
      <c r="E111" s="51" t="str">
        <f ca="1">IF(COUNTIF($V$2:V1096,A111)=1,VLOOKUP(A111,P:Q,2), IF(COUNTIF($V$2:V1096,A111)=0,$C$9,""))</f>
        <v/>
      </c>
      <c r="F111" s="2" t="str">
        <f t="shared" ca="1" si="15"/>
        <v/>
      </c>
      <c r="G111" s="54" t="str">
        <f t="shared" ca="1" si="16"/>
        <v/>
      </c>
      <c r="H111" s="51" t="str">
        <f ca="1">IF(COUNTIF($V$2:V1096,A111)=1,VLOOKUP(A111,R:S,2), IF(COUNTIF($V$2:V1096,A111)=0,$D$9,""))</f>
        <v/>
      </c>
      <c r="I111" s="2" t="str">
        <f t="shared" ca="1" si="17"/>
        <v/>
      </c>
      <c r="J111" s="54" t="str">
        <f t="shared" ca="1" si="18"/>
        <v/>
      </c>
      <c r="K111" s="52"/>
      <c r="L111" s="55" t="str">
        <f ca="1">IF(ISERROR(B111-2),"",C111+D111-F111-G111+I111+J111-SUM($K$14:K111))</f>
        <v/>
      </c>
      <c r="P111" s="4">
        <v>46045.625</v>
      </c>
      <c r="Q111" s="5">
        <v>83.89</v>
      </c>
      <c r="T111" s="4" t="str">
        <f t="shared" si="11"/>
        <v/>
      </c>
      <c r="U111" s="4" t="str">
        <f t="shared" si="10"/>
        <v/>
      </c>
    </row>
    <row r="112" spans="1:21" x14ac:dyDescent="0.25">
      <c r="A112" s="50" t="str">
        <f t="shared" ca="1" si="12"/>
        <v/>
      </c>
      <c r="B112" s="51" t="str">
        <f ca="1">IF(COUNTIF($V$2:V1097,A112)=1,VLOOKUP(A112,N:O,2), IF(COUNTIF($V$2:V1097,A112)=0,$B$9,""))</f>
        <v/>
      </c>
      <c r="C112" s="2" t="str">
        <f t="shared" ca="1" si="13"/>
        <v/>
      </c>
      <c r="D112" s="54" t="str">
        <f t="shared" ca="1" si="14"/>
        <v/>
      </c>
      <c r="E112" s="51" t="str">
        <f ca="1">IF(COUNTIF($V$2:V1097,A112)=1,VLOOKUP(A112,P:Q,2), IF(COUNTIF($V$2:V1097,A112)=0,$C$9,""))</f>
        <v/>
      </c>
      <c r="F112" s="2" t="str">
        <f t="shared" ca="1" si="15"/>
        <v/>
      </c>
      <c r="G112" s="54" t="str">
        <f t="shared" ca="1" si="16"/>
        <v/>
      </c>
      <c r="H112" s="51" t="str">
        <f ca="1">IF(COUNTIF($V$2:V1097,A112)=1,VLOOKUP(A112,R:S,2), IF(COUNTIF($V$2:V1097,A112)=0,$D$9,""))</f>
        <v/>
      </c>
      <c r="I112" s="2" t="str">
        <f t="shared" ca="1" si="17"/>
        <v/>
      </c>
      <c r="J112" s="54" t="str">
        <f t="shared" ca="1" si="18"/>
        <v/>
      </c>
      <c r="K112" s="52"/>
      <c r="L112" s="55" t="str">
        <f ca="1">IF(ISERROR(B112-2),"",C112+D112-F112-G112+I112+J112-SUM($K$14:K112))</f>
        <v/>
      </c>
      <c r="P112" s="4">
        <v>46048.625</v>
      </c>
      <c r="Q112" s="5">
        <v>83.97</v>
      </c>
      <c r="T112" s="4" t="str">
        <f t="shared" si="11"/>
        <v/>
      </c>
      <c r="U112" s="4" t="str">
        <f t="shared" si="10"/>
        <v/>
      </c>
    </row>
    <row r="113" spans="1:21" x14ac:dyDescent="0.25">
      <c r="A113" s="50" t="str">
        <f t="shared" ca="1" si="12"/>
        <v/>
      </c>
      <c r="B113" s="51" t="str">
        <f ca="1">IF(COUNTIF($V$2:V1098,A113)=1,VLOOKUP(A113,N:O,2), IF(COUNTIF($V$2:V1098,A113)=0,$B$9,""))</f>
        <v/>
      </c>
      <c r="C113" s="2" t="str">
        <f t="shared" ca="1" si="13"/>
        <v/>
      </c>
      <c r="D113" s="54" t="str">
        <f t="shared" ca="1" si="14"/>
        <v/>
      </c>
      <c r="E113" s="51" t="str">
        <f ca="1">IF(COUNTIF($V$2:V1098,A113)=1,VLOOKUP(A113,P:Q,2), IF(COUNTIF($V$2:V1098,A113)=0,$C$9,""))</f>
        <v/>
      </c>
      <c r="F113" s="2" t="str">
        <f t="shared" ca="1" si="15"/>
        <v/>
      </c>
      <c r="G113" s="54" t="str">
        <f t="shared" ca="1" si="16"/>
        <v/>
      </c>
      <c r="H113" s="51" t="str">
        <f ca="1">IF(COUNTIF($V$2:V1098,A113)=1,VLOOKUP(A113,R:S,2), IF(COUNTIF($V$2:V1098,A113)=0,$D$9,""))</f>
        <v/>
      </c>
      <c r="I113" s="2" t="str">
        <f t="shared" ca="1" si="17"/>
        <v/>
      </c>
      <c r="J113" s="54" t="str">
        <f t="shared" ca="1" si="18"/>
        <v/>
      </c>
      <c r="K113" s="52"/>
      <c r="L113" s="55" t="str">
        <f ca="1">IF(ISERROR(B113-2),"",C113+D113-F113-G113+I113+J113-SUM($K$14:K113))</f>
        <v/>
      </c>
      <c r="P113" s="4">
        <v>46049.625</v>
      </c>
      <c r="Q113" s="5">
        <v>83.96</v>
      </c>
      <c r="T113" s="4" t="str">
        <f t="shared" si="11"/>
        <v/>
      </c>
      <c r="U113" s="4" t="str">
        <f t="shared" si="10"/>
        <v/>
      </c>
    </row>
    <row r="114" spans="1:21" x14ac:dyDescent="0.25">
      <c r="A114" s="50" t="str">
        <f t="shared" ca="1" si="12"/>
        <v/>
      </c>
      <c r="B114" s="51" t="str">
        <f ca="1">IF(COUNTIF($V$2:V1099,A114)=1,VLOOKUP(A114,N:O,2), IF(COUNTIF($V$2:V1099,A114)=0,$B$9,""))</f>
        <v/>
      </c>
      <c r="C114" s="2" t="str">
        <f t="shared" ca="1" si="13"/>
        <v/>
      </c>
      <c r="D114" s="54" t="str">
        <f t="shared" ca="1" si="14"/>
        <v/>
      </c>
      <c r="E114" s="51" t="str">
        <f ca="1">IF(COUNTIF($V$2:V1099,A114)=1,VLOOKUP(A114,P:Q,2), IF(COUNTIF($V$2:V1099,A114)=0,$C$9,""))</f>
        <v/>
      </c>
      <c r="F114" s="2" t="str">
        <f t="shared" ca="1" si="15"/>
        <v/>
      </c>
      <c r="G114" s="54" t="str">
        <f t="shared" ca="1" si="16"/>
        <v/>
      </c>
      <c r="H114" s="51" t="str">
        <f ca="1">IF(COUNTIF($V$2:V1099,A114)=1,VLOOKUP(A114,R:S,2), IF(COUNTIF($V$2:V1099,A114)=0,$D$9,""))</f>
        <v/>
      </c>
      <c r="I114" s="2" t="str">
        <f t="shared" ca="1" si="17"/>
        <v/>
      </c>
      <c r="J114" s="54" t="str">
        <f t="shared" ca="1" si="18"/>
        <v/>
      </c>
      <c r="K114" s="52"/>
      <c r="L114" s="55" t="str">
        <f ca="1">IF(ISERROR(B114-2),"",C114+D114-F114-G114+I114+J114-SUM($K$14:K114))</f>
        <v/>
      </c>
      <c r="P114" s="4">
        <v>46050.625</v>
      </c>
      <c r="Q114" s="5">
        <v>83.91</v>
      </c>
      <c r="T114" s="4" t="str">
        <f t="shared" si="11"/>
        <v/>
      </c>
      <c r="U114" s="4" t="str">
        <f t="shared" si="10"/>
        <v/>
      </c>
    </row>
    <row r="115" spans="1:21" x14ac:dyDescent="0.25">
      <c r="A115" s="50" t="str">
        <f t="shared" ca="1" si="12"/>
        <v/>
      </c>
      <c r="B115" s="51" t="str">
        <f ca="1">IF(COUNTIF($V$2:V1100,A115)=1,VLOOKUP(A115,N:O,2), IF(COUNTIF($V$2:V1100,A115)=0,$B$9,""))</f>
        <v/>
      </c>
      <c r="C115" s="2" t="str">
        <f t="shared" ca="1" si="13"/>
        <v/>
      </c>
      <c r="D115" s="54" t="str">
        <f t="shared" ca="1" si="14"/>
        <v/>
      </c>
      <c r="E115" s="51" t="str">
        <f ca="1">IF(COUNTIF($V$2:V1100,A115)=1,VLOOKUP(A115,P:Q,2), IF(COUNTIF($V$2:V1100,A115)=0,$C$9,""))</f>
        <v/>
      </c>
      <c r="F115" s="2" t="str">
        <f t="shared" ca="1" si="15"/>
        <v/>
      </c>
      <c r="G115" s="54" t="str">
        <f t="shared" ca="1" si="16"/>
        <v/>
      </c>
      <c r="H115" s="51" t="str">
        <f ca="1">IF(COUNTIF($V$2:V1100,A115)=1,VLOOKUP(A115,R:S,2), IF(COUNTIF($V$2:V1100,A115)=0,$D$9,""))</f>
        <v/>
      </c>
      <c r="I115" s="2" t="str">
        <f t="shared" ca="1" si="17"/>
        <v/>
      </c>
      <c r="J115" s="54" t="str">
        <f t="shared" ca="1" si="18"/>
        <v/>
      </c>
      <c r="K115" s="52"/>
      <c r="L115" s="55" t="str">
        <f ca="1">IF(ISERROR(B115-2),"",C115+D115-F115-G115+I115+J115-SUM($K$14:K115))</f>
        <v/>
      </c>
      <c r="P115" s="4">
        <v>46051.625</v>
      </c>
      <c r="Q115" s="5">
        <v>83.96</v>
      </c>
      <c r="T115" s="4" t="str">
        <f t="shared" si="11"/>
        <v/>
      </c>
      <c r="U115" s="4" t="str">
        <f t="shared" si="10"/>
        <v/>
      </c>
    </row>
    <row r="116" spans="1:21" x14ac:dyDescent="0.25">
      <c r="A116" s="50" t="str">
        <f t="shared" ca="1" si="12"/>
        <v/>
      </c>
      <c r="B116" s="51" t="str">
        <f ca="1">IF(COUNTIF($V$2:V1101,A116)=1,VLOOKUP(A116,N:O,2), IF(COUNTIF($V$2:V1101,A116)=0,$B$9,""))</f>
        <v/>
      </c>
      <c r="C116" s="2" t="str">
        <f t="shared" ca="1" si="13"/>
        <v/>
      </c>
      <c r="D116" s="54" t="str">
        <f t="shared" ca="1" si="14"/>
        <v/>
      </c>
      <c r="E116" s="51" t="str">
        <f ca="1">IF(COUNTIF($V$2:V1101,A116)=1,VLOOKUP(A116,P:Q,2), IF(COUNTIF($V$2:V1101,A116)=0,$C$9,""))</f>
        <v/>
      </c>
      <c r="F116" s="2" t="str">
        <f t="shared" ca="1" si="15"/>
        <v/>
      </c>
      <c r="G116" s="54" t="str">
        <f t="shared" ca="1" si="16"/>
        <v/>
      </c>
      <c r="H116" s="51" t="str">
        <f ca="1">IF(COUNTIF($V$2:V1101,A116)=1,VLOOKUP(A116,R:S,2), IF(COUNTIF($V$2:V1101,A116)=0,$D$9,""))</f>
        <v/>
      </c>
      <c r="I116" s="2" t="str">
        <f t="shared" ca="1" si="17"/>
        <v/>
      </c>
      <c r="J116" s="54" t="str">
        <f t="shared" ca="1" si="18"/>
        <v/>
      </c>
      <c r="K116" s="52"/>
      <c r="L116" s="55" t="str">
        <f ca="1">IF(ISERROR(B116-2),"",C116+D116-F116-G116+I116+J116-SUM($K$14:K116))</f>
        <v/>
      </c>
      <c r="P116" s="4">
        <v>46052.625</v>
      </c>
      <c r="Q116" s="5">
        <v>83.95</v>
      </c>
      <c r="T116" s="4" t="str">
        <f t="shared" si="11"/>
        <v/>
      </c>
      <c r="U116" s="4" t="str">
        <f t="shared" si="10"/>
        <v/>
      </c>
    </row>
    <row r="117" spans="1:21" x14ac:dyDescent="0.25">
      <c r="A117" s="50" t="str">
        <f t="shared" ca="1" si="12"/>
        <v/>
      </c>
      <c r="B117" s="51" t="str">
        <f ca="1">IF(COUNTIF($V$2:V1102,A117)=1,VLOOKUP(A117,N:O,2), IF(COUNTIF($V$2:V1102,A117)=0,$B$9,""))</f>
        <v/>
      </c>
      <c r="C117" s="2" t="str">
        <f t="shared" ca="1" si="13"/>
        <v/>
      </c>
      <c r="D117" s="54" t="str">
        <f t="shared" ca="1" si="14"/>
        <v/>
      </c>
      <c r="E117" s="51" t="str">
        <f ca="1">IF(COUNTIF($V$2:V1102,A117)=1,VLOOKUP(A117,P:Q,2), IF(COUNTIF($V$2:V1102,A117)=0,$C$9,""))</f>
        <v/>
      </c>
      <c r="F117" s="2" t="str">
        <f t="shared" ca="1" si="15"/>
        <v/>
      </c>
      <c r="G117" s="54" t="str">
        <f t="shared" ca="1" si="16"/>
        <v/>
      </c>
      <c r="H117" s="51" t="str">
        <f ca="1">IF(COUNTIF($V$2:V1102,A117)=1,VLOOKUP(A117,R:S,2), IF(COUNTIF($V$2:V1102,A117)=0,$D$9,""))</f>
        <v/>
      </c>
      <c r="I117" s="2" t="str">
        <f t="shared" ca="1" si="17"/>
        <v/>
      </c>
      <c r="J117" s="54" t="str">
        <f t="shared" ca="1" si="18"/>
        <v/>
      </c>
      <c r="K117" s="52"/>
      <c r="L117" s="55" t="str">
        <f ca="1">IF(ISERROR(B117-2),"",C117+D117-F117-G117+I117+J117-SUM($K$14:K117))</f>
        <v/>
      </c>
      <c r="P117" s="4">
        <v>46055.625</v>
      </c>
      <c r="Q117" s="5">
        <v>83.52</v>
      </c>
      <c r="T117" s="4" t="str">
        <f t="shared" si="11"/>
        <v/>
      </c>
      <c r="U117" s="4" t="str">
        <f t="shared" si="10"/>
        <v/>
      </c>
    </row>
    <row r="118" spans="1:21" x14ac:dyDescent="0.25">
      <c r="A118" s="50" t="str">
        <f t="shared" ca="1" si="12"/>
        <v/>
      </c>
      <c r="B118" s="51" t="str">
        <f ca="1">IF(COUNTIF($V$2:V1103,A118)=1,VLOOKUP(A118,N:O,2), IF(COUNTIF($V$2:V1103,A118)=0,$B$9,""))</f>
        <v/>
      </c>
      <c r="C118" s="2" t="str">
        <f t="shared" ca="1" si="13"/>
        <v/>
      </c>
      <c r="D118" s="54" t="str">
        <f t="shared" ca="1" si="14"/>
        <v/>
      </c>
      <c r="E118" s="51" t="str">
        <f ca="1">IF(COUNTIF($V$2:V1103,A118)=1,VLOOKUP(A118,P:Q,2), IF(COUNTIF($V$2:V1103,A118)=0,$C$9,""))</f>
        <v/>
      </c>
      <c r="F118" s="2" t="str">
        <f t="shared" ca="1" si="15"/>
        <v/>
      </c>
      <c r="G118" s="54" t="str">
        <f t="shared" ca="1" si="16"/>
        <v/>
      </c>
      <c r="H118" s="51" t="str">
        <f ca="1">IF(COUNTIF($V$2:V1103,A118)=1,VLOOKUP(A118,R:S,2), IF(COUNTIF($V$2:V1103,A118)=0,$D$9,""))</f>
        <v/>
      </c>
      <c r="I118" s="2" t="str">
        <f t="shared" ca="1" si="17"/>
        <v/>
      </c>
      <c r="J118" s="54" t="str">
        <f t="shared" ca="1" si="18"/>
        <v/>
      </c>
      <c r="K118" s="52"/>
      <c r="L118" s="55" t="str">
        <f ca="1">IF(ISERROR(B118-2),"",C118+D118-F118-G118+I118+J118-SUM($K$14:K118))</f>
        <v/>
      </c>
      <c r="P118" s="4">
        <v>46056.625</v>
      </c>
      <c r="Q118" s="5">
        <v>83.54</v>
      </c>
      <c r="T118" s="4" t="str">
        <f t="shared" si="11"/>
        <v/>
      </c>
      <c r="U118" s="4" t="str">
        <f t="shared" si="10"/>
        <v/>
      </c>
    </row>
    <row r="119" spans="1:21" x14ac:dyDescent="0.25">
      <c r="A119" s="50" t="str">
        <f t="shared" ca="1" si="12"/>
        <v/>
      </c>
      <c r="B119" s="51" t="str">
        <f ca="1">IF(COUNTIF($V$2:V1104,A119)=1,VLOOKUP(A119,N:O,2), IF(COUNTIF($V$2:V1104,A119)=0,$B$9,""))</f>
        <v/>
      </c>
      <c r="C119" s="2" t="str">
        <f t="shared" ca="1" si="13"/>
        <v/>
      </c>
      <c r="D119" s="54" t="str">
        <f t="shared" ca="1" si="14"/>
        <v/>
      </c>
      <c r="E119" s="51" t="str">
        <f ca="1">IF(COUNTIF($V$2:V1104,A119)=1,VLOOKUP(A119,P:Q,2), IF(COUNTIF($V$2:V1104,A119)=0,$C$9,""))</f>
        <v/>
      </c>
      <c r="F119" s="2" t="str">
        <f t="shared" ca="1" si="15"/>
        <v/>
      </c>
      <c r="G119" s="54" t="str">
        <f t="shared" ca="1" si="16"/>
        <v/>
      </c>
      <c r="H119" s="51" t="str">
        <f ca="1">IF(COUNTIF($V$2:V1104,A119)=1,VLOOKUP(A119,R:S,2), IF(COUNTIF($V$2:V1104,A119)=0,$D$9,""))</f>
        <v/>
      </c>
      <c r="I119" s="2" t="str">
        <f t="shared" ca="1" si="17"/>
        <v/>
      </c>
      <c r="J119" s="54" t="str">
        <f t="shared" ca="1" si="18"/>
        <v/>
      </c>
      <c r="K119" s="52"/>
      <c r="L119" s="55" t="str">
        <f ca="1">IF(ISERROR(B119-2),"",C119+D119-F119-G119+I119+J119-SUM($K$14:K119))</f>
        <v/>
      </c>
      <c r="P119" s="4">
        <v>46057.625</v>
      </c>
      <c r="Q119" s="5">
        <v>83.51</v>
      </c>
      <c r="T119" s="4" t="str">
        <f t="shared" si="11"/>
        <v/>
      </c>
      <c r="U119" s="4" t="str">
        <f t="shared" si="10"/>
        <v/>
      </c>
    </row>
    <row r="120" spans="1:21" x14ac:dyDescent="0.25">
      <c r="A120" s="50" t="str">
        <f t="shared" ca="1" si="12"/>
        <v/>
      </c>
      <c r="B120" s="51" t="str">
        <f ca="1">IF(COUNTIF($V$2:V1105,A120)=1,VLOOKUP(A120,N:O,2), IF(COUNTIF($V$2:V1105,A120)=0,$B$9,""))</f>
        <v/>
      </c>
      <c r="C120" s="2" t="str">
        <f t="shared" ca="1" si="13"/>
        <v/>
      </c>
      <c r="D120" s="54" t="str">
        <f t="shared" ca="1" si="14"/>
        <v/>
      </c>
      <c r="E120" s="51" t="str">
        <f ca="1">IF(COUNTIF($V$2:V1105,A120)=1,VLOOKUP(A120,P:Q,2), IF(COUNTIF($V$2:V1105,A120)=0,$C$9,""))</f>
        <v/>
      </c>
      <c r="F120" s="2" t="str">
        <f t="shared" ca="1" si="15"/>
        <v/>
      </c>
      <c r="G120" s="54" t="str">
        <f t="shared" ca="1" si="16"/>
        <v/>
      </c>
      <c r="H120" s="51" t="str">
        <f ca="1">IF(COUNTIF($V$2:V1105,A120)=1,VLOOKUP(A120,R:S,2), IF(COUNTIF($V$2:V1105,A120)=0,$D$9,""))</f>
        <v/>
      </c>
      <c r="I120" s="2" t="str">
        <f t="shared" ca="1" si="17"/>
        <v/>
      </c>
      <c r="J120" s="54" t="str">
        <f t="shared" ca="1" si="18"/>
        <v/>
      </c>
      <c r="K120" s="52"/>
      <c r="L120" s="55" t="str">
        <f ca="1">IF(ISERROR(B120-2),"",C120+D120-F120-G120+I120+J120-SUM($K$14:K120))</f>
        <v/>
      </c>
      <c r="P120" s="4">
        <v>46058.625</v>
      </c>
      <c r="Q120" s="5">
        <v>83.84</v>
      </c>
      <c r="T120" s="4" t="str">
        <f t="shared" si="11"/>
        <v/>
      </c>
      <c r="U120" s="4" t="str">
        <f t="shared" si="10"/>
        <v/>
      </c>
    </row>
    <row r="121" spans="1:21" x14ac:dyDescent="0.25">
      <c r="A121" s="50" t="str">
        <f t="shared" ca="1" si="12"/>
        <v/>
      </c>
      <c r="B121" s="51" t="str">
        <f ca="1">IF(COUNTIF($V$2:V1106,A121)=1,VLOOKUP(A121,N:O,2), IF(COUNTIF($V$2:V1106,A121)=0,$B$9,""))</f>
        <v/>
      </c>
      <c r="C121" s="2" t="str">
        <f t="shared" ca="1" si="13"/>
        <v/>
      </c>
      <c r="D121" s="54" t="str">
        <f t="shared" ca="1" si="14"/>
        <v/>
      </c>
      <c r="E121" s="51" t="str">
        <f ca="1">IF(COUNTIF($V$2:V1106,A121)=1,VLOOKUP(A121,P:Q,2), IF(COUNTIF($V$2:V1106,A121)=0,$C$9,""))</f>
        <v/>
      </c>
      <c r="F121" s="2" t="str">
        <f t="shared" ca="1" si="15"/>
        <v/>
      </c>
      <c r="G121" s="54" t="str">
        <f t="shared" ca="1" si="16"/>
        <v/>
      </c>
      <c r="H121" s="51" t="str">
        <f ca="1">IF(COUNTIF($V$2:V1106,A121)=1,VLOOKUP(A121,R:S,2), IF(COUNTIF($V$2:V1106,A121)=0,$D$9,""))</f>
        <v/>
      </c>
      <c r="I121" s="2" t="str">
        <f t="shared" ca="1" si="17"/>
        <v/>
      </c>
      <c r="J121" s="54" t="str">
        <f t="shared" ca="1" si="18"/>
        <v/>
      </c>
      <c r="K121" s="52"/>
      <c r="L121" s="55" t="str">
        <f ca="1">IF(ISERROR(B121-2),"",C121+D121-F121-G121+I121+J121-SUM($K$14:K121))</f>
        <v/>
      </c>
      <c r="P121" s="4">
        <v>46059.625</v>
      </c>
      <c r="Q121" s="5">
        <v>83.87</v>
      </c>
      <c r="T121" s="4" t="str">
        <f t="shared" si="11"/>
        <v/>
      </c>
      <c r="U121" s="4" t="str">
        <f t="shared" si="10"/>
        <v/>
      </c>
    </row>
    <row r="122" spans="1:21" x14ac:dyDescent="0.25">
      <c r="A122" s="50" t="str">
        <f t="shared" ca="1" si="12"/>
        <v/>
      </c>
      <c r="B122" s="51" t="str">
        <f ca="1">IF(COUNTIF($V$2:V1107,A122)=1,VLOOKUP(A122,N:O,2), IF(COUNTIF($V$2:V1107,A122)=0,$B$9,""))</f>
        <v/>
      </c>
      <c r="C122" s="2" t="str">
        <f t="shared" ca="1" si="13"/>
        <v/>
      </c>
      <c r="D122" s="54" t="str">
        <f t="shared" ca="1" si="14"/>
        <v/>
      </c>
      <c r="E122" s="51" t="str">
        <f ca="1">IF(COUNTIF($V$2:V1107,A122)=1,VLOOKUP(A122,P:Q,2), IF(COUNTIF($V$2:V1107,A122)=0,$C$9,""))</f>
        <v/>
      </c>
      <c r="F122" s="2" t="str">
        <f t="shared" ca="1" si="15"/>
        <v/>
      </c>
      <c r="G122" s="54" t="str">
        <f t="shared" ca="1" si="16"/>
        <v/>
      </c>
      <c r="H122" s="51" t="str">
        <f ca="1">IF(COUNTIF($V$2:V1107,A122)=1,VLOOKUP(A122,R:S,2), IF(COUNTIF($V$2:V1107,A122)=0,$D$9,""))</f>
        <v/>
      </c>
      <c r="I122" s="2" t="str">
        <f t="shared" ca="1" si="17"/>
        <v/>
      </c>
      <c r="J122" s="54" t="str">
        <f t="shared" ca="1" si="18"/>
        <v/>
      </c>
      <c r="K122" s="52"/>
      <c r="L122" s="55" t="str">
        <f ca="1">IF(ISERROR(B122-2),"",C122+D122-F122-G122+I122+J122-SUM($K$14:K122))</f>
        <v/>
      </c>
      <c r="P122" s="4">
        <v>46062.625</v>
      </c>
      <c r="Q122" s="5">
        <v>83.9</v>
      </c>
      <c r="T122" s="4" t="str">
        <f t="shared" si="11"/>
        <v/>
      </c>
      <c r="U122" s="4" t="str">
        <f t="shared" si="10"/>
        <v/>
      </c>
    </row>
    <row r="123" spans="1:21" x14ac:dyDescent="0.25">
      <c r="A123" s="50" t="str">
        <f t="shared" ca="1" si="12"/>
        <v/>
      </c>
      <c r="B123" s="51" t="str">
        <f ca="1">IF(COUNTIF($V$2:V1108,A123)=1,VLOOKUP(A123,N:O,2), IF(COUNTIF($V$2:V1108,A123)=0,$B$9,""))</f>
        <v/>
      </c>
      <c r="C123" s="2" t="str">
        <f t="shared" ca="1" si="13"/>
        <v/>
      </c>
      <c r="D123" s="54" t="str">
        <f t="shared" ca="1" si="14"/>
        <v/>
      </c>
      <c r="E123" s="51" t="str">
        <f ca="1">IF(COUNTIF($V$2:V1108,A123)=1,VLOOKUP(A123,P:Q,2), IF(COUNTIF($V$2:V1108,A123)=0,$C$9,""))</f>
        <v/>
      </c>
      <c r="F123" s="2" t="str">
        <f t="shared" ca="1" si="15"/>
        <v/>
      </c>
      <c r="G123" s="54" t="str">
        <f t="shared" ca="1" si="16"/>
        <v/>
      </c>
      <c r="H123" s="51" t="str">
        <f ca="1">IF(COUNTIF($V$2:V1108,A123)=1,VLOOKUP(A123,R:S,2), IF(COUNTIF($V$2:V1108,A123)=0,$D$9,""))</f>
        <v/>
      </c>
      <c r="I123" s="2" t="str">
        <f t="shared" ca="1" si="17"/>
        <v/>
      </c>
      <c r="J123" s="54" t="str">
        <f t="shared" ca="1" si="18"/>
        <v/>
      </c>
      <c r="K123" s="52"/>
      <c r="L123" s="55" t="str">
        <f ca="1">IF(ISERROR(B123-2),"",C123+D123-F123-G123+I123+J123-SUM($K$14:K123))</f>
        <v/>
      </c>
      <c r="P123" s="4">
        <v>46063.625</v>
      </c>
      <c r="Q123" s="5">
        <v>84.03</v>
      </c>
      <c r="T123" s="4" t="str">
        <f t="shared" si="11"/>
        <v/>
      </c>
      <c r="U123" s="4" t="str">
        <f t="shared" si="10"/>
        <v/>
      </c>
    </row>
    <row r="124" spans="1:21" x14ac:dyDescent="0.25">
      <c r="A124" s="50" t="str">
        <f t="shared" ca="1" si="12"/>
        <v/>
      </c>
      <c r="B124" s="51" t="str">
        <f ca="1">IF(COUNTIF($V$2:V1109,A124)=1,VLOOKUP(A124,N:O,2), IF(COUNTIF($V$2:V1109,A124)=0,$B$9,""))</f>
        <v/>
      </c>
      <c r="C124" s="2" t="str">
        <f t="shared" ca="1" si="13"/>
        <v/>
      </c>
      <c r="D124" s="54" t="str">
        <f t="shared" ca="1" si="14"/>
        <v/>
      </c>
      <c r="E124" s="51" t="str">
        <f ca="1">IF(COUNTIF($V$2:V1109,A124)=1,VLOOKUP(A124,P:Q,2), IF(COUNTIF($V$2:V1109,A124)=0,$C$9,""))</f>
        <v/>
      </c>
      <c r="F124" s="2" t="str">
        <f t="shared" ca="1" si="15"/>
        <v/>
      </c>
      <c r="G124" s="54" t="str">
        <f t="shared" ca="1" si="16"/>
        <v/>
      </c>
      <c r="H124" s="51" t="str">
        <f ca="1">IF(COUNTIF($V$2:V1109,A124)=1,VLOOKUP(A124,R:S,2), IF(COUNTIF($V$2:V1109,A124)=0,$D$9,""))</f>
        <v/>
      </c>
      <c r="I124" s="2" t="str">
        <f t="shared" ca="1" si="17"/>
        <v/>
      </c>
      <c r="J124" s="54" t="str">
        <f t="shared" ca="1" si="18"/>
        <v/>
      </c>
      <c r="K124" s="52"/>
      <c r="L124" s="55" t="str">
        <f ca="1">IF(ISERROR(B124-2),"",C124+D124-F124-G124+I124+J124-SUM($K$14:K124))</f>
        <v/>
      </c>
      <c r="P124" s="4">
        <v>46064.625</v>
      </c>
      <c r="Q124" s="5">
        <v>83.96</v>
      </c>
      <c r="T124" s="4" t="str">
        <f t="shared" si="11"/>
        <v/>
      </c>
      <c r="U124" s="4" t="str">
        <f t="shared" si="10"/>
        <v/>
      </c>
    </row>
    <row r="125" spans="1:21" x14ac:dyDescent="0.25">
      <c r="A125" s="50"/>
      <c r="B125" s="51"/>
      <c r="C125" s="2"/>
      <c r="D125" s="54"/>
      <c r="E125" s="51"/>
      <c r="F125" s="2"/>
      <c r="G125" s="54"/>
      <c r="H125" s="51"/>
      <c r="I125" s="2"/>
      <c r="J125" s="54"/>
      <c r="K125" s="52"/>
      <c r="L125" s="55"/>
      <c r="P125" s="4">
        <v>46065.625</v>
      </c>
      <c r="Q125" s="5">
        <v>84.22</v>
      </c>
      <c r="T125" s="4" t="str">
        <f t="shared" si="11"/>
        <v/>
      </c>
      <c r="U125" s="4" t="str">
        <f t="shared" si="10"/>
        <v/>
      </c>
    </row>
    <row r="126" spans="1:21" x14ac:dyDescent="0.25">
      <c r="A126" s="50"/>
      <c r="B126" s="51"/>
      <c r="C126" s="2"/>
      <c r="D126" s="54"/>
      <c r="E126" s="51"/>
      <c r="F126" s="2"/>
      <c r="G126" s="54"/>
      <c r="H126" s="51"/>
      <c r="I126" s="2"/>
      <c r="J126" s="54"/>
      <c r="K126" s="52"/>
      <c r="L126" s="55"/>
      <c r="P126" s="4">
        <v>46066.625</v>
      </c>
      <c r="Q126" s="5">
        <v>84.49</v>
      </c>
      <c r="T126" s="4" t="str">
        <f t="shared" si="11"/>
        <v/>
      </c>
      <c r="U126" s="4" t="str">
        <f t="shared" si="10"/>
        <v/>
      </c>
    </row>
    <row r="127" spans="1:21" x14ac:dyDescent="0.25">
      <c r="A127" s="50"/>
      <c r="B127" s="51"/>
      <c r="C127" s="2"/>
      <c r="D127" s="54"/>
      <c r="E127" s="51"/>
      <c r="F127" s="2"/>
      <c r="G127" s="54"/>
      <c r="H127" s="51"/>
      <c r="I127" s="2"/>
      <c r="J127" s="54"/>
      <c r="K127" s="52"/>
      <c r="L127" s="55"/>
      <c r="P127" s="4">
        <v>46070.625</v>
      </c>
      <c r="Q127" s="5">
        <v>84.53</v>
      </c>
      <c r="T127" s="4" t="str">
        <f t="shared" si="11"/>
        <v/>
      </c>
      <c r="U127" s="4" t="str">
        <f t="shared" si="10"/>
        <v/>
      </c>
    </row>
    <row r="128" spans="1:21" x14ac:dyDescent="0.25">
      <c r="A128" s="50"/>
      <c r="B128" s="51"/>
      <c r="C128" s="2"/>
      <c r="D128" s="54"/>
      <c r="E128" s="51"/>
      <c r="F128" s="2"/>
      <c r="G128" s="54"/>
      <c r="H128" s="51"/>
      <c r="I128" s="2"/>
      <c r="J128" s="54"/>
      <c r="K128" s="52"/>
      <c r="L128" s="55"/>
      <c r="P128" s="4">
        <v>46071.625</v>
      </c>
      <c r="Q128" s="5">
        <v>84.46</v>
      </c>
      <c r="T128" s="4" t="str">
        <f t="shared" si="11"/>
        <v/>
      </c>
      <c r="U128" s="4" t="str">
        <f t="shared" si="10"/>
        <v/>
      </c>
    </row>
    <row r="129" spans="1:21" x14ac:dyDescent="0.25">
      <c r="A129" s="50"/>
      <c r="B129" s="51"/>
      <c r="C129" s="2"/>
      <c r="D129" s="54"/>
      <c r="E129" s="51"/>
      <c r="F129" s="2"/>
      <c r="G129" s="54"/>
      <c r="H129" s="51"/>
      <c r="I129" s="2"/>
      <c r="J129" s="54"/>
      <c r="K129" s="52"/>
      <c r="L129" s="55"/>
      <c r="P129" s="4">
        <v>46072.625</v>
      </c>
      <c r="Q129" s="5">
        <v>84.52</v>
      </c>
      <c r="T129" s="4" t="str">
        <f t="shared" si="11"/>
        <v/>
      </c>
      <c r="U129" s="4" t="str">
        <f t="shared" si="10"/>
        <v/>
      </c>
    </row>
    <row r="130" spans="1:21" x14ac:dyDescent="0.25">
      <c r="A130" s="50"/>
      <c r="B130" s="51"/>
      <c r="C130" s="2"/>
      <c r="D130" s="54"/>
      <c r="E130" s="51"/>
      <c r="F130" s="2"/>
      <c r="G130" s="54"/>
      <c r="H130" s="51"/>
      <c r="I130" s="2"/>
      <c r="J130" s="54"/>
      <c r="K130" s="52"/>
      <c r="L130" s="55"/>
      <c r="P130" s="4">
        <v>46073.625</v>
      </c>
      <c r="Q130" s="5">
        <v>84.54</v>
      </c>
      <c r="T130" s="4" t="str">
        <f t="shared" si="11"/>
        <v/>
      </c>
      <c r="U130" s="4" t="str">
        <f t="shared" si="10"/>
        <v/>
      </c>
    </row>
    <row r="131" spans="1:21" x14ac:dyDescent="0.25">
      <c r="A131" s="50"/>
      <c r="B131" s="51"/>
      <c r="C131" s="2"/>
      <c r="D131" s="54"/>
      <c r="E131" s="51"/>
      <c r="F131" s="2"/>
      <c r="G131" s="54"/>
      <c r="H131" s="51"/>
      <c r="I131" s="2"/>
      <c r="J131" s="54"/>
      <c r="K131" s="52"/>
      <c r="L131" s="55"/>
      <c r="P131" s="4">
        <v>46076.625</v>
      </c>
      <c r="Q131" s="5">
        <v>84.71</v>
      </c>
      <c r="T131" s="4" t="str">
        <f t="shared" si="11"/>
        <v/>
      </c>
      <c r="U131" s="4" t="str">
        <f t="shared" ref="U131:U194" si="19">IF(T131&gt;$A$14,T131,"")</f>
        <v/>
      </c>
    </row>
    <row r="132" spans="1:21" x14ac:dyDescent="0.25">
      <c r="A132" s="50"/>
      <c r="B132" s="51"/>
      <c r="C132" s="2"/>
      <c r="D132" s="54"/>
      <c r="E132" s="51"/>
      <c r="F132" s="2"/>
      <c r="G132" s="54"/>
      <c r="H132" s="51"/>
      <c r="I132" s="2"/>
      <c r="J132" s="54"/>
      <c r="K132" s="52"/>
      <c r="L132" s="55"/>
      <c r="P132" s="4">
        <v>46077.625</v>
      </c>
      <c r="Q132" s="5">
        <v>84.63</v>
      </c>
      <c r="T132" s="4" t="str">
        <f t="shared" ref="T132:T195" si="20">IF(COUNTIF(P:P,N132)*COUNTIF(R:R,N132),N132,"")</f>
        <v/>
      </c>
      <c r="U132" s="4" t="str">
        <f t="shared" si="19"/>
        <v/>
      </c>
    </row>
    <row r="133" spans="1:21" x14ac:dyDescent="0.25">
      <c r="A133" s="50"/>
      <c r="B133" s="51"/>
      <c r="C133" s="2"/>
      <c r="D133" s="54"/>
      <c r="E133" s="51"/>
      <c r="F133" s="2"/>
      <c r="G133" s="54"/>
      <c r="H133" s="51"/>
      <c r="I133" s="2"/>
      <c r="J133" s="54"/>
      <c r="K133" s="52"/>
      <c r="L133" s="55"/>
      <c r="P133" s="4">
        <v>46078.625</v>
      </c>
      <c r="Q133" s="5">
        <v>84.59</v>
      </c>
      <c r="T133" s="4" t="str">
        <f t="shared" si="20"/>
        <v/>
      </c>
      <c r="U133" s="4" t="str">
        <f t="shared" si="19"/>
        <v/>
      </c>
    </row>
    <row r="134" spans="1:21" x14ac:dyDescent="0.25">
      <c r="A134" s="50"/>
      <c r="B134" s="51"/>
      <c r="C134" s="2"/>
      <c r="D134" s="54"/>
      <c r="E134" s="51"/>
      <c r="F134" s="2"/>
      <c r="G134" s="54"/>
      <c r="H134" s="51"/>
      <c r="I134" s="2"/>
      <c r="J134" s="54"/>
      <c r="K134" s="52"/>
      <c r="L134" s="55"/>
      <c r="P134" s="4">
        <v>46079.625</v>
      </c>
      <c r="Q134" s="5">
        <v>84.68</v>
      </c>
      <c r="T134" s="4" t="str">
        <f t="shared" si="20"/>
        <v/>
      </c>
      <c r="U134" s="4" t="str">
        <f t="shared" si="19"/>
        <v/>
      </c>
    </row>
    <row r="135" spans="1:21" x14ac:dyDescent="0.25">
      <c r="A135" s="50"/>
      <c r="B135" s="51"/>
      <c r="C135" s="2"/>
      <c r="D135" s="54"/>
      <c r="E135" s="51"/>
      <c r="F135" s="2"/>
      <c r="G135" s="54"/>
      <c r="H135" s="51"/>
      <c r="I135" s="2"/>
      <c r="J135" s="54"/>
      <c r="K135" s="52"/>
      <c r="L135" s="55"/>
      <c r="P135" s="4">
        <v>46080.625</v>
      </c>
      <c r="Q135" s="5">
        <v>84.72</v>
      </c>
      <c r="T135" s="4" t="str">
        <f t="shared" si="20"/>
        <v/>
      </c>
      <c r="U135" s="4" t="str">
        <f t="shared" si="19"/>
        <v/>
      </c>
    </row>
    <row r="136" spans="1:21" x14ac:dyDescent="0.25">
      <c r="A136" s="50"/>
      <c r="B136" s="51"/>
      <c r="C136" s="2"/>
      <c r="D136" s="54"/>
      <c r="E136" s="51"/>
      <c r="F136" s="2"/>
      <c r="G136" s="54"/>
      <c r="H136" s="51"/>
      <c r="I136" s="2"/>
      <c r="J136" s="54"/>
      <c r="K136" s="52"/>
      <c r="L136" s="55"/>
      <c r="T136" s="4" t="str">
        <f t="shared" si="20"/>
        <v/>
      </c>
      <c r="U136" s="4" t="str">
        <f t="shared" si="19"/>
        <v/>
      </c>
    </row>
    <row r="137" spans="1:21" x14ac:dyDescent="0.25">
      <c r="A137" s="50"/>
      <c r="B137" s="51"/>
      <c r="C137" s="2"/>
      <c r="D137" s="54"/>
      <c r="E137" s="51"/>
      <c r="F137" s="2"/>
      <c r="G137" s="54"/>
      <c r="H137" s="51"/>
      <c r="I137" s="2"/>
      <c r="J137" s="54"/>
      <c r="K137" s="52"/>
      <c r="L137" s="55"/>
      <c r="T137" s="4" t="str">
        <f t="shared" si="20"/>
        <v/>
      </c>
      <c r="U137" s="4" t="str">
        <f t="shared" si="19"/>
        <v/>
      </c>
    </row>
    <row r="138" spans="1:21" x14ac:dyDescent="0.25">
      <c r="A138" s="50"/>
      <c r="B138" s="51"/>
      <c r="C138" s="2"/>
      <c r="D138" s="54"/>
      <c r="E138" s="51"/>
      <c r="F138" s="2"/>
      <c r="G138" s="54"/>
      <c r="H138" s="51"/>
      <c r="I138" s="2"/>
      <c r="J138" s="54"/>
      <c r="K138" s="52"/>
      <c r="L138" s="55"/>
      <c r="T138" s="4" t="str">
        <f t="shared" si="20"/>
        <v/>
      </c>
      <c r="U138" s="4" t="str">
        <f t="shared" si="19"/>
        <v/>
      </c>
    </row>
    <row r="139" spans="1:21" x14ac:dyDescent="0.25">
      <c r="A139" s="50"/>
      <c r="B139" s="51"/>
      <c r="C139" s="2"/>
      <c r="D139" s="54"/>
      <c r="E139" s="51"/>
      <c r="F139" s="2"/>
      <c r="G139" s="54"/>
      <c r="H139" s="51"/>
      <c r="I139" s="2"/>
      <c r="J139" s="54"/>
      <c r="K139" s="52"/>
      <c r="L139" s="55"/>
      <c r="T139" s="4" t="str">
        <f t="shared" si="20"/>
        <v/>
      </c>
      <c r="U139" s="4" t="str">
        <f t="shared" si="19"/>
        <v/>
      </c>
    </row>
    <row r="140" spans="1:21" x14ac:dyDescent="0.25">
      <c r="A140" s="50"/>
      <c r="B140" s="51"/>
      <c r="C140" s="2"/>
      <c r="D140" s="54"/>
      <c r="E140" s="51"/>
      <c r="F140" s="2"/>
      <c r="G140" s="54"/>
      <c r="H140" s="51"/>
      <c r="I140" s="2"/>
      <c r="J140" s="54"/>
      <c r="K140" s="52"/>
      <c r="L140" s="55"/>
      <c r="T140" s="4" t="str">
        <f t="shared" si="20"/>
        <v/>
      </c>
      <c r="U140" s="4" t="str">
        <f t="shared" si="19"/>
        <v/>
      </c>
    </row>
    <row r="141" spans="1:21" x14ac:dyDescent="0.25">
      <c r="A141" s="50"/>
      <c r="B141" s="51"/>
      <c r="C141" s="2"/>
      <c r="D141" s="54"/>
      <c r="E141" s="51"/>
      <c r="F141" s="2"/>
      <c r="G141" s="54"/>
      <c r="H141" s="51"/>
      <c r="I141" s="2"/>
      <c r="J141" s="54"/>
      <c r="K141" s="52"/>
      <c r="L141" s="55"/>
      <c r="T141" s="4" t="str">
        <f t="shared" si="20"/>
        <v/>
      </c>
      <c r="U141" s="4" t="str">
        <f t="shared" si="19"/>
        <v/>
      </c>
    </row>
    <row r="142" spans="1:21" x14ac:dyDescent="0.25">
      <c r="A142" s="50"/>
      <c r="B142" s="51"/>
      <c r="C142" s="2"/>
      <c r="D142" s="54"/>
      <c r="E142" s="51"/>
      <c r="F142" s="2"/>
      <c r="G142" s="54"/>
      <c r="H142" s="51"/>
      <c r="I142" s="2"/>
      <c r="J142" s="54"/>
      <c r="K142" s="52"/>
      <c r="L142" s="55"/>
      <c r="T142" s="4" t="str">
        <f t="shared" si="20"/>
        <v/>
      </c>
      <c r="U142" s="4" t="str">
        <f t="shared" si="19"/>
        <v/>
      </c>
    </row>
    <row r="143" spans="1:21" x14ac:dyDescent="0.25">
      <c r="A143" s="50"/>
      <c r="B143" s="51"/>
      <c r="C143" s="2"/>
      <c r="D143" s="54"/>
      <c r="E143" s="51"/>
      <c r="F143" s="2"/>
      <c r="G143" s="54"/>
      <c r="H143" s="51"/>
      <c r="I143" s="2"/>
      <c r="J143" s="54"/>
      <c r="K143" s="52"/>
      <c r="L143" s="55"/>
      <c r="T143" s="4" t="str">
        <f t="shared" si="20"/>
        <v/>
      </c>
      <c r="U143" s="4" t="str">
        <f t="shared" si="19"/>
        <v/>
      </c>
    </row>
    <row r="144" spans="1:21" x14ac:dyDescent="0.25">
      <c r="A144" s="50"/>
      <c r="B144" s="51"/>
      <c r="C144" s="2"/>
      <c r="D144" s="54"/>
      <c r="E144" s="51"/>
      <c r="F144" s="2"/>
      <c r="G144" s="54"/>
      <c r="H144" s="51"/>
      <c r="I144" s="2"/>
      <c r="J144" s="54"/>
      <c r="K144" s="52"/>
      <c r="L144" s="55"/>
      <c r="T144" s="4" t="str">
        <f t="shared" si="20"/>
        <v/>
      </c>
      <c r="U144" s="4" t="str">
        <f t="shared" si="19"/>
        <v/>
      </c>
    </row>
    <row r="145" spans="1:21" x14ac:dyDescent="0.25">
      <c r="A145" s="50"/>
      <c r="B145" s="51"/>
      <c r="C145" s="2"/>
      <c r="D145" s="54"/>
      <c r="E145" s="51"/>
      <c r="F145" s="2"/>
      <c r="G145" s="54"/>
      <c r="H145" s="51"/>
      <c r="I145" s="2"/>
      <c r="J145" s="54"/>
      <c r="K145" s="52"/>
      <c r="L145" s="55"/>
      <c r="T145" s="4" t="str">
        <f t="shared" si="20"/>
        <v/>
      </c>
      <c r="U145" s="4" t="str">
        <f t="shared" si="19"/>
        <v/>
      </c>
    </row>
    <row r="146" spans="1:21" x14ac:dyDescent="0.25">
      <c r="A146" s="50"/>
      <c r="B146" s="51"/>
      <c r="C146" s="2"/>
      <c r="D146" s="54"/>
      <c r="E146" s="51"/>
      <c r="F146" s="2"/>
      <c r="G146" s="54"/>
      <c r="H146" s="51"/>
      <c r="I146" s="2"/>
      <c r="J146" s="54"/>
      <c r="K146" s="52"/>
      <c r="L146" s="55"/>
      <c r="T146" s="4" t="str">
        <f t="shared" si="20"/>
        <v/>
      </c>
      <c r="U146" s="4" t="str">
        <f t="shared" si="19"/>
        <v/>
      </c>
    </row>
    <row r="147" spans="1:21" x14ac:dyDescent="0.25">
      <c r="A147" s="50"/>
      <c r="B147" s="51"/>
      <c r="C147" s="2"/>
      <c r="D147" s="54"/>
      <c r="E147" s="51"/>
      <c r="F147" s="2"/>
      <c r="G147" s="54"/>
      <c r="H147" s="51"/>
      <c r="I147" s="2"/>
      <c r="J147" s="54"/>
      <c r="K147" s="52"/>
      <c r="L147" s="55"/>
      <c r="T147" s="4" t="str">
        <f t="shared" si="20"/>
        <v/>
      </c>
      <c r="U147" s="4" t="str">
        <f t="shared" si="19"/>
        <v/>
      </c>
    </row>
    <row r="148" spans="1:21" x14ac:dyDescent="0.25">
      <c r="A148" s="50"/>
      <c r="B148" s="51"/>
      <c r="C148" s="2"/>
      <c r="D148" s="54"/>
      <c r="E148" s="51"/>
      <c r="F148" s="2"/>
      <c r="G148" s="54"/>
      <c r="H148" s="51"/>
      <c r="I148" s="2"/>
      <c r="J148" s="54"/>
      <c r="K148" s="52"/>
      <c r="L148" s="55"/>
      <c r="T148" s="4" t="str">
        <f t="shared" si="20"/>
        <v/>
      </c>
      <c r="U148" s="4" t="str">
        <f t="shared" si="19"/>
        <v/>
      </c>
    </row>
    <row r="149" spans="1:21" x14ac:dyDescent="0.25">
      <c r="A149" s="50"/>
      <c r="B149" s="51"/>
      <c r="C149" s="2"/>
      <c r="D149" s="54"/>
      <c r="E149" s="51"/>
      <c r="F149" s="2"/>
      <c r="G149" s="54"/>
      <c r="H149" s="51"/>
      <c r="I149" s="2"/>
      <c r="J149" s="54"/>
      <c r="K149" s="52"/>
      <c r="L149" s="55"/>
      <c r="T149" s="4" t="str">
        <f t="shared" si="20"/>
        <v/>
      </c>
      <c r="U149" s="4" t="str">
        <f t="shared" si="19"/>
        <v/>
      </c>
    </row>
    <row r="150" spans="1:21" x14ac:dyDescent="0.25">
      <c r="A150" s="50"/>
      <c r="B150" s="51"/>
      <c r="C150" s="2"/>
      <c r="D150" s="54"/>
      <c r="E150" s="51"/>
      <c r="F150" s="2"/>
      <c r="G150" s="54"/>
      <c r="H150" s="51"/>
      <c r="I150" s="2"/>
      <c r="J150" s="54"/>
      <c r="K150" s="52"/>
      <c r="L150" s="55"/>
      <c r="T150" s="4" t="str">
        <f t="shared" si="20"/>
        <v/>
      </c>
      <c r="U150" s="4" t="str">
        <f t="shared" si="19"/>
        <v/>
      </c>
    </row>
    <row r="151" spans="1:21" x14ac:dyDescent="0.25">
      <c r="A151" s="50"/>
      <c r="B151" s="51"/>
      <c r="C151" s="2"/>
      <c r="D151" s="54"/>
      <c r="E151" s="51"/>
      <c r="F151" s="2"/>
      <c r="G151" s="54"/>
      <c r="H151" s="51"/>
      <c r="I151" s="2"/>
      <c r="J151" s="54"/>
      <c r="K151" s="52"/>
      <c r="L151" s="55"/>
      <c r="T151" s="4" t="str">
        <f t="shared" si="20"/>
        <v/>
      </c>
      <c r="U151" s="4" t="str">
        <f t="shared" si="19"/>
        <v/>
      </c>
    </row>
    <row r="152" spans="1:21" x14ac:dyDescent="0.25">
      <c r="A152" s="50"/>
      <c r="B152" s="51"/>
      <c r="C152" s="2"/>
      <c r="D152" s="54"/>
      <c r="E152" s="51"/>
      <c r="F152" s="2"/>
      <c r="G152" s="54"/>
      <c r="H152" s="51"/>
      <c r="I152" s="2"/>
      <c r="J152" s="54"/>
      <c r="K152" s="52"/>
      <c r="L152" s="55"/>
      <c r="T152" s="4" t="str">
        <f t="shared" si="20"/>
        <v/>
      </c>
      <c r="U152" s="4" t="str">
        <f t="shared" si="19"/>
        <v/>
      </c>
    </row>
    <row r="153" spans="1:21" x14ac:dyDescent="0.25">
      <c r="A153" s="50"/>
      <c r="B153" s="51"/>
      <c r="C153" s="2"/>
      <c r="D153" s="54"/>
      <c r="E153" s="51"/>
      <c r="F153" s="2"/>
      <c r="G153" s="54"/>
      <c r="H153" s="51"/>
      <c r="I153" s="2"/>
      <c r="J153" s="54"/>
      <c r="K153" s="52"/>
      <c r="L153" s="55"/>
      <c r="T153" s="4" t="str">
        <f t="shared" si="20"/>
        <v/>
      </c>
      <c r="U153" s="4" t="str">
        <f t="shared" si="19"/>
        <v/>
      </c>
    </row>
    <row r="154" spans="1:21" x14ac:dyDescent="0.25">
      <c r="A154" s="50"/>
      <c r="B154" s="51"/>
      <c r="C154" s="2"/>
      <c r="D154" s="54"/>
      <c r="E154" s="51"/>
      <c r="F154" s="2"/>
      <c r="G154" s="54"/>
      <c r="H154" s="51"/>
      <c r="I154" s="2"/>
      <c r="J154" s="54"/>
      <c r="K154" s="52"/>
      <c r="L154" s="55"/>
      <c r="T154" s="4" t="str">
        <f t="shared" si="20"/>
        <v/>
      </c>
      <c r="U154" s="4" t="str">
        <f t="shared" si="19"/>
        <v/>
      </c>
    </row>
    <row r="155" spans="1:21" x14ac:dyDescent="0.25">
      <c r="A155" s="50"/>
      <c r="B155" s="51"/>
      <c r="C155" s="2"/>
      <c r="D155" s="54"/>
      <c r="E155" s="51"/>
      <c r="F155" s="2"/>
      <c r="G155" s="54"/>
      <c r="H155" s="51"/>
      <c r="I155" s="2"/>
      <c r="J155" s="54"/>
      <c r="K155" s="52"/>
      <c r="L155" s="55"/>
      <c r="T155" s="4" t="str">
        <f t="shared" si="20"/>
        <v/>
      </c>
      <c r="U155" s="4" t="str">
        <f t="shared" si="19"/>
        <v/>
      </c>
    </row>
    <row r="156" spans="1:21" x14ac:dyDescent="0.25">
      <c r="A156" s="50"/>
      <c r="B156" s="51"/>
      <c r="C156" s="2"/>
      <c r="D156" s="54"/>
      <c r="E156" s="51"/>
      <c r="F156" s="2"/>
      <c r="G156" s="54"/>
      <c r="H156" s="51"/>
      <c r="I156" s="2"/>
      <c r="J156" s="54"/>
      <c r="K156" s="52"/>
      <c r="L156" s="55"/>
      <c r="T156" s="4" t="str">
        <f t="shared" si="20"/>
        <v/>
      </c>
      <c r="U156" s="4" t="str">
        <f t="shared" si="19"/>
        <v/>
      </c>
    </row>
    <row r="157" spans="1:21" x14ac:dyDescent="0.25">
      <c r="A157" s="50"/>
      <c r="B157" s="51"/>
      <c r="C157" s="2"/>
      <c r="D157" s="54"/>
      <c r="E157" s="51"/>
      <c r="F157" s="2"/>
      <c r="G157" s="54"/>
      <c r="H157" s="51"/>
      <c r="I157" s="2"/>
      <c r="J157" s="54"/>
      <c r="K157" s="52"/>
      <c r="L157" s="55"/>
      <c r="T157" s="4" t="str">
        <f t="shared" si="20"/>
        <v/>
      </c>
      <c r="U157" s="4" t="str">
        <f t="shared" si="19"/>
        <v/>
      </c>
    </row>
    <row r="158" spans="1:21" x14ac:dyDescent="0.25">
      <c r="A158" s="50"/>
      <c r="B158" s="51"/>
      <c r="C158" s="2"/>
      <c r="D158" s="54"/>
      <c r="E158" s="51"/>
      <c r="F158" s="2"/>
      <c r="G158" s="54"/>
      <c r="H158" s="51"/>
      <c r="I158" s="2"/>
      <c r="J158" s="54"/>
      <c r="K158" s="52"/>
      <c r="L158" s="55"/>
      <c r="T158" s="4" t="str">
        <f t="shared" si="20"/>
        <v/>
      </c>
      <c r="U158" s="4" t="str">
        <f t="shared" si="19"/>
        <v/>
      </c>
    </row>
    <row r="159" spans="1:21" x14ac:dyDescent="0.25">
      <c r="A159" s="50"/>
      <c r="B159" s="51"/>
      <c r="C159" s="2"/>
      <c r="D159" s="54"/>
      <c r="E159" s="51"/>
      <c r="F159" s="2"/>
      <c r="G159" s="54"/>
      <c r="H159" s="51"/>
      <c r="I159" s="2"/>
      <c r="J159" s="54"/>
      <c r="K159" s="52"/>
      <c r="L159" s="55"/>
      <c r="T159" s="4" t="str">
        <f t="shared" si="20"/>
        <v/>
      </c>
      <c r="U159" s="4" t="str">
        <f t="shared" si="19"/>
        <v/>
      </c>
    </row>
    <row r="160" spans="1:21" x14ac:dyDescent="0.25">
      <c r="A160" s="50"/>
      <c r="B160" s="51"/>
      <c r="C160" s="2"/>
      <c r="D160" s="54"/>
      <c r="E160" s="51"/>
      <c r="F160" s="2"/>
      <c r="G160" s="54"/>
      <c r="H160" s="51"/>
      <c r="I160" s="2"/>
      <c r="J160" s="54"/>
      <c r="K160" s="52"/>
      <c r="L160" s="55"/>
      <c r="T160" s="4" t="str">
        <f t="shared" si="20"/>
        <v/>
      </c>
      <c r="U160" s="4" t="str">
        <f t="shared" si="19"/>
        <v/>
      </c>
    </row>
    <row r="161" spans="1:21" x14ac:dyDescent="0.25">
      <c r="A161" s="50"/>
      <c r="B161" s="51"/>
      <c r="C161" s="2"/>
      <c r="D161" s="54"/>
      <c r="E161" s="51"/>
      <c r="F161" s="2"/>
      <c r="G161" s="54"/>
      <c r="H161" s="51"/>
      <c r="I161" s="2"/>
      <c r="J161" s="54"/>
      <c r="K161" s="52"/>
      <c r="L161" s="55"/>
      <c r="T161" s="4" t="str">
        <f t="shared" si="20"/>
        <v/>
      </c>
      <c r="U161" s="4" t="str">
        <f t="shared" si="19"/>
        <v/>
      </c>
    </row>
    <row r="162" spans="1:21" x14ac:dyDescent="0.25">
      <c r="A162" s="50"/>
      <c r="B162" s="51"/>
      <c r="C162" s="2"/>
      <c r="D162" s="54"/>
      <c r="E162" s="51"/>
      <c r="F162" s="2"/>
      <c r="G162" s="54"/>
      <c r="H162" s="51"/>
      <c r="I162" s="2"/>
      <c r="J162" s="54"/>
      <c r="K162" s="52"/>
      <c r="L162" s="55"/>
      <c r="T162" s="4" t="str">
        <f t="shared" si="20"/>
        <v/>
      </c>
      <c r="U162" s="4" t="str">
        <f t="shared" si="19"/>
        <v/>
      </c>
    </row>
    <row r="163" spans="1:21" x14ac:dyDescent="0.25">
      <c r="A163" s="50"/>
      <c r="B163" s="51"/>
      <c r="C163" s="2"/>
      <c r="D163" s="54"/>
      <c r="E163" s="51"/>
      <c r="F163" s="2"/>
      <c r="G163" s="54"/>
      <c r="H163" s="51"/>
      <c r="I163" s="2"/>
      <c r="J163" s="54"/>
      <c r="K163" s="52"/>
      <c r="L163" s="55"/>
      <c r="T163" s="4" t="str">
        <f t="shared" si="20"/>
        <v/>
      </c>
      <c r="U163" s="4" t="str">
        <f t="shared" si="19"/>
        <v/>
      </c>
    </row>
    <row r="164" spans="1:21" x14ac:dyDescent="0.25">
      <c r="A164" s="50"/>
      <c r="B164" s="51"/>
      <c r="C164" s="2"/>
      <c r="D164" s="54"/>
      <c r="E164" s="51"/>
      <c r="F164" s="2"/>
      <c r="G164" s="54"/>
      <c r="H164" s="51"/>
      <c r="I164" s="2"/>
      <c r="J164" s="54"/>
      <c r="K164" s="52"/>
      <c r="L164" s="55"/>
      <c r="T164" s="4" t="str">
        <f t="shared" si="20"/>
        <v/>
      </c>
      <c r="U164" s="4" t="str">
        <f t="shared" si="19"/>
        <v/>
      </c>
    </row>
    <row r="165" spans="1:21" x14ac:dyDescent="0.25">
      <c r="A165" s="50"/>
      <c r="B165" s="51"/>
      <c r="C165" s="2"/>
      <c r="D165" s="54"/>
      <c r="E165" s="51"/>
      <c r="F165" s="2"/>
      <c r="G165" s="54"/>
      <c r="H165" s="51"/>
      <c r="I165" s="2"/>
      <c r="J165" s="54"/>
      <c r="K165" s="52"/>
      <c r="L165" s="55"/>
      <c r="T165" s="4" t="str">
        <f t="shared" si="20"/>
        <v/>
      </c>
      <c r="U165" s="4" t="str">
        <f t="shared" si="19"/>
        <v/>
      </c>
    </row>
    <row r="166" spans="1:21" x14ac:dyDescent="0.25">
      <c r="A166" s="50"/>
      <c r="B166" s="51"/>
      <c r="C166" s="2"/>
      <c r="D166" s="54"/>
      <c r="E166" s="51"/>
      <c r="F166" s="2"/>
      <c r="G166" s="54"/>
      <c r="H166" s="51"/>
      <c r="I166" s="2"/>
      <c r="J166" s="54"/>
      <c r="K166" s="52"/>
      <c r="L166" s="55"/>
      <c r="T166" s="4" t="str">
        <f t="shared" si="20"/>
        <v/>
      </c>
      <c r="U166" s="4" t="str">
        <f t="shared" si="19"/>
        <v/>
      </c>
    </row>
    <row r="167" spans="1:21" x14ac:dyDescent="0.25">
      <c r="A167" s="50"/>
      <c r="B167" s="51"/>
      <c r="C167" s="2"/>
      <c r="D167" s="54"/>
      <c r="E167" s="51"/>
      <c r="F167" s="2"/>
      <c r="G167" s="54"/>
      <c r="H167" s="51"/>
      <c r="I167" s="2"/>
      <c r="J167" s="54"/>
      <c r="K167" s="52"/>
      <c r="L167" s="55"/>
      <c r="T167" s="4" t="str">
        <f t="shared" si="20"/>
        <v/>
      </c>
      <c r="U167" s="4" t="str">
        <f t="shared" si="19"/>
        <v/>
      </c>
    </row>
    <row r="168" spans="1:21" x14ac:dyDescent="0.25">
      <c r="A168" s="50"/>
      <c r="B168" s="51"/>
      <c r="C168" s="2"/>
      <c r="D168" s="54"/>
      <c r="E168" s="51"/>
      <c r="F168" s="2"/>
      <c r="G168" s="54"/>
      <c r="H168" s="51"/>
      <c r="I168" s="2"/>
      <c r="J168" s="54"/>
      <c r="K168" s="52"/>
      <c r="L168" s="55"/>
      <c r="T168" s="4" t="str">
        <f t="shared" si="20"/>
        <v/>
      </c>
      <c r="U168" s="4" t="str">
        <f t="shared" si="19"/>
        <v/>
      </c>
    </row>
    <row r="169" spans="1:21" x14ac:dyDescent="0.25">
      <c r="A169" s="50"/>
      <c r="B169" s="51"/>
      <c r="C169" s="2"/>
      <c r="D169" s="54"/>
      <c r="E169" s="51"/>
      <c r="F169" s="2"/>
      <c r="G169" s="54"/>
      <c r="H169" s="51"/>
      <c r="I169" s="2"/>
      <c r="J169" s="54"/>
      <c r="K169" s="52"/>
      <c r="L169" s="55"/>
      <c r="T169" s="4" t="str">
        <f t="shared" si="20"/>
        <v/>
      </c>
      <c r="U169" s="4" t="str">
        <f t="shared" si="19"/>
        <v/>
      </c>
    </row>
    <row r="170" spans="1:21" x14ac:dyDescent="0.25">
      <c r="A170" s="50"/>
      <c r="B170" s="51"/>
      <c r="C170" s="2"/>
      <c r="D170" s="54"/>
      <c r="E170" s="51"/>
      <c r="F170" s="2"/>
      <c r="G170" s="54"/>
      <c r="H170" s="51"/>
      <c r="I170" s="2"/>
      <c r="J170" s="54"/>
      <c r="K170" s="52"/>
      <c r="L170" s="55"/>
      <c r="T170" s="4" t="str">
        <f t="shared" si="20"/>
        <v/>
      </c>
      <c r="U170" s="4" t="str">
        <f t="shared" si="19"/>
        <v/>
      </c>
    </row>
    <row r="171" spans="1:21" x14ac:dyDescent="0.25">
      <c r="A171" s="50"/>
      <c r="B171" s="51"/>
      <c r="C171" s="2"/>
      <c r="D171" s="54"/>
      <c r="E171" s="51"/>
      <c r="F171" s="2"/>
      <c r="G171" s="54"/>
      <c r="H171" s="51"/>
      <c r="I171" s="2"/>
      <c r="J171" s="54"/>
      <c r="K171" s="52"/>
      <c r="L171" s="55"/>
      <c r="T171" s="4" t="str">
        <f t="shared" si="20"/>
        <v/>
      </c>
      <c r="U171" s="4" t="str">
        <f t="shared" si="19"/>
        <v/>
      </c>
    </row>
    <row r="172" spans="1:21" x14ac:dyDescent="0.25">
      <c r="A172" s="50"/>
      <c r="B172" s="51"/>
      <c r="C172" s="2"/>
      <c r="D172" s="54"/>
      <c r="E172" s="51"/>
      <c r="F172" s="2"/>
      <c r="G172" s="54"/>
      <c r="H172" s="51"/>
      <c r="I172" s="2"/>
      <c r="J172" s="54"/>
      <c r="K172" s="52"/>
      <c r="L172" s="55"/>
      <c r="T172" s="4" t="str">
        <f t="shared" si="20"/>
        <v/>
      </c>
      <c r="U172" s="4" t="str">
        <f t="shared" si="19"/>
        <v/>
      </c>
    </row>
    <row r="173" spans="1:21" x14ac:dyDescent="0.25">
      <c r="A173" s="50"/>
      <c r="B173" s="51"/>
      <c r="C173" s="2"/>
      <c r="D173" s="54"/>
      <c r="E173" s="51"/>
      <c r="F173" s="2"/>
      <c r="G173" s="54"/>
      <c r="H173" s="51"/>
      <c r="I173" s="2"/>
      <c r="J173" s="54"/>
      <c r="K173" s="52"/>
      <c r="L173" s="55"/>
      <c r="T173" s="4" t="str">
        <f t="shared" si="20"/>
        <v/>
      </c>
      <c r="U173" s="4" t="str">
        <f t="shared" si="19"/>
        <v/>
      </c>
    </row>
    <row r="174" spans="1:21" x14ac:dyDescent="0.25">
      <c r="A174" s="50"/>
      <c r="B174" s="51"/>
      <c r="C174" s="2"/>
      <c r="D174" s="54"/>
      <c r="E174" s="51"/>
      <c r="F174" s="2"/>
      <c r="G174" s="54"/>
      <c r="H174" s="51"/>
      <c r="I174" s="2"/>
      <c r="J174" s="54"/>
      <c r="K174" s="52"/>
      <c r="L174" s="55"/>
      <c r="T174" s="4" t="str">
        <f t="shared" si="20"/>
        <v/>
      </c>
      <c r="U174" s="4" t="str">
        <f t="shared" si="19"/>
        <v/>
      </c>
    </row>
    <row r="175" spans="1:21" x14ac:dyDescent="0.25">
      <c r="A175" s="50"/>
      <c r="B175" s="51"/>
      <c r="C175" s="2"/>
      <c r="D175" s="54"/>
      <c r="E175" s="51"/>
      <c r="F175" s="2"/>
      <c r="G175" s="54"/>
      <c r="H175" s="51"/>
      <c r="I175" s="2"/>
      <c r="J175" s="54"/>
      <c r="K175" s="52"/>
      <c r="L175" s="55"/>
      <c r="T175" s="4" t="str">
        <f t="shared" si="20"/>
        <v/>
      </c>
      <c r="U175" s="4" t="str">
        <f t="shared" si="19"/>
        <v/>
      </c>
    </row>
    <row r="176" spans="1:21" x14ac:dyDescent="0.25">
      <c r="A176" s="50"/>
      <c r="B176" s="51"/>
      <c r="C176" s="2"/>
      <c r="D176" s="54"/>
      <c r="E176" s="51"/>
      <c r="F176" s="2"/>
      <c r="G176" s="54"/>
      <c r="H176" s="51"/>
      <c r="I176" s="2"/>
      <c r="J176" s="54"/>
      <c r="K176" s="52"/>
      <c r="L176" s="55"/>
      <c r="T176" s="4" t="str">
        <f t="shared" si="20"/>
        <v/>
      </c>
      <c r="U176" s="4" t="str">
        <f t="shared" si="19"/>
        <v/>
      </c>
    </row>
    <row r="177" spans="1:21" x14ac:dyDescent="0.25">
      <c r="A177" s="50"/>
      <c r="B177" s="51"/>
      <c r="C177" s="2"/>
      <c r="D177" s="54"/>
      <c r="E177" s="51"/>
      <c r="F177" s="2"/>
      <c r="G177" s="54"/>
      <c r="H177" s="51"/>
      <c r="I177" s="2"/>
      <c r="J177" s="54"/>
      <c r="K177" s="52"/>
      <c r="L177" s="55"/>
      <c r="T177" s="4" t="str">
        <f t="shared" si="20"/>
        <v/>
      </c>
      <c r="U177" s="4" t="str">
        <f t="shared" si="19"/>
        <v/>
      </c>
    </row>
    <row r="178" spans="1:21" x14ac:dyDescent="0.25">
      <c r="A178" s="50"/>
      <c r="B178" s="51"/>
      <c r="C178" s="2"/>
      <c r="D178" s="54"/>
      <c r="E178" s="51"/>
      <c r="F178" s="2"/>
      <c r="G178" s="54"/>
      <c r="H178" s="51"/>
      <c r="I178" s="2"/>
      <c r="J178" s="54"/>
      <c r="K178" s="52"/>
      <c r="L178" s="55"/>
      <c r="T178" s="4" t="str">
        <f t="shared" si="20"/>
        <v/>
      </c>
      <c r="U178" s="4" t="str">
        <f t="shared" si="19"/>
        <v/>
      </c>
    </row>
    <row r="179" spans="1:21" x14ac:dyDescent="0.25">
      <c r="A179" s="50"/>
      <c r="B179" s="51"/>
      <c r="C179" s="2"/>
      <c r="D179" s="54"/>
      <c r="E179" s="51"/>
      <c r="F179" s="2"/>
      <c r="G179" s="54"/>
      <c r="H179" s="51"/>
      <c r="I179" s="2"/>
      <c r="J179" s="54"/>
      <c r="K179" s="52"/>
      <c r="L179" s="55"/>
      <c r="T179" s="4" t="str">
        <f t="shared" si="20"/>
        <v/>
      </c>
      <c r="U179" s="4" t="str">
        <f t="shared" si="19"/>
        <v/>
      </c>
    </row>
    <row r="180" spans="1:21" x14ac:dyDescent="0.25">
      <c r="A180" s="50"/>
      <c r="B180" s="51"/>
      <c r="C180" s="2"/>
      <c r="D180" s="54"/>
      <c r="E180" s="51"/>
      <c r="F180" s="2"/>
      <c r="G180" s="54"/>
      <c r="H180" s="51"/>
      <c r="I180" s="2"/>
      <c r="J180" s="54"/>
      <c r="K180" s="52"/>
      <c r="L180" s="55"/>
      <c r="T180" s="4" t="str">
        <f t="shared" si="20"/>
        <v/>
      </c>
      <c r="U180" s="4" t="str">
        <f t="shared" si="19"/>
        <v/>
      </c>
    </row>
    <row r="181" spans="1:21" x14ac:dyDescent="0.25">
      <c r="A181" s="50"/>
      <c r="B181" s="51"/>
      <c r="C181" s="2"/>
      <c r="D181" s="54"/>
      <c r="E181" s="51"/>
      <c r="F181" s="2"/>
      <c r="G181" s="54"/>
      <c r="H181" s="51"/>
      <c r="I181" s="2"/>
      <c r="J181" s="54"/>
      <c r="K181" s="52"/>
      <c r="L181" s="55"/>
      <c r="T181" s="4" t="str">
        <f t="shared" si="20"/>
        <v/>
      </c>
      <c r="U181" s="4" t="str">
        <f t="shared" si="19"/>
        <v/>
      </c>
    </row>
    <row r="182" spans="1:21" x14ac:dyDescent="0.25">
      <c r="A182" s="50"/>
      <c r="B182" s="51"/>
      <c r="C182" s="2"/>
      <c r="D182" s="54"/>
      <c r="E182" s="51"/>
      <c r="F182" s="2"/>
      <c r="G182" s="54"/>
      <c r="H182" s="51"/>
      <c r="I182" s="2"/>
      <c r="J182" s="54"/>
      <c r="K182" s="52"/>
      <c r="L182" s="55"/>
      <c r="T182" s="4" t="str">
        <f t="shared" si="20"/>
        <v/>
      </c>
      <c r="U182" s="4" t="str">
        <f t="shared" si="19"/>
        <v/>
      </c>
    </row>
    <row r="183" spans="1:21" x14ac:dyDescent="0.25">
      <c r="A183" s="50"/>
      <c r="B183" s="51"/>
      <c r="C183" s="2"/>
      <c r="D183" s="54"/>
      <c r="E183" s="51"/>
      <c r="F183" s="2"/>
      <c r="G183" s="54"/>
      <c r="H183" s="51"/>
      <c r="I183" s="2"/>
      <c r="J183" s="54"/>
      <c r="K183" s="52"/>
      <c r="L183" s="55"/>
      <c r="T183" s="4" t="str">
        <f t="shared" si="20"/>
        <v/>
      </c>
      <c r="U183" s="4" t="str">
        <f t="shared" si="19"/>
        <v/>
      </c>
    </row>
    <row r="184" spans="1:21" x14ac:dyDescent="0.25">
      <c r="A184" s="50"/>
      <c r="B184" s="51"/>
      <c r="C184" s="2"/>
      <c r="D184" s="54"/>
      <c r="E184" s="51"/>
      <c r="F184" s="2"/>
      <c r="G184" s="54"/>
      <c r="H184" s="51"/>
      <c r="I184" s="2"/>
      <c r="J184" s="54"/>
      <c r="K184" s="52"/>
      <c r="L184" s="55"/>
      <c r="T184" s="4" t="str">
        <f t="shared" si="20"/>
        <v/>
      </c>
      <c r="U184" s="4" t="str">
        <f t="shared" si="19"/>
        <v/>
      </c>
    </row>
    <row r="185" spans="1:21" x14ac:dyDescent="0.25">
      <c r="A185" s="50"/>
      <c r="B185" s="51"/>
      <c r="C185" s="2"/>
      <c r="D185" s="54"/>
      <c r="E185" s="51"/>
      <c r="F185" s="2"/>
      <c r="G185" s="54"/>
      <c r="H185" s="51"/>
      <c r="I185" s="2"/>
      <c r="J185" s="54"/>
      <c r="K185" s="52"/>
      <c r="L185" s="55"/>
      <c r="T185" s="4" t="str">
        <f t="shared" si="20"/>
        <v/>
      </c>
      <c r="U185" s="4" t="str">
        <f t="shared" si="19"/>
        <v/>
      </c>
    </row>
    <row r="186" spans="1:21" x14ac:dyDescent="0.25">
      <c r="A186" s="50"/>
      <c r="B186" s="51"/>
      <c r="C186" s="2"/>
      <c r="D186" s="54"/>
      <c r="E186" s="51"/>
      <c r="F186" s="2"/>
      <c r="G186" s="54"/>
      <c r="H186" s="51"/>
      <c r="I186" s="2"/>
      <c r="J186" s="54"/>
      <c r="K186" s="52"/>
      <c r="L186" s="55"/>
      <c r="T186" s="4" t="str">
        <f t="shared" si="20"/>
        <v/>
      </c>
      <c r="U186" s="4" t="str">
        <f t="shared" si="19"/>
        <v/>
      </c>
    </row>
    <row r="187" spans="1:21" x14ac:dyDescent="0.25">
      <c r="A187" s="50"/>
      <c r="B187" s="51"/>
      <c r="C187" s="2"/>
      <c r="D187" s="54"/>
      <c r="E187" s="51"/>
      <c r="F187" s="2"/>
      <c r="G187" s="54"/>
      <c r="H187" s="51"/>
      <c r="I187" s="2"/>
      <c r="J187" s="54"/>
      <c r="K187" s="52"/>
      <c r="L187" s="55"/>
      <c r="T187" s="4" t="str">
        <f t="shared" si="20"/>
        <v/>
      </c>
      <c r="U187" s="4" t="str">
        <f t="shared" si="19"/>
        <v/>
      </c>
    </row>
    <row r="188" spans="1:21" x14ac:dyDescent="0.25">
      <c r="A188" s="50"/>
      <c r="B188" s="51"/>
      <c r="C188" s="2"/>
      <c r="D188" s="54"/>
      <c r="E188" s="51"/>
      <c r="F188" s="2"/>
      <c r="G188" s="54"/>
      <c r="H188" s="51"/>
      <c r="I188" s="2"/>
      <c r="J188" s="54"/>
      <c r="K188" s="52"/>
      <c r="L188" s="55"/>
      <c r="T188" s="4" t="str">
        <f t="shared" si="20"/>
        <v/>
      </c>
      <c r="U188" s="4" t="str">
        <f t="shared" si="19"/>
        <v/>
      </c>
    </row>
    <row r="189" spans="1:21" x14ac:dyDescent="0.25">
      <c r="A189" s="50"/>
      <c r="B189" s="51"/>
      <c r="C189" s="2"/>
      <c r="D189" s="54"/>
      <c r="E189" s="51"/>
      <c r="F189" s="2"/>
      <c r="G189" s="54"/>
      <c r="H189" s="51"/>
      <c r="I189" s="2"/>
      <c r="J189" s="54"/>
      <c r="K189" s="52"/>
      <c r="L189" s="55"/>
      <c r="T189" s="4" t="str">
        <f t="shared" si="20"/>
        <v/>
      </c>
      <c r="U189" s="4" t="str">
        <f t="shared" si="19"/>
        <v/>
      </c>
    </row>
    <row r="190" spans="1:21" x14ac:dyDescent="0.25">
      <c r="A190" s="50"/>
      <c r="B190" s="51"/>
      <c r="C190" s="2"/>
      <c r="D190" s="54"/>
      <c r="E190" s="51"/>
      <c r="F190" s="2"/>
      <c r="G190" s="54"/>
      <c r="H190" s="51"/>
      <c r="I190" s="2"/>
      <c r="J190" s="54"/>
      <c r="K190" s="52"/>
      <c r="L190" s="55"/>
      <c r="T190" s="4" t="str">
        <f t="shared" si="20"/>
        <v/>
      </c>
      <c r="U190" s="4" t="str">
        <f t="shared" si="19"/>
        <v/>
      </c>
    </row>
    <row r="191" spans="1:21" x14ac:dyDescent="0.25">
      <c r="A191" s="50"/>
      <c r="B191" s="51"/>
      <c r="C191" s="2"/>
      <c r="D191" s="54"/>
      <c r="E191" s="51"/>
      <c r="F191" s="2"/>
      <c r="G191" s="54"/>
      <c r="H191" s="51"/>
      <c r="I191" s="2"/>
      <c r="J191" s="54"/>
      <c r="K191" s="52"/>
      <c r="L191" s="55"/>
      <c r="T191" s="4" t="str">
        <f t="shared" si="20"/>
        <v/>
      </c>
      <c r="U191" s="4" t="str">
        <f t="shared" si="19"/>
        <v/>
      </c>
    </row>
    <row r="192" spans="1:21" x14ac:dyDescent="0.25">
      <c r="A192" s="50"/>
      <c r="B192" s="51"/>
      <c r="C192" s="2"/>
      <c r="D192" s="54"/>
      <c r="E192" s="51"/>
      <c r="F192" s="2"/>
      <c r="G192" s="54"/>
      <c r="H192" s="51"/>
      <c r="I192" s="2"/>
      <c r="J192" s="54"/>
      <c r="K192" s="52"/>
      <c r="L192" s="55"/>
      <c r="T192" s="4" t="str">
        <f t="shared" si="20"/>
        <v/>
      </c>
      <c r="U192" s="4" t="str">
        <f t="shared" si="19"/>
        <v/>
      </c>
    </row>
    <row r="193" spans="1:21" x14ac:dyDescent="0.25">
      <c r="A193" s="50"/>
      <c r="B193" s="51"/>
      <c r="C193" s="2"/>
      <c r="D193" s="54"/>
      <c r="E193" s="51"/>
      <c r="F193" s="2"/>
      <c r="G193" s="54"/>
      <c r="H193" s="51"/>
      <c r="I193" s="2"/>
      <c r="J193" s="54"/>
      <c r="K193" s="52"/>
      <c r="L193" s="55"/>
      <c r="T193" s="4" t="str">
        <f t="shared" si="20"/>
        <v/>
      </c>
      <c r="U193" s="4" t="str">
        <f t="shared" si="19"/>
        <v/>
      </c>
    </row>
    <row r="194" spans="1:21" x14ac:dyDescent="0.25">
      <c r="A194" s="50"/>
      <c r="B194" s="51"/>
      <c r="C194" s="2"/>
      <c r="D194" s="54"/>
      <c r="E194" s="51"/>
      <c r="F194" s="2"/>
      <c r="G194" s="54"/>
      <c r="H194" s="51"/>
      <c r="I194" s="2"/>
      <c r="J194" s="54"/>
      <c r="K194" s="52"/>
      <c r="L194" s="55"/>
      <c r="T194" s="4" t="str">
        <f t="shared" si="20"/>
        <v/>
      </c>
      <c r="U194" s="4" t="str">
        <f t="shared" si="19"/>
        <v/>
      </c>
    </row>
    <row r="195" spans="1:21" x14ac:dyDescent="0.25">
      <c r="A195" s="50"/>
      <c r="B195" s="51"/>
      <c r="C195" s="2"/>
      <c r="D195" s="54"/>
      <c r="E195" s="51"/>
      <c r="F195" s="2"/>
      <c r="G195" s="54"/>
      <c r="H195" s="51"/>
      <c r="I195" s="2"/>
      <c r="J195" s="54"/>
      <c r="K195" s="52"/>
      <c r="L195" s="55"/>
      <c r="T195" s="4" t="str">
        <f t="shared" si="20"/>
        <v/>
      </c>
      <c r="U195" s="4" t="str">
        <f t="shared" ref="U195:U258" si="21">IF(T195&gt;$A$14,T195,"")</f>
        <v/>
      </c>
    </row>
    <row r="196" spans="1:21" x14ac:dyDescent="0.25">
      <c r="A196" s="50"/>
      <c r="B196" s="51"/>
      <c r="C196" s="2"/>
      <c r="D196" s="54"/>
      <c r="E196" s="51"/>
      <c r="F196" s="2"/>
      <c r="G196" s="54"/>
      <c r="H196" s="51"/>
      <c r="I196" s="2"/>
      <c r="J196" s="54"/>
      <c r="K196" s="52"/>
      <c r="L196" s="55"/>
      <c r="T196" s="4" t="str">
        <f t="shared" ref="T196:T259" si="22">IF(COUNTIF(P:P,N196)*COUNTIF(R:R,N196),N196,"")</f>
        <v/>
      </c>
      <c r="U196" s="4" t="str">
        <f t="shared" si="21"/>
        <v/>
      </c>
    </row>
    <row r="197" spans="1:21" x14ac:dyDescent="0.25">
      <c r="A197" s="50"/>
      <c r="B197" s="51"/>
      <c r="C197" s="2"/>
      <c r="D197" s="54"/>
      <c r="E197" s="51"/>
      <c r="F197" s="2"/>
      <c r="G197" s="54"/>
      <c r="H197" s="51"/>
      <c r="I197" s="2"/>
      <c r="J197" s="54"/>
      <c r="K197" s="52"/>
      <c r="L197" s="55"/>
      <c r="T197" s="4" t="str">
        <f t="shared" si="22"/>
        <v/>
      </c>
      <c r="U197" s="4" t="str">
        <f t="shared" si="21"/>
        <v/>
      </c>
    </row>
    <row r="198" spans="1:21" x14ac:dyDescent="0.25">
      <c r="A198" s="50"/>
      <c r="B198" s="51"/>
      <c r="C198" s="2"/>
      <c r="D198" s="54"/>
      <c r="E198" s="51"/>
      <c r="F198" s="2"/>
      <c r="G198" s="54"/>
      <c r="H198" s="51"/>
      <c r="I198" s="2"/>
      <c r="J198" s="54"/>
      <c r="K198" s="52"/>
      <c r="L198" s="55"/>
      <c r="T198" s="4" t="str">
        <f t="shared" si="22"/>
        <v/>
      </c>
      <c r="U198" s="4" t="str">
        <f t="shared" si="21"/>
        <v/>
      </c>
    </row>
    <row r="199" spans="1:21" x14ac:dyDescent="0.25">
      <c r="A199" s="50"/>
      <c r="B199" s="51"/>
      <c r="C199" s="2"/>
      <c r="D199" s="54"/>
      <c r="E199" s="51"/>
      <c r="F199" s="2"/>
      <c r="G199" s="54"/>
      <c r="H199" s="51"/>
      <c r="I199" s="2"/>
      <c r="J199" s="54"/>
      <c r="K199" s="52"/>
      <c r="L199" s="55"/>
      <c r="T199" s="4" t="str">
        <f t="shared" si="22"/>
        <v/>
      </c>
      <c r="U199" s="4" t="str">
        <f t="shared" si="21"/>
        <v/>
      </c>
    </row>
    <row r="200" spans="1:21" x14ac:dyDescent="0.25">
      <c r="A200" s="50"/>
      <c r="B200" s="51"/>
      <c r="C200" s="2"/>
      <c r="D200" s="54"/>
      <c r="E200" s="51"/>
      <c r="F200" s="2"/>
      <c r="G200" s="54"/>
      <c r="H200" s="51"/>
      <c r="I200" s="2"/>
      <c r="J200" s="54"/>
      <c r="K200" s="52"/>
      <c r="L200" s="55"/>
      <c r="T200" s="4" t="str">
        <f t="shared" si="22"/>
        <v/>
      </c>
      <c r="U200" s="4" t="str">
        <f t="shared" si="21"/>
        <v/>
      </c>
    </row>
    <row r="201" spans="1:21" x14ac:dyDescent="0.25">
      <c r="A201" s="50"/>
      <c r="B201" s="51"/>
      <c r="C201" s="2"/>
      <c r="D201" s="54"/>
      <c r="E201" s="51"/>
      <c r="F201" s="2"/>
      <c r="G201" s="54"/>
      <c r="H201" s="51"/>
      <c r="I201" s="2"/>
      <c r="J201" s="54"/>
      <c r="K201" s="52"/>
      <c r="L201" s="55"/>
      <c r="T201" s="4" t="str">
        <f t="shared" si="22"/>
        <v/>
      </c>
      <c r="U201" s="4" t="str">
        <f t="shared" si="21"/>
        <v/>
      </c>
    </row>
    <row r="202" spans="1:21" x14ac:dyDescent="0.25">
      <c r="A202" s="50"/>
      <c r="B202" s="51"/>
      <c r="C202" s="2"/>
      <c r="D202" s="54"/>
      <c r="E202" s="51"/>
      <c r="F202" s="2"/>
      <c r="G202" s="54"/>
      <c r="H202" s="51"/>
      <c r="I202" s="2"/>
      <c r="J202" s="54"/>
      <c r="K202" s="52"/>
      <c r="L202" s="55"/>
      <c r="T202" s="4" t="str">
        <f t="shared" si="22"/>
        <v/>
      </c>
      <c r="U202" s="4" t="str">
        <f t="shared" si="21"/>
        <v/>
      </c>
    </row>
    <row r="203" spans="1:21" x14ac:dyDescent="0.25">
      <c r="A203" s="50"/>
      <c r="B203" s="51"/>
      <c r="C203" s="2"/>
      <c r="D203" s="54"/>
      <c r="E203" s="51"/>
      <c r="F203" s="2"/>
      <c r="G203" s="54"/>
      <c r="H203" s="51"/>
      <c r="I203" s="2"/>
      <c r="J203" s="54"/>
      <c r="K203" s="52"/>
      <c r="L203" s="55"/>
      <c r="T203" s="4" t="str">
        <f t="shared" si="22"/>
        <v/>
      </c>
      <c r="U203" s="4" t="str">
        <f t="shared" si="21"/>
        <v/>
      </c>
    </row>
    <row r="204" spans="1:21" x14ac:dyDescent="0.25">
      <c r="A204" s="50"/>
      <c r="B204" s="51"/>
      <c r="C204" s="2"/>
      <c r="D204" s="54"/>
      <c r="E204" s="51"/>
      <c r="F204" s="2"/>
      <c r="G204" s="54"/>
      <c r="H204" s="51"/>
      <c r="I204" s="2"/>
      <c r="J204" s="54"/>
      <c r="K204" s="52"/>
      <c r="L204" s="55"/>
      <c r="T204" s="4" t="str">
        <f t="shared" si="22"/>
        <v/>
      </c>
      <c r="U204" s="4" t="str">
        <f t="shared" si="21"/>
        <v/>
      </c>
    </row>
    <row r="205" spans="1:21" x14ac:dyDescent="0.25">
      <c r="A205" s="50"/>
      <c r="B205" s="51"/>
      <c r="C205" s="2"/>
      <c r="D205" s="54"/>
      <c r="E205" s="51"/>
      <c r="F205" s="2"/>
      <c r="G205" s="54"/>
      <c r="H205" s="51"/>
      <c r="I205" s="2"/>
      <c r="J205" s="54"/>
      <c r="K205" s="52"/>
      <c r="L205" s="55"/>
      <c r="T205" s="4" t="str">
        <f t="shared" si="22"/>
        <v/>
      </c>
      <c r="U205" s="4" t="str">
        <f t="shared" si="21"/>
        <v/>
      </c>
    </row>
    <row r="206" spans="1:21" x14ac:dyDescent="0.25">
      <c r="A206" s="50"/>
      <c r="B206" s="51"/>
      <c r="C206" s="2"/>
      <c r="D206" s="54"/>
      <c r="E206" s="51"/>
      <c r="F206" s="2"/>
      <c r="G206" s="54"/>
      <c r="H206" s="51"/>
      <c r="I206" s="2"/>
      <c r="J206" s="54"/>
      <c r="K206" s="52"/>
      <c r="L206" s="55"/>
      <c r="T206" s="4" t="str">
        <f t="shared" si="22"/>
        <v/>
      </c>
      <c r="U206" s="4" t="str">
        <f t="shared" si="21"/>
        <v/>
      </c>
    </row>
    <row r="207" spans="1:21" x14ac:dyDescent="0.25">
      <c r="A207" s="50"/>
      <c r="B207" s="51"/>
      <c r="C207" s="2"/>
      <c r="D207" s="54"/>
      <c r="E207" s="51"/>
      <c r="F207" s="2"/>
      <c r="G207" s="54"/>
      <c r="H207" s="51"/>
      <c r="I207" s="2"/>
      <c r="J207" s="54"/>
      <c r="K207" s="52"/>
      <c r="L207" s="55"/>
      <c r="T207" s="4" t="str">
        <f t="shared" si="22"/>
        <v/>
      </c>
      <c r="U207" s="4" t="str">
        <f t="shared" si="21"/>
        <v/>
      </c>
    </row>
    <row r="208" spans="1:21" x14ac:dyDescent="0.25">
      <c r="A208" s="50"/>
      <c r="B208" s="51"/>
      <c r="C208" s="2"/>
      <c r="D208" s="54"/>
      <c r="E208" s="51"/>
      <c r="F208" s="2"/>
      <c r="G208" s="54"/>
      <c r="H208" s="51"/>
      <c r="I208" s="2"/>
      <c r="J208" s="54"/>
      <c r="K208" s="52"/>
      <c r="L208" s="55"/>
      <c r="T208" s="4" t="str">
        <f t="shared" si="22"/>
        <v/>
      </c>
      <c r="U208" s="4" t="str">
        <f t="shared" si="21"/>
        <v/>
      </c>
    </row>
    <row r="209" spans="1:21" x14ac:dyDescent="0.25">
      <c r="A209" s="50"/>
      <c r="B209" s="51"/>
      <c r="C209" s="2"/>
      <c r="D209" s="54"/>
      <c r="E209" s="51"/>
      <c r="F209" s="2"/>
      <c r="G209" s="54"/>
      <c r="H209" s="51"/>
      <c r="I209" s="2"/>
      <c r="J209" s="54"/>
      <c r="K209" s="52"/>
      <c r="L209" s="55"/>
      <c r="T209" s="4" t="str">
        <f t="shared" si="22"/>
        <v/>
      </c>
      <c r="U209" s="4" t="str">
        <f t="shared" si="21"/>
        <v/>
      </c>
    </row>
    <row r="210" spans="1:21" x14ac:dyDescent="0.25">
      <c r="A210" s="50"/>
      <c r="B210" s="51"/>
      <c r="C210" s="2"/>
      <c r="D210" s="54"/>
      <c r="E210" s="51"/>
      <c r="F210" s="2"/>
      <c r="G210" s="54"/>
      <c r="H210" s="51"/>
      <c r="I210" s="2"/>
      <c r="J210" s="54"/>
      <c r="K210" s="52"/>
      <c r="L210" s="55"/>
      <c r="T210" s="4" t="str">
        <f t="shared" si="22"/>
        <v/>
      </c>
      <c r="U210" s="4" t="str">
        <f t="shared" si="21"/>
        <v/>
      </c>
    </row>
    <row r="211" spans="1:21" x14ac:dyDescent="0.25">
      <c r="A211" s="50"/>
      <c r="B211" s="51"/>
      <c r="C211" s="2"/>
      <c r="D211" s="54"/>
      <c r="E211" s="51"/>
      <c r="F211" s="2"/>
      <c r="G211" s="54"/>
      <c r="H211" s="51"/>
      <c r="I211" s="2"/>
      <c r="J211" s="54"/>
      <c r="K211" s="52"/>
      <c r="L211" s="55"/>
      <c r="T211" s="4" t="str">
        <f t="shared" si="22"/>
        <v/>
      </c>
      <c r="U211" s="4" t="str">
        <f t="shared" si="21"/>
        <v/>
      </c>
    </row>
    <row r="212" spans="1:21" x14ac:dyDescent="0.25">
      <c r="A212" s="50"/>
      <c r="B212" s="51"/>
      <c r="C212" s="2"/>
      <c r="D212" s="54"/>
      <c r="E212" s="51"/>
      <c r="F212" s="2"/>
      <c r="G212" s="54"/>
      <c r="H212" s="51"/>
      <c r="I212" s="2"/>
      <c r="J212" s="54"/>
      <c r="K212" s="52"/>
      <c r="L212" s="55"/>
      <c r="T212" s="4" t="str">
        <f t="shared" si="22"/>
        <v/>
      </c>
      <c r="U212" s="4" t="str">
        <f t="shared" si="21"/>
        <v/>
      </c>
    </row>
    <row r="213" spans="1:21" x14ac:dyDescent="0.25">
      <c r="A213" s="50"/>
      <c r="B213" s="51"/>
      <c r="C213" s="2"/>
      <c r="D213" s="54"/>
      <c r="E213" s="51"/>
      <c r="F213" s="2"/>
      <c r="G213" s="54"/>
      <c r="H213" s="51"/>
      <c r="I213" s="2"/>
      <c r="J213" s="54"/>
      <c r="K213" s="52"/>
      <c r="L213" s="55"/>
      <c r="T213" s="4" t="str">
        <f t="shared" si="22"/>
        <v/>
      </c>
      <c r="U213" s="4" t="str">
        <f t="shared" si="21"/>
        <v/>
      </c>
    </row>
    <row r="214" spans="1:21" x14ac:dyDescent="0.25">
      <c r="A214" s="50"/>
      <c r="B214" s="51"/>
      <c r="C214" s="2"/>
      <c r="D214" s="54"/>
      <c r="E214" s="51"/>
      <c r="F214" s="2"/>
      <c r="G214" s="54"/>
      <c r="H214" s="51"/>
      <c r="I214" s="2"/>
      <c r="J214" s="54"/>
      <c r="K214" s="52"/>
      <c r="L214" s="55"/>
      <c r="T214" s="4" t="str">
        <f t="shared" si="22"/>
        <v/>
      </c>
      <c r="U214" s="4" t="str">
        <f t="shared" si="21"/>
        <v/>
      </c>
    </row>
    <row r="215" spans="1:21" x14ac:dyDescent="0.25">
      <c r="A215" s="50"/>
      <c r="B215" s="51"/>
      <c r="C215" s="2"/>
      <c r="D215" s="54"/>
      <c r="E215" s="51"/>
      <c r="F215" s="2"/>
      <c r="G215" s="54"/>
      <c r="H215" s="51"/>
      <c r="I215" s="2"/>
      <c r="J215" s="54"/>
      <c r="K215" s="52"/>
      <c r="L215" s="55"/>
      <c r="T215" s="4" t="str">
        <f t="shared" si="22"/>
        <v/>
      </c>
      <c r="U215" s="4" t="str">
        <f t="shared" si="21"/>
        <v/>
      </c>
    </row>
    <row r="216" spans="1:21" x14ac:dyDescent="0.25">
      <c r="A216" s="50"/>
      <c r="B216" s="51"/>
      <c r="C216" s="2"/>
      <c r="D216" s="54"/>
      <c r="E216" s="51"/>
      <c r="F216" s="2"/>
      <c r="G216" s="54"/>
      <c r="H216" s="51"/>
      <c r="I216" s="2"/>
      <c r="J216" s="54"/>
      <c r="K216" s="52"/>
      <c r="L216" s="55"/>
      <c r="T216" s="4" t="str">
        <f t="shared" si="22"/>
        <v/>
      </c>
      <c r="U216" s="4" t="str">
        <f t="shared" si="21"/>
        <v/>
      </c>
    </row>
    <row r="217" spans="1:21" x14ac:dyDescent="0.25">
      <c r="A217" s="50"/>
      <c r="B217" s="51"/>
      <c r="C217" s="2"/>
      <c r="D217" s="54"/>
      <c r="E217" s="51"/>
      <c r="F217" s="2"/>
      <c r="G217" s="54"/>
      <c r="H217" s="51"/>
      <c r="I217" s="2"/>
      <c r="J217" s="54"/>
      <c r="K217" s="52"/>
      <c r="L217" s="55"/>
      <c r="T217" s="4" t="str">
        <f t="shared" si="22"/>
        <v/>
      </c>
      <c r="U217" s="4" t="str">
        <f t="shared" si="21"/>
        <v/>
      </c>
    </row>
    <row r="218" spans="1:21" x14ac:dyDescent="0.25">
      <c r="A218" s="50"/>
      <c r="B218" s="51"/>
      <c r="C218" s="2"/>
      <c r="D218" s="54"/>
      <c r="E218" s="51"/>
      <c r="F218" s="2"/>
      <c r="G218" s="54"/>
      <c r="H218" s="51"/>
      <c r="I218" s="2"/>
      <c r="J218" s="54"/>
      <c r="K218" s="52"/>
      <c r="L218" s="55"/>
      <c r="T218" s="4" t="str">
        <f t="shared" si="22"/>
        <v/>
      </c>
      <c r="U218" s="4" t="str">
        <f t="shared" si="21"/>
        <v/>
      </c>
    </row>
    <row r="219" spans="1:21" x14ac:dyDescent="0.25">
      <c r="A219" s="50"/>
      <c r="B219" s="51"/>
      <c r="C219" s="2"/>
      <c r="D219" s="54"/>
      <c r="E219" s="51"/>
      <c r="F219" s="2"/>
      <c r="G219" s="54"/>
      <c r="H219" s="51"/>
      <c r="I219" s="2"/>
      <c r="J219" s="54"/>
      <c r="K219" s="52"/>
      <c r="L219" s="55"/>
      <c r="T219" s="4" t="str">
        <f t="shared" si="22"/>
        <v/>
      </c>
      <c r="U219" s="4" t="str">
        <f t="shared" si="21"/>
        <v/>
      </c>
    </row>
    <row r="220" spans="1:21" x14ac:dyDescent="0.25">
      <c r="A220" s="50"/>
      <c r="B220" s="51"/>
      <c r="C220" s="2"/>
      <c r="D220" s="54"/>
      <c r="E220" s="51"/>
      <c r="F220" s="2"/>
      <c r="G220" s="54"/>
      <c r="H220" s="51"/>
      <c r="I220" s="2"/>
      <c r="J220" s="54"/>
      <c r="K220" s="52"/>
      <c r="L220" s="55"/>
      <c r="T220" s="4" t="str">
        <f t="shared" si="22"/>
        <v/>
      </c>
      <c r="U220" s="4" t="str">
        <f t="shared" si="21"/>
        <v/>
      </c>
    </row>
    <row r="221" spans="1:21" x14ac:dyDescent="0.25">
      <c r="A221" s="50"/>
      <c r="B221" s="51"/>
      <c r="C221" s="2"/>
      <c r="D221" s="54"/>
      <c r="E221" s="51"/>
      <c r="F221" s="2"/>
      <c r="G221" s="54"/>
      <c r="H221" s="51"/>
      <c r="I221" s="2"/>
      <c r="J221" s="54"/>
      <c r="K221" s="52"/>
      <c r="L221" s="55"/>
      <c r="T221" s="4" t="str">
        <f t="shared" si="22"/>
        <v/>
      </c>
      <c r="U221" s="4" t="str">
        <f t="shared" si="21"/>
        <v/>
      </c>
    </row>
    <row r="222" spans="1:21" x14ac:dyDescent="0.25">
      <c r="A222" s="50"/>
      <c r="B222" s="51"/>
      <c r="C222" s="2"/>
      <c r="D222" s="54"/>
      <c r="E222" s="51"/>
      <c r="F222" s="2"/>
      <c r="G222" s="54"/>
      <c r="H222" s="51"/>
      <c r="I222" s="2"/>
      <c r="J222" s="54"/>
      <c r="K222" s="52"/>
      <c r="L222" s="55"/>
      <c r="T222" s="4" t="str">
        <f t="shared" si="22"/>
        <v/>
      </c>
      <c r="U222" s="4" t="str">
        <f t="shared" si="21"/>
        <v/>
      </c>
    </row>
    <row r="223" spans="1:21" x14ac:dyDescent="0.25">
      <c r="A223" s="50"/>
      <c r="B223" s="51"/>
      <c r="C223" s="2"/>
      <c r="D223" s="54"/>
      <c r="E223" s="51"/>
      <c r="F223" s="2"/>
      <c r="G223" s="54"/>
      <c r="H223" s="51"/>
      <c r="I223" s="2"/>
      <c r="J223" s="54"/>
      <c r="K223" s="52"/>
      <c r="L223" s="55"/>
      <c r="T223" s="4" t="str">
        <f t="shared" si="22"/>
        <v/>
      </c>
      <c r="U223" s="4" t="str">
        <f t="shared" si="21"/>
        <v/>
      </c>
    </row>
    <row r="224" spans="1:21" x14ac:dyDescent="0.25">
      <c r="A224" s="50"/>
      <c r="B224" s="51"/>
      <c r="C224" s="2"/>
      <c r="D224" s="54"/>
      <c r="E224" s="51"/>
      <c r="F224" s="2"/>
      <c r="G224" s="54"/>
      <c r="H224" s="51"/>
      <c r="I224" s="2"/>
      <c r="J224" s="54"/>
      <c r="K224" s="52"/>
      <c r="L224" s="55"/>
      <c r="T224" s="4" t="str">
        <f t="shared" si="22"/>
        <v/>
      </c>
      <c r="U224" s="4" t="str">
        <f t="shared" si="21"/>
        <v/>
      </c>
    </row>
    <row r="225" spans="1:21" x14ac:dyDescent="0.25">
      <c r="A225" s="50"/>
      <c r="B225" s="51"/>
      <c r="C225" s="2"/>
      <c r="D225" s="54"/>
      <c r="E225" s="51"/>
      <c r="F225" s="2"/>
      <c r="G225" s="54"/>
      <c r="H225" s="51"/>
      <c r="I225" s="2"/>
      <c r="J225" s="54"/>
      <c r="K225" s="52"/>
      <c r="L225" s="55"/>
      <c r="T225" s="4" t="str">
        <f t="shared" si="22"/>
        <v/>
      </c>
      <c r="U225" s="4" t="str">
        <f t="shared" si="21"/>
        <v/>
      </c>
    </row>
    <row r="226" spans="1:21" x14ac:dyDescent="0.25">
      <c r="A226" s="50"/>
      <c r="B226" s="51"/>
      <c r="C226" s="2"/>
      <c r="D226" s="54"/>
      <c r="E226" s="51"/>
      <c r="F226" s="2"/>
      <c r="G226" s="54"/>
      <c r="H226" s="51"/>
      <c r="I226" s="2"/>
      <c r="J226" s="54"/>
      <c r="K226" s="52"/>
      <c r="L226" s="55"/>
      <c r="T226" s="4" t="str">
        <f t="shared" si="22"/>
        <v/>
      </c>
      <c r="U226" s="4" t="str">
        <f t="shared" si="21"/>
        <v/>
      </c>
    </row>
    <row r="227" spans="1:21" x14ac:dyDescent="0.25">
      <c r="A227" s="50"/>
      <c r="B227" s="51"/>
      <c r="C227" s="2"/>
      <c r="D227" s="54"/>
      <c r="E227" s="51"/>
      <c r="F227" s="2"/>
      <c r="G227" s="54"/>
      <c r="H227" s="51"/>
      <c r="I227" s="2"/>
      <c r="J227" s="54"/>
      <c r="K227" s="52"/>
      <c r="L227" s="55"/>
      <c r="T227" s="4" t="str">
        <f t="shared" si="22"/>
        <v/>
      </c>
      <c r="U227" s="4" t="str">
        <f t="shared" si="21"/>
        <v/>
      </c>
    </row>
    <row r="228" spans="1:21" x14ac:dyDescent="0.25">
      <c r="A228" s="50"/>
      <c r="B228" s="51"/>
      <c r="C228" s="2"/>
      <c r="D228" s="54"/>
      <c r="E228" s="51"/>
      <c r="F228" s="2"/>
      <c r="G228" s="54"/>
      <c r="H228" s="51"/>
      <c r="I228" s="2"/>
      <c r="J228" s="54"/>
      <c r="K228" s="52"/>
      <c r="L228" s="55"/>
      <c r="T228" s="4" t="str">
        <f t="shared" si="22"/>
        <v/>
      </c>
      <c r="U228" s="4" t="str">
        <f t="shared" si="21"/>
        <v/>
      </c>
    </row>
    <row r="229" spans="1:21" x14ac:dyDescent="0.25">
      <c r="A229" s="50"/>
      <c r="B229" s="51"/>
      <c r="C229" s="2"/>
      <c r="D229" s="54"/>
      <c r="E229" s="51"/>
      <c r="F229" s="2"/>
      <c r="G229" s="54"/>
      <c r="H229" s="51"/>
      <c r="I229" s="2"/>
      <c r="J229" s="54"/>
      <c r="K229" s="52"/>
      <c r="L229" s="55"/>
      <c r="T229" s="4" t="str">
        <f t="shared" si="22"/>
        <v/>
      </c>
      <c r="U229" s="4" t="str">
        <f t="shared" si="21"/>
        <v/>
      </c>
    </row>
    <row r="230" spans="1:21" x14ac:dyDescent="0.25">
      <c r="A230" s="50"/>
      <c r="B230" s="51"/>
      <c r="C230" s="2"/>
      <c r="D230" s="54"/>
      <c r="E230" s="51"/>
      <c r="F230" s="2"/>
      <c r="G230" s="54"/>
      <c r="H230" s="51"/>
      <c r="I230" s="2"/>
      <c r="J230" s="54"/>
      <c r="K230" s="52"/>
      <c r="L230" s="55"/>
      <c r="T230" s="4" t="str">
        <f t="shared" si="22"/>
        <v/>
      </c>
      <c r="U230" s="4" t="str">
        <f t="shared" si="21"/>
        <v/>
      </c>
    </row>
    <row r="231" spans="1:21" x14ac:dyDescent="0.25">
      <c r="A231" s="50"/>
      <c r="B231" s="51"/>
      <c r="C231" s="2"/>
      <c r="D231" s="54"/>
      <c r="E231" s="51"/>
      <c r="F231" s="2"/>
      <c r="G231" s="54"/>
      <c r="H231" s="51"/>
      <c r="I231" s="2"/>
      <c r="J231" s="54"/>
      <c r="K231" s="52"/>
      <c r="L231" s="55"/>
      <c r="T231" s="4" t="str">
        <f t="shared" si="22"/>
        <v/>
      </c>
      <c r="U231" s="4" t="str">
        <f t="shared" si="21"/>
        <v/>
      </c>
    </row>
    <row r="232" spans="1:21" x14ac:dyDescent="0.25">
      <c r="A232" s="50"/>
      <c r="B232" s="51"/>
      <c r="C232" s="2"/>
      <c r="D232" s="54"/>
      <c r="E232" s="51"/>
      <c r="F232" s="2"/>
      <c r="G232" s="54"/>
      <c r="H232" s="51"/>
      <c r="I232" s="2"/>
      <c r="J232" s="54"/>
      <c r="K232" s="52"/>
      <c r="L232" s="55"/>
      <c r="T232" s="4" t="str">
        <f t="shared" si="22"/>
        <v/>
      </c>
      <c r="U232" s="4" t="str">
        <f t="shared" si="21"/>
        <v/>
      </c>
    </row>
    <row r="233" spans="1:21" x14ac:dyDescent="0.25">
      <c r="A233" s="50"/>
      <c r="B233" s="51"/>
      <c r="C233" s="2"/>
      <c r="D233" s="54"/>
      <c r="E233" s="51"/>
      <c r="F233" s="2"/>
      <c r="G233" s="54"/>
      <c r="H233" s="51"/>
      <c r="I233" s="2"/>
      <c r="J233" s="54"/>
      <c r="K233" s="52"/>
      <c r="L233" s="55"/>
      <c r="T233" s="4" t="str">
        <f t="shared" si="22"/>
        <v/>
      </c>
      <c r="U233" s="4" t="str">
        <f t="shared" si="21"/>
        <v/>
      </c>
    </row>
    <row r="234" spans="1:21" x14ac:dyDescent="0.25">
      <c r="A234" s="50"/>
      <c r="B234" s="51"/>
      <c r="C234" s="2"/>
      <c r="D234" s="54"/>
      <c r="E234" s="51"/>
      <c r="F234" s="2"/>
      <c r="G234" s="54"/>
      <c r="H234" s="51"/>
      <c r="I234" s="2"/>
      <c r="J234" s="54"/>
      <c r="K234" s="52"/>
      <c r="L234" s="55"/>
      <c r="T234" s="4" t="str">
        <f t="shared" si="22"/>
        <v/>
      </c>
      <c r="U234" s="4" t="str">
        <f t="shared" si="21"/>
        <v/>
      </c>
    </row>
    <row r="235" spans="1:21" x14ac:dyDescent="0.25">
      <c r="A235" s="50"/>
      <c r="B235" s="51"/>
      <c r="C235" s="2"/>
      <c r="D235" s="54"/>
      <c r="E235" s="51"/>
      <c r="F235" s="2"/>
      <c r="G235" s="54"/>
      <c r="H235" s="51"/>
      <c r="I235" s="2"/>
      <c r="J235" s="54"/>
      <c r="K235" s="52"/>
      <c r="L235" s="55"/>
      <c r="T235" s="4" t="str">
        <f t="shared" si="22"/>
        <v/>
      </c>
      <c r="U235" s="4" t="str">
        <f t="shared" si="21"/>
        <v/>
      </c>
    </row>
    <row r="236" spans="1:21" x14ac:dyDescent="0.25">
      <c r="A236" s="50"/>
      <c r="B236" s="51"/>
      <c r="C236" s="2"/>
      <c r="D236" s="54"/>
      <c r="E236" s="51"/>
      <c r="F236" s="2"/>
      <c r="G236" s="54"/>
      <c r="H236" s="51"/>
      <c r="I236" s="2"/>
      <c r="J236" s="54"/>
      <c r="K236" s="52"/>
      <c r="L236" s="55"/>
      <c r="T236" s="4" t="str">
        <f t="shared" si="22"/>
        <v/>
      </c>
      <c r="U236" s="4" t="str">
        <f t="shared" si="21"/>
        <v/>
      </c>
    </row>
    <row r="237" spans="1:21" x14ac:dyDescent="0.25">
      <c r="A237" s="50"/>
      <c r="B237" s="51"/>
      <c r="C237" s="2"/>
      <c r="D237" s="54"/>
      <c r="E237" s="51"/>
      <c r="F237" s="2"/>
      <c r="G237" s="54"/>
      <c r="H237" s="51"/>
      <c r="I237" s="2"/>
      <c r="J237" s="54"/>
      <c r="K237" s="52"/>
      <c r="L237" s="55"/>
      <c r="T237" s="4" t="str">
        <f t="shared" si="22"/>
        <v/>
      </c>
      <c r="U237" s="4" t="str">
        <f t="shared" si="21"/>
        <v/>
      </c>
    </row>
    <row r="238" spans="1:21" x14ac:dyDescent="0.25">
      <c r="A238" s="50"/>
      <c r="B238" s="51"/>
      <c r="C238" s="2"/>
      <c r="D238" s="54"/>
      <c r="E238" s="51"/>
      <c r="F238" s="2"/>
      <c r="G238" s="54"/>
      <c r="H238" s="51"/>
      <c r="I238" s="2"/>
      <c r="J238" s="54"/>
      <c r="K238" s="52"/>
      <c r="L238" s="55"/>
      <c r="T238" s="4" t="str">
        <f t="shared" si="22"/>
        <v/>
      </c>
      <c r="U238" s="4" t="str">
        <f t="shared" si="21"/>
        <v/>
      </c>
    </row>
    <row r="239" spans="1:21" x14ac:dyDescent="0.25">
      <c r="A239" s="50"/>
      <c r="B239" s="51"/>
      <c r="C239" s="2"/>
      <c r="D239" s="54"/>
      <c r="E239" s="51"/>
      <c r="F239" s="2"/>
      <c r="G239" s="54"/>
      <c r="H239" s="51"/>
      <c r="I239" s="2"/>
      <c r="J239" s="54"/>
      <c r="K239" s="52"/>
      <c r="L239" s="55"/>
      <c r="T239" s="4" t="str">
        <f t="shared" si="22"/>
        <v/>
      </c>
      <c r="U239" s="4" t="str">
        <f t="shared" si="21"/>
        <v/>
      </c>
    </row>
    <row r="240" spans="1:21" x14ac:dyDescent="0.25">
      <c r="A240" s="50"/>
      <c r="B240" s="51"/>
      <c r="C240" s="2"/>
      <c r="D240" s="54"/>
      <c r="E240" s="51"/>
      <c r="F240" s="2"/>
      <c r="G240" s="54"/>
      <c r="H240" s="51"/>
      <c r="I240" s="2"/>
      <c r="J240" s="54"/>
      <c r="K240" s="52"/>
      <c r="L240" s="55"/>
      <c r="T240" s="4" t="str">
        <f t="shared" si="22"/>
        <v/>
      </c>
      <c r="U240" s="4" t="str">
        <f t="shared" si="21"/>
        <v/>
      </c>
    </row>
    <row r="241" spans="1:21" x14ac:dyDescent="0.25">
      <c r="A241" s="50"/>
      <c r="B241" s="51"/>
      <c r="C241" s="2"/>
      <c r="D241" s="54"/>
      <c r="E241" s="51"/>
      <c r="F241" s="2"/>
      <c r="G241" s="54"/>
      <c r="H241" s="51"/>
      <c r="I241" s="2"/>
      <c r="J241" s="54"/>
      <c r="K241" s="52"/>
      <c r="L241" s="55"/>
      <c r="T241" s="4" t="str">
        <f t="shared" si="22"/>
        <v/>
      </c>
      <c r="U241" s="4" t="str">
        <f t="shared" si="21"/>
        <v/>
      </c>
    </row>
    <row r="242" spans="1:21" x14ac:dyDescent="0.25">
      <c r="A242" s="50"/>
      <c r="B242" s="51"/>
      <c r="C242" s="2"/>
      <c r="D242" s="54"/>
      <c r="E242" s="51"/>
      <c r="F242" s="2"/>
      <c r="G242" s="54"/>
      <c r="H242" s="51"/>
      <c r="I242" s="2"/>
      <c r="J242" s="54"/>
      <c r="K242" s="52"/>
      <c r="L242" s="55"/>
      <c r="T242" s="4" t="str">
        <f t="shared" si="22"/>
        <v/>
      </c>
      <c r="U242" s="4" t="str">
        <f t="shared" si="21"/>
        <v/>
      </c>
    </row>
    <row r="243" spans="1:21" x14ac:dyDescent="0.25">
      <c r="A243" s="50"/>
      <c r="B243" s="51"/>
      <c r="C243" s="2"/>
      <c r="D243" s="54"/>
      <c r="E243" s="51"/>
      <c r="F243" s="2"/>
      <c r="G243" s="54"/>
      <c r="H243" s="51"/>
      <c r="I243" s="2"/>
      <c r="J243" s="54"/>
      <c r="K243" s="52"/>
      <c r="L243" s="55"/>
      <c r="T243" s="4" t="str">
        <f t="shared" si="22"/>
        <v/>
      </c>
      <c r="U243" s="4" t="str">
        <f t="shared" si="21"/>
        <v/>
      </c>
    </row>
    <row r="244" spans="1:21" x14ac:dyDescent="0.25">
      <c r="A244" s="50"/>
      <c r="B244" s="51"/>
      <c r="C244" s="2"/>
      <c r="D244" s="54"/>
      <c r="E244" s="51"/>
      <c r="F244" s="2"/>
      <c r="G244" s="54"/>
      <c r="H244" s="51"/>
      <c r="I244" s="2"/>
      <c r="J244" s="54"/>
      <c r="K244" s="52"/>
      <c r="L244" s="55"/>
      <c r="T244" s="4" t="str">
        <f t="shared" si="22"/>
        <v/>
      </c>
      <c r="U244" s="4" t="str">
        <f t="shared" si="21"/>
        <v/>
      </c>
    </row>
    <row r="245" spans="1:21" x14ac:dyDescent="0.25">
      <c r="A245" s="50"/>
      <c r="B245" s="51"/>
      <c r="C245" s="2"/>
      <c r="D245" s="54"/>
      <c r="E245" s="51"/>
      <c r="F245" s="2"/>
      <c r="G245" s="54"/>
      <c r="H245" s="51"/>
      <c r="I245" s="2"/>
      <c r="J245" s="54"/>
      <c r="K245" s="52"/>
      <c r="L245" s="55"/>
      <c r="T245" s="4" t="str">
        <f t="shared" si="22"/>
        <v/>
      </c>
      <c r="U245" s="4" t="str">
        <f t="shared" si="21"/>
        <v/>
      </c>
    </row>
    <row r="246" spans="1:21" x14ac:dyDescent="0.25">
      <c r="A246" s="50"/>
      <c r="B246" s="51"/>
      <c r="C246" s="2"/>
      <c r="D246" s="54"/>
      <c r="E246" s="51"/>
      <c r="F246" s="2"/>
      <c r="G246" s="54"/>
      <c r="H246" s="51"/>
      <c r="I246" s="2"/>
      <c r="J246" s="54"/>
      <c r="K246" s="52"/>
      <c r="L246" s="55"/>
      <c r="T246" s="4" t="str">
        <f t="shared" si="22"/>
        <v/>
      </c>
      <c r="U246" s="4" t="str">
        <f t="shared" si="21"/>
        <v/>
      </c>
    </row>
    <row r="247" spans="1:21" x14ac:dyDescent="0.25">
      <c r="A247" s="50"/>
      <c r="B247" s="51"/>
      <c r="C247" s="2"/>
      <c r="D247" s="54"/>
      <c r="E247" s="51"/>
      <c r="F247" s="2"/>
      <c r="G247" s="54"/>
      <c r="H247" s="51"/>
      <c r="I247" s="2"/>
      <c r="J247" s="54"/>
      <c r="K247" s="52"/>
      <c r="L247" s="55"/>
      <c r="T247" s="4" t="str">
        <f t="shared" si="22"/>
        <v/>
      </c>
      <c r="U247" s="4" t="str">
        <f t="shared" si="21"/>
        <v/>
      </c>
    </row>
    <row r="248" spans="1:21" x14ac:dyDescent="0.25">
      <c r="A248" s="50"/>
      <c r="B248" s="51"/>
      <c r="C248" s="2"/>
      <c r="D248" s="54"/>
      <c r="E248" s="51"/>
      <c r="F248" s="2"/>
      <c r="G248" s="54"/>
      <c r="H248" s="51"/>
      <c r="I248" s="2"/>
      <c r="J248" s="54"/>
      <c r="K248" s="52"/>
      <c r="L248" s="55"/>
      <c r="T248" s="4" t="str">
        <f t="shared" si="22"/>
        <v/>
      </c>
      <c r="U248" s="4" t="str">
        <f t="shared" si="21"/>
        <v/>
      </c>
    </row>
    <row r="249" spans="1:21" x14ac:dyDescent="0.25">
      <c r="A249" s="50"/>
      <c r="B249" s="51"/>
      <c r="C249" s="2"/>
      <c r="D249" s="54"/>
      <c r="E249" s="51"/>
      <c r="F249" s="2"/>
      <c r="G249" s="54"/>
      <c r="H249" s="51"/>
      <c r="I249" s="2"/>
      <c r="J249" s="54"/>
      <c r="K249" s="52"/>
      <c r="L249" s="55"/>
      <c r="T249" s="4" t="str">
        <f t="shared" si="22"/>
        <v/>
      </c>
      <c r="U249" s="4" t="str">
        <f t="shared" si="21"/>
        <v/>
      </c>
    </row>
    <row r="250" spans="1:21" x14ac:dyDescent="0.25">
      <c r="A250" s="50"/>
      <c r="B250" s="51"/>
      <c r="C250" s="2"/>
      <c r="D250" s="54"/>
      <c r="E250" s="51"/>
      <c r="F250" s="2"/>
      <c r="G250" s="54"/>
      <c r="H250" s="51"/>
      <c r="I250" s="2"/>
      <c r="J250" s="54"/>
      <c r="K250" s="52"/>
      <c r="L250" s="55"/>
      <c r="T250" s="4" t="str">
        <f t="shared" si="22"/>
        <v/>
      </c>
      <c r="U250" s="4" t="str">
        <f t="shared" si="21"/>
        <v/>
      </c>
    </row>
    <row r="251" spans="1:21" x14ac:dyDescent="0.25">
      <c r="A251" s="50"/>
      <c r="B251" s="51"/>
      <c r="C251" s="2"/>
      <c r="D251" s="54"/>
      <c r="E251" s="51"/>
      <c r="F251" s="2"/>
      <c r="G251" s="54"/>
      <c r="H251" s="51"/>
      <c r="I251" s="2"/>
      <c r="J251" s="54"/>
      <c r="K251" s="52"/>
      <c r="L251" s="55"/>
      <c r="T251" s="4" t="str">
        <f t="shared" si="22"/>
        <v/>
      </c>
      <c r="U251" s="4" t="str">
        <f t="shared" si="21"/>
        <v/>
      </c>
    </row>
    <row r="252" spans="1:21" x14ac:dyDescent="0.25">
      <c r="A252" s="50"/>
      <c r="B252" s="51"/>
      <c r="C252" s="2"/>
      <c r="D252" s="54"/>
      <c r="E252" s="51"/>
      <c r="F252" s="2"/>
      <c r="G252" s="54"/>
      <c r="H252" s="51"/>
      <c r="I252" s="2"/>
      <c r="J252" s="54"/>
      <c r="K252" s="52"/>
      <c r="L252" s="55"/>
      <c r="T252" s="4" t="str">
        <f t="shared" si="22"/>
        <v/>
      </c>
      <c r="U252" s="4" t="str">
        <f t="shared" si="21"/>
        <v/>
      </c>
    </row>
    <row r="253" spans="1:21" x14ac:dyDescent="0.25">
      <c r="A253" s="50"/>
      <c r="B253" s="51"/>
      <c r="C253" s="2"/>
      <c r="D253" s="54"/>
      <c r="E253" s="51"/>
      <c r="F253" s="2"/>
      <c r="G253" s="54"/>
      <c r="H253" s="51"/>
      <c r="I253" s="2"/>
      <c r="J253" s="54"/>
      <c r="K253" s="52"/>
      <c r="L253" s="55"/>
      <c r="T253" s="4" t="str">
        <f t="shared" si="22"/>
        <v/>
      </c>
      <c r="U253" s="4" t="str">
        <f t="shared" si="21"/>
        <v/>
      </c>
    </row>
    <row r="254" spans="1:21" x14ac:dyDescent="0.25">
      <c r="A254" s="50"/>
      <c r="B254" s="51"/>
      <c r="C254" s="2"/>
      <c r="D254" s="54"/>
      <c r="E254" s="51"/>
      <c r="F254" s="2"/>
      <c r="G254" s="54"/>
      <c r="H254" s="51"/>
      <c r="I254" s="2"/>
      <c r="J254" s="54"/>
      <c r="K254" s="52"/>
      <c r="L254" s="55"/>
      <c r="T254" s="4" t="str">
        <f t="shared" si="22"/>
        <v/>
      </c>
      <c r="U254" s="4" t="str">
        <f t="shared" si="21"/>
        <v/>
      </c>
    </row>
    <row r="255" spans="1:21" x14ac:dyDescent="0.25">
      <c r="A255" s="50"/>
      <c r="B255" s="51"/>
      <c r="C255" s="2"/>
      <c r="D255" s="54"/>
      <c r="E255" s="51"/>
      <c r="F255" s="2"/>
      <c r="G255" s="54"/>
      <c r="H255" s="51"/>
      <c r="I255" s="2"/>
      <c r="J255" s="54"/>
      <c r="K255" s="52"/>
      <c r="L255" s="55"/>
      <c r="T255" s="4" t="str">
        <f t="shared" si="22"/>
        <v/>
      </c>
      <c r="U255" s="4" t="str">
        <f t="shared" si="21"/>
        <v/>
      </c>
    </row>
    <row r="256" spans="1:21" x14ac:dyDescent="0.25">
      <c r="A256" s="50"/>
      <c r="B256" s="51"/>
      <c r="C256" s="2"/>
      <c r="D256" s="54"/>
      <c r="E256" s="51"/>
      <c r="F256" s="2"/>
      <c r="G256" s="54"/>
      <c r="H256" s="51"/>
      <c r="I256" s="2"/>
      <c r="J256" s="54"/>
      <c r="K256" s="52"/>
      <c r="L256" s="55"/>
      <c r="T256" s="4" t="str">
        <f t="shared" si="22"/>
        <v/>
      </c>
      <c r="U256" s="4" t="str">
        <f t="shared" si="21"/>
        <v/>
      </c>
    </row>
    <row r="257" spans="1:21" x14ac:dyDescent="0.25">
      <c r="A257" s="50"/>
      <c r="B257" s="51"/>
      <c r="C257" s="2"/>
      <c r="D257" s="54"/>
      <c r="E257" s="51"/>
      <c r="F257" s="2"/>
      <c r="G257" s="54"/>
      <c r="H257" s="51"/>
      <c r="I257" s="2"/>
      <c r="J257" s="54"/>
      <c r="K257" s="52"/>
      <c r="L257" s="55"/>
      <c r="T257" s="4" t="str">
        <f t="shared" si="22"/>
        <v/>
      </c>
      <c r="U257" s="4" t="str">
        <f t="shared" si="21"/>
        <v/>
      </c>
    </row>
    <row r="258" spans="1:21" x14ac:dyDescent="0.25">
      <c r="A258" s="50"/>
      <c r="B258" s="51"/>
      <c r="C258" s="2"/>
      <c r="D258" s="54"/>
      <c r="E258" s="51"/>
      <c r="F258" s="2"/>
      <c r="G258" s="54"/>
      <c r="H258" s="51"/>
      <c r="I258" s="2"/>
      <c r="J258" s="54"/>
      <c r="K258" s="52"/>
      <c r="L258" s="55"/>
      <c r="T258" s="4" t="str">
        <f t="shared" si="22"/>
        <v/>
      </c>
      <c r="U258" s="4" t="str">
        <f t="shared" si="21"/>
        <v/>
      </c>
    </row>
    <row r="259" spans="1:21" x14ac:dyDescent="0.25">
      <c r="A259" s="50"/>
      <c r="B259" s="51"/>
      <c r="C259" s="2"/>
      <c r="D259" s="54"/>
      <c r="E259" s="51"/>
      <c r="F259" s="2"/>
      <c r="G259" s="54"/>
      <c r="H259" s="51"/>
      <c r="I259" s="2"/>
      <c r="J259" s="54"/>
      <c r="K259" s="52"/>
      <c r="L259" s="55"/>
      <c r="T259" s="4" t="str">
        <f t="shared" si="22"/>
        <v/>
      </c>
      <c r="U259" s="4" t="str">
        <f t="shared" ref="U259:U322" si="23">IF(T259&gt;$A$14,T259,"")</f>
        <v/>
      </c>
    </row>
    <row r="260" spans="1:21" x14ac:dyDescent="0.25">
      <c r="A260" s="50"/>
      <c r="B260" s="51"/>
      <c r="C260" s="2"/>
      <c r="D260" s="54"/>
      <c r="E260" s="51"/>
      <c r="F260" s="2"/>
      <c r="G260" s="54"/>
      <c r="H260" s="51"/>
      <c r="I260" s="2"/>
      <c r="J260" s="54"/>
      <c r="K260" s="52"/>
      <c r="L260" s="55"/>
      <c r="T260" s="4" t="str">
        <f t="shared" ref="T260:T323" si="24">IF(COUNTIF(P:P,N260)*COUNTIF(R:R,N260),N260,"")</f>
        <v/>
      </c>
      <c r="U260" s="4" t="str">
        <f t="shared" si="23"/>
        <v/>
      </c>
    </row>
    <row r="261" spans="1:21" x14ac:dyDescent="0.25">
      <c r="A261" s="50"/>
      <c r="B261" s="51"/>
      <c r="C261" s="2"/>
      <c r="D261" s="54"/>
      <c r="E261" s="51"/>
      <c r="F261" s="2"/>
      <c r="G261" s="54"/>
      <c r="H261" s="51"/>
      <c r="I261" s="2"/>
      <c r="J261" s="54"/>
      <c r="K261" s="52"/>
      <c r="L261" s="55"/>
      <c r="T261" s="4" t="str">
        <f t="shared" si="24"/>
        <v/>
      </c>
      <c r="U261" s="4" t="str">
        <f t="shared" si="23"/>
        <v/>
      </c>
    </row>
    <row r="262" spans="1:21" x14ac:dyDescent="0.25">
      <c r="A262" s="50"/>
      <c r="B262" s="51"/>
      <c r="C262" s="2"/>
      <c r="D262" s="54"/>
      <c r="E262" s="51"/>
      <c r="F262" s="2"/>
      <c r="G262" s="54"/>
      <c r="H262" s="51"/>
      <c r="I262" s="2"/>
      <c r="J262" s="54"/>
      <c r="K262" s="52"/>
      <c r="L262" s="55"/>
      <c r="T262" s="4" t="str">
        <f t="shared" si="24"/>
        <v/>
      </c>
      <c r="U262" s="4" t="str">
        <f t="shared" si="23"/>
        <v/>
      </c>
    </row>
    <row r="263" spans="1:21" x14ac:dyDescent="0.25">
      <c r="A263" s="50"/>
      <c r="B263" s="51"/>
      <c r="C263" s="2"/>
      <c r="D263" s="54"/>
      <c r="E263" s="51"/>
      <c r="F263" s="2"/>
      <c r="G263" s="54"/>
      <c r="H263" s="51"/>
      <c r="I263" s="2"/>
      <c r="J263" s="54"/>
      <c r="K263" s="52"/>
      <c r="L263" s="55"/>
      <c r="T263" s="4" t="str">
        <f t="shared" si="24"/>
        <v/>
      </c>
      <c r="U263" s="4" t="str">
        <f t="shared" si="23"/>
        <v/>
      </c>
    </row>
    <row r="264" spans="1:21" x14ac:dyDescent="0.25">
      <c r="A264" s="50"/>
      <c r="B264" s="51"/>
      <c r="C264" s="2"/>
      <c r="D264" s="54"/>
      <c r="E264" s="51"/>
      <c r="F264" s="2"/>
      <c r="G264" s="54"/>
      <c r="H264" s="51"/>
      <c r="I264" s="2"/>
      <c r="J264" s="54"/>
      <c r="K264" s="52"/>
      <c r="L264" s="55"/>
      <c r="T264" s="4" t="str">
        <f t="shared" si="24"/>
        <v/>
      </c>
      <c r="U264" s="4" t="str">
        <f t="shared" si="23"/>
        <v/>
      </c>
    </row>
    <row r="265" spans="1:21" x14ac:dyDescent="0.25">
      <c r="A265" s="50"/>
      <c r="B265" s="51"/>
      <c r="C265" s="2"/>
      <c r="D265" s="54"/>
      <c r="E265" s="51"/>
      <c r="F265" s="2"/>
      <c r="G265" s="54"/>
      <c r="H265" s="51"/>
      <c r="I265" s="2"/>
      <c r="J265" s="54"/>
      <c r="K265" s="52"/>
      <c r="L265" s="55"/>
      <c r="T265" s="4" t="str">
        <f t="shared" si="24"/>
        <v/>
      </c>
      <c r="U265" s="4" t="str">
        <f t="shared" si="23"/>
        <v/>
      </c>
    </row>
    <row r="266" spans="1:21" x14ac:dyDescent="0.25">
      <c r="A266" s="50"/>
      <c r="B266" s="51"/>
      <c r="C266" s="2"/>
      <c r="D266" s="54"/>
      <c r="E266" s="51"/>
      <c r="F266" s="2"/>
      <c r="G266" s="54"/>
      <c r="H266" s="51"/>
      <c r="I266" s="2"/>
      <c r="J266" s="54"/>
      <c r="K266" s="52"/>
      <c r="L266" s="55"/>
      <c r="T266" s="4" t="str">
        <f t="shared" si="24"/>
        <v/>
      </c>
      <c r="U266" s="4" t="str">
        <f t="shared" si="23"/>
        <v/>
      </c>
    </row>
    <row r="267" spans="1:21" x14ac:dyDescent="0.25">
      <c r="A267" s="50"/>
      <c r="B267" s="51"/>
      <c r="C267" s="2"/>
      <c r="D267" s="54"/>
      <c r="E267" s="51"/>
      <c r="F267" s="2"/>
      <c r="G267" s="54"/>
      <c r="H267" s="51"/>
      <c r="I267" s="2"/>
      <c r="J267" s="54"/>
      <c r="K267" s="52"/>
      <c r="L267" s="55"/>
      <c r="T267" s="4" t="str">
        <f t="shared" si="24"/>
        <v/>
      </c>
      <c r="U267" s="4" t="str">
        <f t="shared" si="23"/>
        <v/>
      </c>
    </row>
    <row r="268" spans="1:21" x14ac:dyDescent="0.25">
      <c r="A268" s="50"/>
      <c r="B268" s="51"/>
      <c r="C268" s="2"/>
      <c r="D268" s="54"/>
      <c r="E268" s="51"/>
      <c r="F268" s="2"/>
      <c r="G268" s="54"/>
      <c r="H268" s="51"/>
      <c r="I268" s="2"/>
      <c r="J268" s="54"/>
      <c r="K268" s="52"/>
      <c r="L268" s="55"/>
      <c r="T268" s="4" t="str">
        <f t="shared" si="24"/>
        <v/>
      </c>
      <c r="U268" s="4" t="str">
        <f t="shared" si="23"/>
        <v/>
      </c>
    </row>
    <row r="269" spans="1:21" x14ac:dyDescent="0.25">
      <c r="A269" s="50"/>
      <c r="B269" s="51"/>
      <c r="C269" s="2"/>
      <c r="D269" s="54"/>
      <c r="E269" s="51"/>
      <c r="F269" s="2"/>
      <c r="G269" s="54"/>
      <c r="H269" s="51"/>
      <c r="I269" s="2"/>
      <c r="J269" s="54"/>
      <c r="K269" s="52"/>
      <c r="L269" s="55"/>
      <c r="T269" s="4" t="str">
        <f t="shared" si="24"/>
        <v/>
      </c>
      <c r="U269" s="4" t="str">
        <f t="shared" si="23"/>
        <v/>
      </c>
    </row>
    <row r="270" spans="1:21" x14ac:dyDescent="0.25">
      <c r="A270" s="50"/>
      <c r="B270" s="51"/>
      <c r="C270" s="2"/>
      <c r="D270" s="54"/>
      <c r="E270" s="51"/>
      <c r="F270" s="2"/>
      <c r="G270" s="54"/>
      <c r="H270" s="51"/>
      <c r="I270" s="2"/>
      <c r="J270" s="54"/>
      <c r="K270" s="52"/>
      <c r="L270" s="55"/>
      <c r="T270" s="4" t="str">
        <f t="shared" si="24"/>
        <v/>
      </c>
      <c r="U270" s="4" t="str">
        <f t="shared" si="23"/>
        <v/>
      </c>
    </row>
    <row r="271" spans="1:21" x14ac:dyDescent="0.25">
      <c r="A271" s="50"/>
      <c r="B271" s="51"/>
      <c r="C271" s="2"/>
      <c r="D271" s="54"/>
      <c r="E271" s="51"/>
      <c r="F271" s="2"/>
      <c r="G271" s="54"/>
      <c r="H271" s="51"/>
      <c r="I271" s="2"/>
      <c r="J271" s="54"/>
      <c r="K271" s="52"/>
      <c r="L271" s="55"/>
      <c r="T271" s="4" t="str">
        <f t="shared" si="24"/>
        <v/>
      </c>
      <c r="U271" s="4" t="str">
        <f t="shared" si="23"/>
        <v/>
      </c>
    </row>
    <row r="272" spans="1:21" x14ac:dyDescent="0.25">
      <c r="A272" s="50"/>
      <c r="B272" s="51"/>
      <c r="C272" s="2"/>
      <c r="D272" s="54"/>
      <c r="E272" s="51"/>
      <c r="F272" s="2"/>
      <c r="G272" s="54"/>
      <c r="H272" s="51"/>
      <c r="I272" s="2"/>
      <c r="J272" s="54"/>
      <c r="K272" s="52"/>
      <c r="L272" s="55"/>
      <c r="T272" s="4" t="str">
        <f t="shared" si="24"/>
        <v/>
      </c>
      <c r="U272" s="4" t="str">
        <f t="shared" si="23"/>
        <v/>
      </c>
    </row>
    <row r="273" spans="1:21" x14ac:dyDescent="0.25">
      <c r="A273" s="50"/>
      <c r="B273" s="51"/>
      <c r="C273" s="2"/>
      <c r="D273" s="54"/>
      <c r="E273" s="51"/>
      <c r="F273" s="2"/>
      <c r="G273" s="54"/>
      <c r="H273" s="51"/>
      <c r="I273" s="2"/>
      <c r="J273" s="54"/>
      <c r="K273" s="52"/>
      <c r="L273" s="55"/>
      <c r="T273" s="4" t="str">
        <f t="shared" si="24"/>
        <v/>
      </c>
      <c r="U273" s="4" t="str">
        <f t="shared" si="23"/>
        <v/>
      </c>
    </row>
    <row r="274" spans="1:21" x14ac:dyDescent="0.25">
      <c r="A274" s="50"/>
      <c r="B274" s="51"/>
      <c r="C274" s="2"/>
      <c r="D274" s="54"/>
      <c r="E274" s="51"/>
      <c r="F274" s="2"/>
      <c r="G274" s="54"/>
      <c r="H274" s="51"/>
      <c r="I274" s="2"/>
      <c r="J274" s="54"/>
      <c r="K274" s="52"/>
      <c r="L274" s="55"/>
      <c r="T274" s="4" t="str">
        <f t="shared" si="24"/>
        <v/>
      </c>
      <c r="U274" s="4" t="str">
        <f t="shared" si="23"/>
        <v/>
      </c>
    </row>
    <row r="275" spans="1:21" x14ac:dyDescent="0.25">
      <c r="A275" s="50"/>
      <c r="B275" s="51"/>
      <c r="C275" s="2"/>
      <c r="D275" s="54"/>
      <c r="E275" s="51"/>
      <c r="F275" s="2"/>
      <c r="G275" s="54"/>
      <c r="H275" s="51"/>
      <c r="I275" s="2"/>
      <c r="J275" s="54"/>
      <c r="K275" s="52"/>
      <c r="L275" s="55"/>
      <c r="T275" s="4" t="str">
        <f t="shared" si="24"/>
        <v/>
      </c>
      <c r="U275" s="4" t="str">
        <f t="shared" si="23"/>
        <v/>
      </c>
    </row>
    <row r="276" spans="1:21" x14ac:dyDescent="0.25">
      <c r="A276" s="50"/>
      <c r="B276" s="51"/>
      <c r="C276" s="2"/>
      <c r="D276" s="54"/>
      <c r="E276" s="51"/>
      <c r="F276" s="2"/>
      <c r="G276" s="54"/>
      <c r="H276" s="51"/>
      <c r="I276" s="2"/>
      <c r="J276" s="54"/>
      <c r="K276" s="52"/>
      <c r="L276" s="55"/>
      <c r="T276" s="4" t="str">
        <f t="shared" si="24"/>
        <v/>
      </c>
      <c r="U276" s="4" t="str">
        <f t="shared" si="23"/>
        <v/>
      </c>
    </row>
    <row r="277" spans="1:21" x14ac:dyDescent="0.25">
      <c r="A277" s="50"/>
      <c r="B277" s="51"/>
      <c r="C277" s="2"/>
      <c r="D277" s="54"/>
      <c r="E277" s="51"/>
      <c r="F277" s="2"/>
      <c r="G277" s="54"/>
      <c r="H277" s="51"/>
      <c r="I277" s="2"/>
      <c r="J277" s="54"/>
      <c r="K277" s="52"/>
      <c r="L277" s="55"/>
      <c r="T277" s="4" t="str">
        <f t="shared" si="24"/>
        <v/>
      </c>
      <c r="U277" s="4" t="str">
        <f t="shared" si="23"/>
        <v/>
      </c>
    </row>
    <row r="278" spans="1:21" x14ac:dyDescent="0.25">
      <c r="A278" s="50"/>
      <c r="B278" s="51"/>
      <c r="C278" s="2"/>
      <c r="D278" s="54"/>
      <c r="E278" s="51"/>
      <c r="F278" s="2"/>
      <c r="G278" s="54"/>
      <c r="H278" s="51"/>
      <c r="I278" s="2"/>
      <c r="J278" s="54"/>
      <c r="K278" s="52"/>
      <c r="L278" s="55"/>
      <c r="T278" s="4" t="str">
        <f t="shared" si="24"/>
        <v/>
      </c>
      <c r="U278" s="4" t="str">
        <f t="shared" si="23"/>
        <v/>
      </c>
    </row>
    <row r="279" spans="1:21" x14ac:dyDescent="0.25">
      <c r="A279" s="50"/>
      <c r="B279" s="51"/>
      <c r="C279" s="2"/>
      <c r="D279" s="54"/>
      <c r="E279" s="51"/>
      <c r="F279" s="2"/>
      <c r="G279" s="54"/>
      <c r="H279" s="51"/>
      <c r="I279" s="2"/>
      <c r="J279" s="54"/>
      <c r="K279" s="52"/>
      <c r="L279" s="55"/>
      <c r="T279" s="4" t="str">
        <f t="shared" si="24"/>
        <v/>
      </c>
      <c r="U279" s="4" t="str">
        <f t="shared" si="23"/>
        <v/>
      </c>
    </row>
    <row r="280" spans="1:21" x14ac:dyDescent="0.25">
      <c r="A280" s="50"/>
      <c r="B280" s="51"/>
      <c r="C280" s="2"/>
      <c r="D280" s="54"/>
      <c r="E280" s="51"/>
      <c r="F280" s="2"/>
      <c r="G280" s="54"/>
      <c r="H280" s="51"/>
      <c r="I280" s="2"/>
      <c r="J280" s="54"/>
      <c r="K280" s="52"/>
      <c r="L280" s="55"/>
      <c r="T280" s="4" t="str">
        <f t="shared" si="24"/>
        <v/>
      </c>
      <c r="U280" s="4" t="str">
        <f t="shared" si="23"/>
        <v/>
      </c>
    </row>
    <row r="281" spans="1:21" x14ac:dyDescent="0.25">
      <c r="A281" s="50"/>
      <c r="B281" s="51"/>
      <c r="C281" s="2"/>
      <c r="D281" s="54"/>
      <c r="E281" s="51"/>
      <c r="F281" s="2"/>
      <c r="G281" s="54"/>
      <c r="H281" s="51"/>
      <c r="I281" s="2"/>
      <c r="J281" s="54"/>
      <c r="K281" s="52"/>
      <c r="L281" s="55"/>
      <c r="T281" s="4" t="str">
        <f t="shared" si="24"/>
        <v/>
      </c>
      <c r="U281" s="4" t="str">
        <f t="shared" si="23"/>
        <v/>
      </c>
    </row>
    <row r="282" spans="1:21" x14ac:dyDescent="0.25">
      <c r="A282" s="50"/>
      <c r="B282" s="51"/>
      <c r="C282" s="2"/>
      <c r="D282" s="54"/>
      <c r="E282" s="51"/>
      <c r="F282" s="2"/>
      <c r="G282" s="54"/>
      <c r="H282" s="51"/>
      <c r="I282" s="2"/>
      <c r="J282" s="54"/>
      <c r="K282" s="52"/>
      <c r="L282" s="55"/>
      <c r="T282" s="4" t="str">
        <f t="shared" si="24"/>
        <v/>
      </c>
      <c r="U282" s="4" t="str">
        <f t="shared" si="23"/>
        <v/>
      </c>
    </row>
    <row r="283" spans="1:21" x14ac:dyDescent="0.25">
      <c r="A283" s="50"/>
      <c r="B283" s="51"/>
      <c r="C283" s="2"/>
      <c r="D283" s="54"/>
      <c r="E283" s="51"/>
      <c r="F283" s="2"/>
      <c r="G283" s="54"/>
      <c r="H283" s="51"/>
      <c r="I283" s="2"/>
      <c r="J283" s="54"/>
      <c r="K283" s="52"/>
      <c r="L283" s="55"/>
      <c r="T283" s="4" t="str">
        <f t="shared" si="24"/>
        <v/>
      </c>
      <c r="U283" s="4" t="str">
        <f t="shared" si="23"/>
        <v/>
      </c>
    </row>
    <row r="284" spans="1:21" x14ac:dyDescent="0.25">
      <c r="A284" s="50"/>
      <c r="B284" s="51"/>
      <c r="C284" s="2"/>
      <c r="D284" s="54"/>
      <c r="E284" s="51"/>
      <c r="F284" s="2"/>
      <c r="G284" s="54"/>
      <c r="H284" s="51"/>
      <c r="I284" s="2"/>
      <c r="J284" s="54"/>
      <c r="K284" s="52"/>
      <c r="L284" s="55"/>
      <c r="T284" s="4" t="str">
        <f t="shared" si="24"/>
        <v/>
      </c>
      <c r="U284" s="4" t="str">
        <f t="shared" si="23"/>
        <v/>
      </c>
    </row>
    <row r="285" spans="1:21" x14ac:dyDescent="0.25">
      <c r="A285" s="50"/>
      <c r="B285" s="51"/>
      <c r="C285" s="2"/>
      <c r="D285" s="54"/>
      <c r="E285" s="51"/>
      <c r="F285" s="2"/>
      <c r="G285" s="54"/>
      <c r="H285" s="51"/>
      <c r="I285" s="2"/>
      <c r="J285" s="54"/>
      <c r="K285" s="52"/>
      <c r="L285" s="55"/>
      <c r="T285" s="4" t="str">
        <f t="shared" si="24"/>
        <v/>
      </c>
      <c r="U285" s="4" t="str">
        <f t="shared" si="23"/>
        <v/>
      </c>
    </row>
    <row r="286" spans="1:21" x14ac:dyDescent="0.25">
      <c r="A286" s="50"/>
      <c r="B286" s="51"/>
      <c r="C286" s="2"/>
      <c r="D286" s="54"/>
      <c r="E286" s="51"/>
      <c r="F286" s="2"/>
      <c r="G286" s="54"/>
      <c r="H286" s="51"/>
      <c r="I286" s="2"/>
      <c r="J286" s="54"/>
      <c r="K286" s="52"/>
      <c r="L286" s="55"/>
      <c r="T286" s="4" t="str">
        <f t="shared" si="24"/>
        <v/>
      </c>
      <c r="U286" s="4" t="str">
        <f t="shared" si="23"/>
        <v/>
      </c>
    </row>
    <row r="287" spans="1:21" x14ac:dyDescent="0.25">
      <c r="A287" s="50"/>
      <c r="B287" s="51"/>
      <c r="C287" s="2"/>
      <c r="D287" s="54"/>
      <c r="E287" s="51"/>
      <c r="F287" s="2"/>
      <c r="G287" s="54"/>
      <c r="H287" s="51"/>
      <c r="I287" s="2"/>
      <c r="J287" s="54"/>
      <c r="K287" s="52"/>
      <c r="L287" s="55"/>
      <c r="T287" s="4" t="str">
        <f t="shared" si="24"/>
        <v/>
      </c>
      <c r="U287" s="4" t="str">
        <f t="shared" si="23"/>
        <v/>
      </c>
    </row>
    <row r="288" spans="1:21" x14ac:dyDescent="0.25">
      <c r="A288" s="50"/>
      <c r="B288" s="51"/>
      <c r="C288" s="2"/>
      <c r="D288" s="54"/>
      <c r="E288" s="51"/>
      <c r="F288" s="2"/>
      <c r="G288" s="54"/>
      <c r="H288" s="51"/>
      <c r="I288" s="2"/>
      <c r="J288" s="54"/>
      <c r="K288" s="52"/>
      <c r="L288" s="55"/>
      <c r="T288" s="4" t="str">
        <f t="shared" si="24"/>
        <v/>
      </c>
      <c r="U288" s="4" t="str">
        <f t="shared" si="23"/>
        <v/>
      </c>
    </row>
    <row r="289" spans="1:21" x14ac:dyDescent="0.25">
      <c r="A289" s="50"/>
      <c r="B289" s="51"/>
      <c r="C289" s="2"/>
      <c r="D289" s="54"/>
      <c r="E289" s="51"/>
      <c r="F289" s="2"/>
      <c r="G289" s="54"/>
      <c r="H289" s="51"/>
      <c r="I289" s="2"/>
      <c r="J289" s="54"/>
      <c r="K289" s="52"/>
      <c r="L289" s="55"/>
      <c r="T289" s="4" t="str">
        <f t="shared" si="24"/>
        <v/>
      </c>
      <c r="U289" s="4" t="str">
        <f t="shared" si="23"/>
        <v/>
      </c>
    </row>
    <row r="290" spans="1:21" x14ac:dyDescent="0.25">
      <c r="A290" s="50"/>
      <c r="B290" s="51"/>
      <c r="C290" s="2"/>
      <c r="D290" s="54"/>
      <c r="E290" s="51"/>
      <c r="F290" s="2"/>
      <c r="G290" s="54"/>
      <c r="H290" s="51"/>
      <c r="I290" s="2"/>
      <c r="J290" s="54"/>
      <c r="K290" s="52"/>
      <c r="L290" s="55"/>
      <c r="T290" s="4" t="str">
        <f t="shared" si="24"/>
        <v/>
      </c>
      <c r="U290" s="4" t="str">
        <f t="shared" si="23"/>
        <v/>
      </c>
    </row>
    <row r="291" spans="1:21" x14ac:dyDescent="0.25">
      <c r="A291" s="50"/>
      <c r="B291" s="51"/>
      <c r="C291" s="2"/>
      <c r="D291" s="54"/>
      <c r="E291" s="51"/>
      <c r="F291" s="2"/>
      <c r="G291" s="54"/>
      <c r="H291" s="51"/>
      <c r="I291" s="2"/>
      <c r="J291" s="54"/>
      <c r="K291" s="52"/>
      <c r="L291" s="55"/>
      <c r="T291" s="4" t="str">
        <f t="shared" si="24"/>
        <v/>
      </c>
      <c r="U291" s="4" t="str">
        <f t="shared" si="23"/>
        <v/>
      </c>
    </row>
    <row r="292" spans="1:21" x14ac:dyDescent="0.25">
      <c r="A292" s="50"/>
      <c r="B292" s="51"/>
      <c r="C292" s="2"/>
      <c r="D292" s="54"/>
      <c r="E292" s="51"/>
      <c r="F292" s="2"/>
      <c r="G292" s="54"/>
      <c r="H292" s="51"/>
      <c r="I292" s="2"/>
      <c r="J292" s="54"/>
      <c r="K292" s="52"/>
      <c r="L292" s="55"/>
      <c r="T292" s="4" t="str">
        <f t="shared" si="24"/>
        <v/>
      </c>
      <c r="U292" s="4" t="str">
        <f t="shared" si="23"/>
        <v/>
      </c>
    </row>
    <row r="293" spans="1:21" x14ac:dyDescent="0.25">
      <c r="A293" s="50"/>
      <c r="B293" s="51"/>
      <c r="C293" s="2"/>
      <c r="D293" s="54"/>
      <c r="E293" s="51"/>
      <c r="F293" s="2"/>
      <c r="G293" s="54"/>
      <c r="H293" s="51"/>
      <c r="I293" s="2"/>
      <c r="J293" s="54"/>
      <c r="K293" s="52"/>
      <c r="L293" s="55"/>
      <c r="T293" s="4" t="str">
        <f t="shared" si="24"/>
        <v/>
      </c>
      <c r="U293" s="4" t="str">
        <f t="shared" si="23"/>
        <v/>
      </c>
    </row>
    <row r="294" spans="1:21" x14ac:dyDescent="0.25">
      <c r="A294" s="50"/>
      <c r="B294" s="51"/>
      <c r="C294" s="2"/>
      <c r="D294" s="54"/>
      <c r="E294" s="51"/>
      <c r="F294" s="2"/>
      <c r="G294" s="54"/>
      <c r="H294" s="51"/>
      <c r="I294" s="2"/>
      <c r="J294" s="54"/>
      <c r="K294" s="52"/>
      <c r="L294" s="55"/>
      <c r="T294" s="4" t="str">
        <f t="shared" si="24"/>
        <v/>
      </c>
      <c r="U294" s="4" t="str">
        <f t="shared" si="23"/>
        <v/>
      </c>
    </row>
    <row r="295" spans="1:21" x14ac:dyDescent="0.25">
      <c r="A295" s="50"/>
      <c r="B295" s="51"/>
      <c r="C295" s="2"/>
      <c r="D295" s="54"/>
      <c r="E295" s="51"/>
      <c r="F295" s="2"/>
      <c r="G295" s="54"/>
      <c r="H295" s="51"/>
      <c r="I295" s="2"/>
      <c r="J295" s="54"/>
      <c r="K295" s="52"/>
      <c r="L295" s="55"/>
      <c r="T295" s="4" t="str">
        <f t="shared" si="24"/>
        <v/>
      </c>
      <c r="U295" s="4" t="str">
        <f t="shared" si="23"/>
        <v/>
      </c>
    </row>
    <row r="296" spans="1:21" x14ac:dyDescent="0.25">
      <c r="A296" s="50"/>
      <c r="B296" s="51"/>
      <c r="C296" s="2"/>
      <c r="D296" s="54"/>
      <c r="E296" s="51"/>
      <c r="F296" s="2"/>
      <c r="G296" s="54"/>
      <c r="H296" s="51"/>
      <c r="I296" s="2"/>
      <c r="J296" s="54"/>
      <c r="K296" s="52"/>
      <c r="L296" s="55"/>
      <c r="T296" s="4" t="str">
        <f t="shared" si="24"/>
        <v/>
      </c>
      <c r="U296" s="4" t="str">
        <f t="shared" si="23"/>
        <v/>
      </c>
    </row>
    <row r="297" spans="1:21" x14ac:dyDescent="0.25">
      <c r="A297" s="50"/>
      <c r="B297" s="51"/>
      <c r="C297" s="2"/>
      <c r="D297" s="54"/>
      <c r="E297" s="51"/>
      <c r="F297" s="2"/>
      <c r="G297" s="54"/>
      <c r="H297" s="51"/>
      <c r="I297" s="2"/>
      <c r="J297" s="54"/>
      <c r="K297" s="52"/>
      <c r="L297" s="55"/>
      <c r="T297" s="4" t="str">
        <f t="shared" si="24"/>
        <v/>
      </c>
      <c r="U297" s="4" t="str">
        <f t="shared" si="23"/>
        <v/>
      </c>
    </row>
    <row r="298" spans="1:21" x14ac:dyDescent="0.25">
      <c r="A298" s="50"/>
      <c r="B298" s="51"/>
      <c r="C298" s="2"/>
      <c r="D298" s="54"/>
      <c r="E298" s="51"/>
      <c r="F298" s="2"/>
      <c r="G298" s="54"/>
      <c r="H298" s="51"/>
      <c r="I298" s="2"/>
      <c r="J298" s="54"/>
      <c r="K298" s="52"/>
      <c r="L298" s="55"/>
      <c r="T298" s="4" t="str">
        <f t="shared" si="24"/>
        <v/>
      </c>
      <c r="U298" s="4" t="str">
        <f t="shared" si="23"/>
        <v/>
      </c>
    </row>
    <row r="299" spans="1:21" x14ac:dyDescent="0.25">
      <c r="A299" s="50"/>
      <c r="B299" s="51"/>
      <c r="C299" s="2"/>
      <c r="D299" s="54"/>
      <c r="E299" s="51"/>
      <c r="F299" s="2"/>
      <c r="G299" s="54"/>
      <c r="H299" s="51"/>
      <c r="I299" s="2"/>
      <c r="J299" s="54"/>
      <c r="K299" s="52"/>
      <c r="L299" s="55"/>
      <c r="T299" s="4" t="str">
        <f t="shared" si="24"/>
        <v/>
      </c>
      <c r="U299" s="4" t="str">
        <f t="shared" si="23"/>
        <v/>
      </c>
    </row>
    <row r="300" spans="1:21" x14ac:dyDescent="0.25">
      <c r="A300" s="50"/>
      <c r="B300" s="51"/>
      <c r="C300" s="2"/>
      <c r="D300" s="54"/>
      <c r="E300" s="51"/>
      <c r="F300" s="2"/>
      <c r="G300" s="54"/>
      <c r="H300" s="51"/>
      <c r="I300" s="2"/>
      <c r="J300" s="54"/>
      <c r="K300" s="52"/>
      <c r="L300" s="55"/>
      <c r="T300" s="4" t="str">
        <f t="shared" si="24"/>
        <v/>
      </c>
      <c r="U300" s="4" t="str">
        <f t="shared" si="23"/>
        <v/>
      </c>
    </row>
    <row r="301" spans="1:21" x14ac:dyDescent="0.25">
      <c r="A301" s="50"/>
      <c r="B301" s="51"/>
      <c r="C301" s="2"/>
      <c r="D301" s="54"/>
      <c r="E301" s="51"/>
      <c r="F301" s="2"/>
      <c r="G301" s="54"/>
      <c r="H301" s="51"/>
      <c r="I301" s="2"/>
      <c r="J301" s="54"/>
      <c r="K301" s="52"/>
      <c r="L301" s="55"/>
      <c r="T301" s="4" t="str">
        <f t="shared" si="24"/>
        <v/>
      </c>
      <c r="U301" s="4" t="str">
        <f t="shared" si="23"/>
        <v/>
      </c>
    </row>
    <row r="302" spans="1:21" x14ac:dyDescent="0.25">
      <c r="A302" s="50"/>
      <c r="B302" s="51"/>
      <c r="C302" s="2"/>
      <c r="D302" s="54"/>
      <c r="E302" s="51"/>
      <c r="F302" s="2"/>
      <c r="G302" s="54"/>
      <c r="H302" s="51"/>
      <c r="I302" s="2"/>
      <c r="J302" s="54"/>
      <c r="K302" s="52"/>
      <c r="L302" s="55"/>
      <c r="T302" s="4" t="str">
        <f t="shared" si="24"/>
        <v/>
      </c>
      <c r="U302" s="4" t="str">
        <f t="shared" si="23"/>
        <v/>
      </c>
    </row>
    <row r="303" spans="1:21" x14ac:dyDescent="0.25">
      <c r="A303" s="50"/>
      <c r="B303" s="51"/>
      <c r="C303" s="2"/>
      <c r="D303" s="54"/>
      <c r="E303" s="51"/>
      <c r="F303" s="2"/>
      <c r="G303" s="54"/>
      <c r="H303" s="51"/>
      <c r="I303" s="2"/>
      <c r="J303" s="54"/>
      <c r="K303" s="52"/>
      <c r="L303" s="55"/>
      <c r="T303" s="4" t="str">
        <f t="shared" si="24"/>
        <v/>
      </c>
      <c r="U303" s="4" t="str">
        <f t="shared" si="23"/>
        <v/>
      </c>
    </row>
    <row r="304" spans="1:21" x14ac:dyDescent="0.25">
      <c r="A304" s="50"/>
      <c r="B304" s="51"/>
      <c r="C304" s="2"/>
      <c r="D304" s="54"/>
      <c r="E304" s="51"/>
      <c r="F304" s="2"/>
      <c r="G304" s="54"/>
      <c r="H304" s="51"/>
      <c r="I304" s="2"/>
      <c r="J304" s="54"/>
      <c r="K304" s="52"/>
      <c r="L304" s="55"/>
      <c r="T304" s="4" t="str">
        <f t="shared" si="24"/>
        <v/>
      </c>
      <c r="U304" s="4" t="str">
        <f t="shared" si="23"/>
        <v/>
      </c>
    </row>
    <row r="305" spans="1:21" x14ac:dyDescent="0.25">
      <c r="A305" s="50"/>
      <c r="B305" s="51"/>
      <c r="C305" s="2"/>
      <c r="D305" s="54"/>
      <c r="E305" s="51"/>
      <c r="F305" s="2"/>
      <c r="G305" s="54"/>
      <c r="H305" s="51"/>
      <c r="I305" s="2"/>
      <c r="J305" s="54"/>
      <c r="K305" s="52"/>
      <c r="L305" s="55"/>
      <c r="T305" s="4" t="str">
        <f t="shared" si="24"/>
        <v/>
      </c>
      <c r="U305" s="4" t="str">
        <f t="shared" si="23"/>
        <v/>
      </c>
    </row>
    <row r="306" spans="1:21" x14ac:dyDescent="0.25">
      <c r="A306" s="50"/>
      <c r="B306" s="51"/>
      <c r="C306" s="2"/>
      <c r="D306" s="54"/>
      <c r="E306" s="51"/>
      <c r="F306" s="2"/>
      <c r="G306" s="54"/>
      <c r="H306" s="51"/>
      <c r="I306" s="2"/>
      <c r="J306" s="54"/>
      <c r="K306" s="52"/>
      <c r="L306" s="55"/>
      <c r="T306" s="4" t="str">
        <f t="shared" si="24"/>
        <v/>
      </c>
      <c r="U306" s="4" t="str">
        <f t="shared" si="23"/>
        <v/>
      </c>
    </row>
    <row r="307" spans="1:21" x14ac:dyDescent="0.25">
      <c r="A307" s="50"/>
      <c r="B307" s="51"/>
      <c r="C307" s="2"/>
      <c r="D307" s="54"/>
      <c r="E307" s="51"/>
      <c r="F307" s="2"/>
      <c r="G307" s="54"/>
      <c r="H307" s="51"/>
      <c r="I307" s="2"/>
      <c r="J307" s="54"/>
      <c r="K307" s="52"/>
      <c r="L307" s="55"/>
      <c r="T307" s="4" t="str">
        <f t="shared" si="24"/>
        <v/>
      </c>
      <c r="U307" s="4" t="str">
        <f t="shared" si="23"/>
        <v/>
      </c>
    </row>
    <row r="308" spans="1:21" x14ac:dyDescent="0.25">
      <c r="A308" s="50"/>
      <c r="B308" s="51"/>
      <c r="C308" s="2"/>
      <c r="D308" s="54"/>
      <c r="E308" s="51"/>
      <c r="F308" s="2"/>
      <c r="G308" s="54"/>
      <c r="H308" s="51"/>
      <c r="I308" s="2"/>
      <c r="J308" s="54"/>
      <c r="K308" s="52"/>
      <c r="L308" s="55"/>
      <c r="T308" s="4" t="str">
        <f t="shared" si="24"/>
        <v/>
      </c>
      <c r="U308" s="4" t="str">
        <f t="shared" si="23"/>
        <v/>
      </c>
    </row>
    <row r="309" spans="1:21" x14ac:dyDescent="0.25">
      <c r="A309" s="50"/>
      <c r="B309" s="51"/>
      <c r="C309" s="2"/>
      <c r="D309" s="54"/>
      <c r="E309" s="51"/>
      <c r="F309" s="2"/>
      <c r="G309" s="54"/>
      <c r="H309" s="51"/>
      <c r="I309" s="2"/>
      <c r="J309" s="54"/>
      <c r="K309" s="52"/>
      <c r="L309" s="55"/>
      <c r="T309" s="4" t="str">
        <f t="shared" si="24"/>
        <v/>
      </c>
      <c r="U309" s="4" t="str">
        <f t="shared" si="23"/>
        <v/>
      </c>
    </row>
    <row r="310" spans="1:21" x14ac:dyDescent="0.25">
      <c r="A310" s="50"/>
      <c r="B310" s="51"/>
      <c r="C310" s="2"/>
      <c r="D310" s="54"/>
      <c r="E310" s="51"/>
      <c r="F310" s="2"/>
      <c r="G310" s="54"/>
      <c r="H310" s="51"/>
      <c r="I310" s="2"/>
      <c r="J310" s="54"/>
      <c r="K310" s="52"/>
      <c r="L310" s="55"/>
      <c r="T310" s="4" t="str">
        <f t="shared" si="24"/>
        <v/>
      </c>
      <c r="U310" s="4" t="str">
        <f t="shared" si="23"/>
        <v/>
      </c>
    </row>
    <row r="311" spans="1:21" x14ac:dyDescent="0.25">
      <c r="A311" s="50"/>
      <c r="B311" s="51"/>
      <c r="C311" s="2"/>
      <c r="D311" s="54"/>
      <c r="E311" s="51"/>
      <c r="F311" s="2"/>
      <c r="G311" s="54"/>
      <c r="H311" s="51"/>
      <c r="I311" s="2"/>
      <c r="J311" s="54"/>
      <c r="K311" s="52"/>
      <c r="L311" s="55"/>
      <c r="T311" s="4" t="str">
        <f t="shared" si="24"/>
        <v/>
      </c>
      <c r="U311" s="4" t="str">
        <f t="shared" si="23"/>
        <v/>
      </c>
    </row>
    <row r="312" spans="1:21" x14ac:dyDescent="0.25">
      <c r="A312" s="50"/>
      <c r="B312" s="51"/>
      <c r="C312" s="2"/>
      <c r="D312" s="54"/>
      <c r="E312" s="51"/>
      <c r="F312" s="2"/>
      <c r="G312" s="54"/>
      <c r="H312" s="51"/>
      <c r="I312" s="2"/>
      <c r="J312" s="54"/>
      <c r="K312" s="52"/>
      <c r="L312" s="55"/>
      <c r="T312" s="4" t="str">
        <f t="shared" si="24"/>
        <v/>
      </c>
      <c r="U312" s="4" t="str">
        <f t="shared" si="23"/>
        <v/>
      </c>
    </row>
    <row r="313" spans="1:21" x14ac:dyDescent="0.25">
      <c r="A313" s="50"/>
      <c r="B313" s="51"/>
      <c r="C313" s="2"/>
      <c r="D313" s="54"/>
      <c r="E313" s="51"/>
      <c r="F313" s="2"/>
      <c r="G313" s="54"/>
      <c r="H313" s="51"/>
      <c r="I313" s="2"/>
      <c r="J313" s="54"/>
      <c r="K313" s="52"/>
      <c r="L313" s="55"/>
      <c r="T313" s="4" t="str">
        <f t="shared" si="24"/>
        <v/>
      </c>
      <c r="U313" s="4" t="str">
        <f t="shared" si="23"/>
        <v/>
      </c>
    </row>
    <row r="314" spans="1:21" x14ac:dyDescent="0.25">
      <c r="A314" s="50"/>
      <c r="B314" s="51"/>
      <c r="C314" s="2"/>
      <c r="D314" s="54"/>
      <c r="E314" s="51"/>
      <c r="F314" s="2"/>
      <c r="G314" s="54"/>
      <c r="H314" s="51"/>
      <c r="I314" s="2"/>
      <c r="J314" s="54"/>
      <c r="K314" s="52"/>
      <c r="L314" s="55"/>
      <c r="T314" s="4" t="str">
        <f t="shared" si="24"/>
        <v/>
      </c>
      <c r="U314" s="4" t="str">
        <f t="shared" si="23"/>
        <v/>
      </c>
    </row>
    <row r="315" spans="1:21" x14ac:dyDescent="0.25">
      <c r="A315" s="50"/>
      <c r="B315" s="51"/>
      <c r="C315" s="2"/>
      <c r="D315" s="54"/>
      <c r="E315" s="51"/>
      <c r="F315" s="2"/>
      <c r="G315" s="54"/>
      <c r="H315" s="51"/>
      <c r="I315" s="2"/>
      <c r="J315" s="54"/>
      <c r="K315" s="52"/>
      <c r="L315" s="55"/>
      <c r="T315" s="4" t="str">
        <f t="shared" si="24"/>
        <v/>
      </c>
      <c r="U315" s="4" t="str">
        <f t="shared" si="23"/>
        <v/>
      </c>
    </row>
    <row r="316" spans="1:21" x14ac:dyDescent="0.25">
      <c r="A316" s="50"/>
      <c r="B316" s="51"/>
      <c r="C316" s="2"/>
      <c r="D316" s="54"/>
      <c r="E316" s="51"/>
      <c r="F316" s="2"/>
      <c r="G316" s="54"/>
      <c r="H316" s="51"/>
      <c r="I316" s="2"/>
      <c r="J316" s="54"/>
      <c r="K316" s="52"/>
      <c r="L316" s="55"/>
      <c r="T316" s="4" t="str">
        <f t="shared" si="24"/>
        <v/>
      </c>
      <c r="U316" s="4" t="str">
        <f t="shared" si="23"/>
        <v/>
      </c>
    </row>
    <row r="317" spans="1:21" x14ac:dyDescent="0.25">
      <c r="A317" s="50"/>
      <c r="B317" s="51"/>
      <c r="C317" s="2"/>
      <c r="D317" s="54"/>
      <c r="E317" s="51"/>
      <c r="F317" s="2"/>
      <c r="G317" s="54"/>
      <c r="H317" s="51"/>
      <c r="I317" s="2"/>
      <c r="J317" s="54"/>
      <c r="K317" s="52"/>
      <c r="L317" s="55"/>
      <c r="T317" s="4" t="str">
        <f t="shared" si="24"/>
        <v/>
      </c>
      <c r="U317" s="4" t="str">
        <f t="shared" si="23"/>
        <v/>
      </c>
    </row>
    <row r="318" spans="1:21" x14ac:dyDescent="0.25">
      <c r="A318" s="50"/>
      <c r="B318" s="51"/>
      <c r="C318" s="2"/>
      <c r="D318" s="54"/>
      <c r="E318" s="51"/>
      <c r="F318" s="2"/>
      <c r="G318" s="54"/>
      <c r="H318" s="51"/>
      <c r="I318" s="2"/>
      <c r="J318" s="54"/>
      <c r="K318" s="52"/>
      <c r="L318" s="55"/>
      <c r="T318" s="4" t="str">
        <f t="shared" si="24"/>
        <v/>
      </c>
      <c r="U318" s="4" t="str">
        <f t="shared" si="23"/>
        <v/>
      </c>
    </row>
    <row r="319" spans="1:21" x14ac:dyDescent="0.25">
      <c r="A319" s="50"/>
      <c r="B319" s="51"/>
      <c r="C319" s="2"/>
      <c r="D319" s="54"/>
      <c r="E319" s="51"/>
      <c r="F319" s="2"/>
      <c r="G319" s="54"/>
      <c r="H319" s="51"/>
      <c r="I319" s="2"/>
      <c r="J319" s="54"/>
      <c r="K319" s="52"/>
      <c r="L319" s="55"/>
      <c r="T319" s="4" t="str">
        <f t="shared" si="24"/>
        <v/>
      </c>
      <c r="U319" s="4" t="str">
        <f t="shared" si="23"/>
        <v/>
      </c>
    </row>
    <row r="320" spans="1:21" x14ac:dyDescent="0.25">
      <c r="A320" s="50"/>
      <c r="B320" s="51"/>
      <c r="C320" s="2"/>
      <c r="D320" s="54"/>
      <c r="E320" s="51"/>
      <c r="F320" s="2"/>
      <c r="G320" s="54"/>
      <c r="H320" s="51"/>
      <c r="I320" s="2"/>
      <c r="J320" s="54"/>
      <c r="K320" s="52"/>
      <c r="L320" s="55"/>
      <c r="T320" s="4" t="str">
        <f t="shared" si="24"/>
        <v/>
      </c>
      <c r="U320" s="4" t="str">
        <f t="shared" si="23"/>
        <v/>
      </c>
    </row>
    <row r="321" spans="1:21" x14ac:dyDescent="0.25">
      <c r="A321" s="50"/>
      <c r="B321" s="51"/>
      <c r="C321" s="2"/>
      <c r="D321" s="54"/>
      <c r="E321" s="51"/>
      <c r="F321" s="2"/>
      <c r="G321" s="54"/>
      <c r="H321" s="51"/>
      <c r="I321" s="2"/>
      <c r="J321" s="54"/>
      <c r="K321" s="52"/>
      <c r="L321" s="55"/>
      <c r="T321" s="4" t="str">
        <f t="shared" si="24"/>
        <v/>
      </c>
      <c r="U321" s="4" t="str">
        <f t="shared" si="23"/>
        <v/>
      </c>
    </row>
    <row r="322" spans="1:21" x14ac:dyDescent="0.25">
      <c r="A322" s="50"/>
      <c r="B322" s="51"/>
      <c r="C322" s="2"/>
      <c r="D322" s="54"/>
      <c r="E322" s="51"/>
      <c r="F322" s="2"/>
      <c r="G322" s="54"/>
      <c r="H322" s="51"/>
      <c r="I322" s="2"/>
      <c r="J322" s="54"/>
      <c r="K322" s="52"/>
      <c r="L322" s="55"/>
      <c r="T322" s="4" t="str">
        <f t="shared" si="24"/>
        <v/>
      </c>
      <c r="U322" s="4" t="str">
        <f t="shared" si="23"/>
        <v/>
      </c>
    </row>
    <row r="323" spans="1:21" x14ac:dyDescent="0.25">
      <c r="A323" s="50"/>
      <c r="B323" s="51"/>
      <c r="C323" s="2"/>
      <c r="D323" s="54"/>
      <c r="E323" s="51"/>
      <c r="F323" s="2"/>
      <c r="G323" s="54"/>
      <c r="H323" s="51"/>
      <c r="I323" s="2"/>
      <c r="J323" s="54"/>
      <c r="K323" s="52"/>
      <c r="L323" s="55"/>
      <c r="T323" s="4" t="str">
        <f t="shared" si="24"/>
        <v/>
      </c>
      <c r="U323" s="4" t="str">
        <f t="shared" ref="U323:U386" si="25">IF(T323&gt;$A$14,T323,"")</f>
        <v/>
      </c>
    </row>
    <row r="324" spans="1:21" x14ac:dyDescent="0.25">
      <c r="A324" s="50"/>
      <c r="B324" s="51"/>
      <c r="C324" s="2"/>
      <c r="D324" s="54"/>
      <c r="E324" s="51"/>
      <c r="F324" s="2"/>
      <c r="G324" s="54"/>
      <c r="H324" s="51"/>
      <c r="I324" s="2"/>
      <c r="J324" s="54"/>
      <c r="K324" s="52"/>
      <c r="L324" s="55"/>
      <c r="T324" s="4" t="str">
        <f t="shared" ref="T324:T387" si="26">IF(COUNTIF(P:P,N324)*COUNTIF(R:R,N324),N324,"")</f>
        <v/>
      </c>
      <c r="U324" s="4" t="str">
        <f t="shared" si="25"/>
        <v/>
      </c>
    </row>
    <row r="325" spans="1:21" x14ac:dyDescent="0.25">
      <c r="A325" s="50"/>
      <c r="B325" s="51"/>
      <c r="C325" s="2"/>
      <c r="D325" s="54"/>
      <c r="E325" s="51"/>
      <c r="F325" s="2"/>
      <c r="G325" s="54"/>
      <c r="H325" s="51"/>
      <c r="I325" s="2"/>
      <c r="J325" s="54"/>
      <c r="K325" s="52"/>
      <c r="L325" s="55"/>
      <c r="T325" s="4" t="str">
        <f t="shared" si="26"/>
        <v/>
      </c>
      <c r="U325" s="4" t="str">
        <f t="shared" si="25"/>
        <v/>
      </c>
    </row>
    <row r="326" spans="1:21" x14ac:dyDescent="0.25">
      <c r="A326" s="50"/>
      <c r="B326" s="51"/>
      <c r="C326" s="2"/>
      <c r="D326" s="54"/>
      <c r="E326" s="51"/>
      <c r="F326" s="2"/>
      <c r="G326" s="54"/>
      <c r="H326" s="51"/>
      <c r="I326" s="2"/>
      <c r="J326" s="54"/>
      <c r="K326" s="52"/>
      <c r="L326" s="55"/>
      <c r="T326" s="4" t="str">
        <f t="shared" si="26"/>
        <v/>
      </c>
      <c r="U326" s="4" t="str">
        <f t="shared" si="25"/>
        <v/>
      </c>
    </row>
    <row r="327" spans="1:21" x14ac:dyDescent="0.25">
      <c r="A327" s="50"/>
      <c r="B327" s="51"/>
      <c r="C327" s="2"/>
      <c r="D327" s="54"/>
      <c r="E327" s="51"/>
      <c r="F327" s="2"/>
      <c r="G327" s="54"/>
      <c r="H327" s="51"/>
      <c r="I327" s="2"/>
      <c r="J327" s="54"/>
      <c r="K327" s="52"/>
      <c r="L327" s="55"/>
      <c r="T327" s="4" t="str">
        <f t="shared" si="26"/>
        <v/>
      </c>
      <c r="U327" s="4" t="str">
        <f t="shared" si="25"/>
        <v/>
      </c>
    </row>
    <row r="328" spans="1:21" x14ac:dyDescent="0.25">
      <c r="A328" s="50"/>
      <c r="B328" s="51"/>
      <c r="C328" s="2"/>
      <c r="D328" s="54"/>
      <c r="E328" s="51"/>
      <c r="F328" s="2"/>
      <c r="G328" s="54"/>
      <c r="H328" s="51"/>
      <c r="I328" s="2"/>
      <c r="J328" s="54"/>
      <c r="K328" s="52"/>
      <c r="L328" s="55"/>
      <c r="T328" s="4" t="str">
        <f t="shared" si="26"/>
        <v/>
      </c>
      <c r="U328" s="4" t="str">
        <f t="shared" si="25"/>
        <v/>
      </c>
    </row>
    <row r="329" spans="1:21" x14ac:dyDescent="0.25">
      <c r="A329" s="50"/>
      <c r="B329" s="51"/>
      <c r="C329" s="2"/>
      <c r="D329" s="54"/>
      <c r="E329" s="51"/>
      <c r="F329" s="2"/>
      <c r="G329" s="54"/>
      <c r="H329" s="51"/>
      <c r="I329" s="2"/>
      <c r="J329" s="54"/>
      <c r="K329" s="52"/>
      <c r="L329" s="55"/>
      <c r="T329" s="4" t="str">
        <f t="shared" si="26"/>
        <v/>
      </c>
      <c r="U329" s="4" t="str">
        <f t="shared" si="25"/>
        <v/>
      </c>
    </row>
    <row r="330" spans="1:21" x14ac:dyDescent="0.25">
      <c r="A330" s="50"/>
      <c r="B330" s="51"/>
      <c r="C330" s="2"/>
      <c r="D330" s="54"/>
      <c r="E330" s="51"/>
      <c r="F330" s="2"/>
      <c r="G330" s="54"/>
      <c r="H330" s="51"/>
      <c r="I330" s="2"/>
      <c r="J330" s="54"/>
      <c r="K330" s="52"/>
      <c r="L330" s="55"/>
      <c r="T330" s="4" t="str">
        <f t="shared" si="26"/>
        <v/>
      </c>
      <c r="U330" s="4" t="str">
        <f t="shared" si="25"/>
        <v/>
      </c>
    </row>
    <row r="331" spans="1:21" x14ac:dyDescent="0.25">
      <c r="A331" s="50"/>
      <c r="B331" s="51"/>
      <c r="C331" s="2"/>
      <c r="D331" s="54"/>
      <c r="E331" s="51"/>
      <c r="F331" s="2"/>
      <c r="G331" s="54"/>
      <c r="H331" s="51"/>
      <c r="I331" s="2"/>
      <c r="J331" s="54"/>
      <c r="K331" s="52"/>
      <c r="L331" s="55"/>
      <c r="T331" s="4" t="str">
        <f t="shared" si="26"/>
        <v/>
      </c>
      <c r="U331" s="4" t="str">
        <f t="shared" si="25"/>
        <v/>
      </c>
    </row>
    <row r="332" spans="1:21" x14ac:dyDescent="0.25">
      <c r="A332" s="50"/>
      <c r="B332" s="51"/>
      <c r="C332" s="2"/>
      <c r="D332" s="54"/>
      <c r="E332" s="51"/>
      <c r="F332" s="2"/>
      <c r="G332" s="54"/>
      <c r="H332" s="51"/>
      <c r="I332" s="2"/>
      <c r="J332" s="54"/>
      <c r="K332" s="52"/>
      <c r="L332" s="55"/>
      <c r="T332" s="4" t="str">
        <f t="shared" si="26"/>
        <v/>
      </c>
      <c r="U332" s="4" t="str">
        <f t="shared" si="25"/>
        <v/>
      </c>
    </row>
    <row r="333" spans="1:21" x14ac:dyDescent="0.25">
      <c r="A333" s="50"/>
      <c r="B333" s="51"/>
      <c r="C333" s="2"/>
      <c r="D333" s="54"/>
      <c r="E333" s="51"/>
      <c r="F333" s="2"/>
      <c r="G333" s="54"/>
      <c r="H333" s="51"/>
      <c r="I333" s="2"/>
      <c r="J333" s="54"/>
      <c r="K333" s="52"/>
      <c r="L333" s="55"/>
      <c r="T333" s="4" t="str">
        <f t="shared" si="26"/>
        <v/>
      </c>
      <c r="U333" s="4" t="str">
        <f t="shared" si="25"/>
        <v/>
      </c>
    </row>
    <row r="334" spans="1:21" x14ac:dyDescent="0.25">
      <c r="A334" s="50"/>
      <c r="B334" s="51"/>
      <c r="C334" s="2"/>
      <c r="D334" s="54"/>
      <c r="E334" s="51"/>
      <c r="F334" s="2"/>
      <c r="G334" s="54"/>
      <c r="H334" s="51"/>
      <c r="I334" s="2"/>
      <c r="J334" s="54"/>
      <c r="K334" s="52"/>
      <c r="L334" s="55"/>
      <c r="T334" s="4" t="str">
        <f t="shared" si="26"/>
        <v/>
      </c>
      <c r="U334" s="4" t="str">
        <f t="shared" si="25"/>
        <v/>
      </c>
    </row>
    <row r="335" spans="1:21" x14ac:dyDescent="0.25">
      <c r="A335" s="50"/>
      <c r="B335" s="51"/>
      <c r="C335" s="2"/>
      <c r="D335" s="54"/>
      <c r="E335" s="51"/>
      <c r="F335" s="2"/>
      <c r="G335" s="54"/>
      <c r="H335" s="51"/>
      <c r="I335" s="2"/>
      <c r="J335" s="54"/>
      <c r="K335" s="52"/>
      <c r="L335" s="55"/>
      <c r="T335" s="4" t="str">
        <f t="shared" si="26"/>
        <v/>
      </c>
      <c r="U335" s="4" t="str">
        <f t="shared" si="25"/>
        <v/>
      </c>
    </row>
    <row r="336" spans="1:21" x14ac:dyDescent="0.25">
      <c r="A336" s="50"/>
      <c r="B336" s="51"/>
      <c r="C336" s="2"/>
      <c r="D336" s="54"/>
      <c r="E336" s="51"/>
      <c r="F336" s="2"/>
      <c r="G336" s="54"/>
      <c r="H336" s="51"/>
      <c r="I336" s="2"/>
      <c r="J336" s="54"/>
      <c r="K336" s="52"/>
      <c r="L336" s="55"/>
      <c r="T336" s="4" t="str">
        <f t="shared" si="26"/>
        <v/>
      </c>
      <c r="U336" s="4" t="str">
        <f t="shared" si="25"/>
        <v/>
      </c>
    </row>
    <row r="337" spans="1:21" x14ac:dyDescent="0.25">
      <c r="A337" s="50"/>
      <c r="B337" s="51"/>
      <c r="C337" s="2"/>
      <c r="D337" s="54"/>
      <c r="E337" s="51"/>
      <c r="F337" s="2"/>
      <c r="G337" s="54"/>
      <c r="H337" s="51"/>
      <c r="I337" s="2"/>
      <c r="J337" s="54"/>
      <c r="K337" s="52"/>
      <c r="L337" s="55"/>
      <c r="T337" s="4" t="str">
        <f t="shared" si="26"/>
        <v/>
      </c>
      <c r="U337" s="4" t="str">
        <f t="shared" si="25"/>
        <v/>
      </c>
    </row>
    <row r="338" spans="1:21" x14ac:dyDescent="0.25">
      <c r="A338" s="50"/>
      <c r="B338" s="51"/>
      <c r="C338" s="2"/>
      <c r="D338" s="54"/>
      <c r="E338" s="51"/>
      <c r="F338" s="2"/>
      <c r="G338" s="54"/>
      <c r="H338" s="51"/>
      <c r="I338" s="2"/>
      <c r="J338" s="54"/>
      <c r="K338" s="52"/>
      <c r="L338" s="55"/>
      <c r="T338" s="4" t="str">
        <f t="shared" si="26"/>
        <v/>
      </c>
      <c r="U338" s="4" t="str">
        <f t="shared" si="25"/>
        <v/>
      </c>
    </row>
    <row r="339" spans="1:21" x14ac:dyDescent="0.25">
      <c r="A339" s="50"/>
      <c r="B339" s="51"/>
      <c r="C339" s="2"/>
      <c r="D339" s="54"/>
      <c r="E339" s="51"/>
      <c r="F339" s="2"/>
      <c r="G339" s="54"/>
      <c r="H339" s="51"/>
      <c r="I339" s="2"/>
      <c r="J339" s="54"/>
      <c r="K339" s="52"/>
      <c r="L339" s="55"/>
      <c r="T339" s="4" t="str">
        <f t="shared" si="26"/>
        <v/>
      </c>
      <c r="U339" s="4" t="str">
        <f t="shared" si="25"/>
        <v/>
      </c>
    </row>
    <row r="340" spans="1:21" x14ac:dyDescent="0.25">
      <c r="A340" s="50"/>
      <c r="B340" s="51"/>
      <c r="C340" s="2"/>
      <c r="D340" s="54"/>
      <c r="E340" s="51"/>
      <c r="F340" s="2"/>
      <c r="G340" s="54"/>
      <c r="H340" s="51"/>
      <c r="I340" s="2"/>
      <c r="J340" s="54"/>
      <c r="K340" s="52"/>
      <c r="L340" s="55"/>
      <c r="T340" s="4" t="str">
        <f t="shared" si="26"/>
        <v/>
      </c>
      <c r="U340" s="4" t="str">
        <f t="shared" si="25"/>
        <v/>
      </c>
    </row>
    <row r="341" spans="1:21" x14ac:dyDescent="0.25">
      <c r="A341" s="50"/>
      <c r="B341" s="51"/>
      <c r="C341" s="2"/>
      <c r="D341" s="54"/>
      <c r="E341" s="51"/>
      <c r="F341" s="2"/>
      <c r="G341" s="54"/>
      <c r="H341" s="51"/>
      <c r="I341" s="2"/>
      <c r="J341" s="54"/>
      <c r="K341" s="52"/>
      <c r="L341" s="55"/>
      <c r="T341" s="4" t="str">
        <f t="shared" si="26"/>
        <v/>
      </c>
      <c r="U341" s="4" t="str">
        <f t="shared" si="25"/>
        <v/>
      </c>
    </row>
    <row r="342" spans="1:21" x14ac:dyDescent="0.25">
      <c r="A342" s="50"/>
      <c r="B342" s="51"/>
      <c r="C342" s="2"/>
      <c r="D342" s="54"/>
      <c r="E342" s="51"/>
      <c r="F342" s="2"/>
      <c r="G342" s="54"/>
      <c r="H342" s="51"/>
      <c r="I342" s="2"/>
      <c r="J342" s="54"/>
      <c r="K342" s="52"/>
      <c r="L342" s="55"/>
      <c r="T342" s="4" t="str">
        <f t="shared" si="26"/>
        <v/>
      </c>
      <c r="U342" s="4" t="str">
        <f t="shared" si="25"/>
        <v/>
      </c>
    </row>
    <row r="343" spans="1:21" x14ac:dyDescent="0.25">
      <c r="A343" s="50"/>
      <c r="B343" s="51"/>
      <c r="C343" s="2"/>
      <c r="D343" s="54"/>
      <c r="E343" s="51"/>
      <c r="F343" s="2"/>
      <c r="G343" s="54"/>
      <c r="H343" s="51"/>
      <c r="I343" s="2"/>
      <c r="J343" s="54"/>
      <c r="K343" s="52"/>
      <c r="L343" s="55"/>
      <c r="T343" s="4" t="str">
        <f t="shared" si="26"/>
        <v/>
      </c>
      <c r="U343" s="4" t="str">
        <f t="shared" si="25"/>
        <v/>
      </c>
    </row>
    <row r="344" spans="1:21" x14ac:dyDescent="0.25">
      <c r="A344" s="50"/>
      <c r="B344" s="51"/>
      <c r="C344" s="2"/>
      <c r="D344" s="54"/>
      <c r="E344" s="51"/>
      <c r="F344" s="2"/>
      <c r="G344" s="54"/>
      <c r="H344" s="51"/>
      <c r="I344" s="2"/>
      <c r="J344" s="54"/>
      <c r="K344" s="52"/>
      <c r="L344" s="55"/>
      <c r="T344" s="4" t="str">
        <f t="shared" si="26"/>
        <v/>
      </c>
      <c r="U344" s="4" t="str">
        <f t="shared" si="25"/>
        <v/>
      </c>
    </row>
    <row r="345" spans="1:21" x14ac:dyDescent="0.25">
      <c r="A345" s="50"/>
      <c r="B345" s="51"/>
      <c r="C345" s="2"/>
      <c r="D345" s="54"/>
      <c r="E345" s="51"/>
      <c r="F345" s="2"/>
      <c r="G345" s="54"/>
      <c r="H345" s="51"/>
      <c r="I345" s="2"/>
      <c r="J345" s="54"/>
      <c r="K345" s="52"/>
      <c r="L345" s="55"/>
      <c r="T345" s="4" t="str">
        <f t="shared" si="26"/>
        <v/>
      </c>
      <c r="U345" s="4" t="str">
        <f t="shared" si="25"/>
        <v/>
      </c>
    </row>
    <row r="346" spans="1:21" x14ac:dyDescent="0.25">
      <c r="A346" s="50"/>
      <c r="B346" s="51"/>
      <c r="C346" s="2"/>
      <c r="D346" s="54"/>
      <c r="E346" s="51"/>
      <c r="F346" s="2"/>
      <c r="G346" s="54"/>
      <c r="H346" s="51"/>
      <c r="I346" s="2"/>
      <c r="J346" s="54"/>
      <c r="K346" s="52"/>
      <c r="L346" s="55"/>
      <c r="T346" s="4" t="str">
        <f t="shared" si="26"/>
        <v/>
      </c>
      <c r="U346" s="4" t="str">
        <f t="shared" si="25"/>
        <v/>
      </c>
    </row>
    <row r="347" spans="1:21" x14ac:dyDescent="0.25">
      <c r="A347" s="50"/>
      <c r="B347" s="51"/>
      <c r="C347" s="2"/>
      <c r="D347" s="54"/>
      <c r="E347" s="51"/>
      <c r="F347" s="2"/>
      <c r="G347" s="54"/>
      <c r="H347" s="51"/>
      <c r="I347" s="2"/>
      <c r="J347" s="54"/>
      <c r="K347" s="52"/>
      <c r="L347" s="55"/>
      <c r="T347" s="4" t="str">
        <f t="shared" si="26"/>
        <v/>
      </c>
      <c r="U347" s="4" t="str">
        <f t="shared" si="25"/>
        <v/>
      </c>
    </row>
    <row r="348" spans="1:21" x14ac:dyDescent="0.25">
      <c r="A348" s="50"/>
      <c r="B348" s="51"/>
      <c r="C348" s="2"/>
      <c r="D348" s="54"/>
      <c r="E348" s="51"/>
      <c r="F348" s="2"/>
      <c r="G348" s="54"/>
      <c r="H348" s="51"/>
      <c r="I348" s="2"/>
      <c r="J348" s="54"/>
      <c r="K348" s="52"/>
      <c r="L348" s="55"/>
      <c r="T348" s="4" t="str">
        <f t="shared" si="26"/>
        <v/>
      </c>
      <c r="U348" s="4" t="str">
        <f t="shared" si="25"/>
        <v/>
      </c>
    </row>
    <row r="349" spans="1:21" x14ac:dyDescent="0.25">
      <c r="A349" s="50"/>
      <c r="B349" s="51"/>
      <c r="C349" s="2"/>
      <c r="D349" s="54"/>
      <c r="E349" s="51"/>
      <c r="F349" s="2"/>
      <c r="G349" s="54"/>
      <c r="H349" s="51"/>
      <c r="I349" s="2"/>
      <c r="J349" s="54"/>
      <c r="K349" s="52"/>
      <c r="L349" s="55"/>
      <c r="T349" s="4" t="str">
        <f t="shared" si="26"/>
        <v/>
      </c>
      <c r="U349" s="4" t="str">
        <f t="shared" si="25"/>
        <v/>
      </c>
    </row>
    <row r="350" spans="1:21" x14ac:dyDescent="0.25">
      <c r="A350" s="50"/>
      <c r="B350" s="51"/>
      <c r="C350" s="2"/>
      <c r="D350" s="54"/>
      <c r="E350" s="51"/>
      <c r="F350" s="2"/>
      <c r="G350" s="54"/>
      <c r="H350" s="51"/>
      <c r="I350" s="2"/>
      <c r="J350" s="54"/>
      <c r="K350" s="52"/>
      <c r="L350" s="55"/>
      <c r="T350" s="4" t="str">
        <f t="shared" si="26"/>
        <v/>
      </c>
      <c r="U350" s="4" t="str">
        <f t="shared" si="25"/>
        <v/>
      </c>
    </row>
    <row r="351" spans="1:21" x14ac:dyDescent="0.25">
      <c r="A351" s="50"/>
      <c r="B351" s="51"/>
      <c r="C351" s="2"/>
      <c r="D351" s="54"/>
      <c r="E351" s="51"/>
      <c r="F351" s="2"/>
      <c r="G351" s="54"/>
      <c r="H351" s="51"/>
      <c r="I351" s="2"/>
      <c r="J351" s="54"/>
      <c r="K351" s="52"/>
      <c r="L351" s="55"/>
      <c r="T351" s="4" t="str">
        <f t="shared" si="26"/>
        <v/>
      </c>
      <c r="U351" s="4" t="str">
        <f t="shared" si="25"/>
        <v/>
      </c>
    </row>
    <row r="352" spans="1:21" x14ac:dyDescent="0.25">
      <c r="A352" s="50"/>
      <c r="B352" s="51"/>
      <c r="C352" s="2"/>
      <c r="D352" s="54"/>
      <c r="E352" s="51"/>
      <c r="F352" s="2"/>
      <c r="G352" s="54"/>
      <c r="H352" s="51"/>
      <c r="I352" s="2"/>
      <c r="J352" s="54"/>
      <c r="K352" s="52"/>
      <c r="L352" s="55"/>
      <c r="T352" s="4" t="str">
        <f t="shared" si="26"/>
        <v/>
      </c>
      <c r="U352" s="4" t="str">
        <f t="shared" si="25"/>
        <v/>
      </c>
    </row>
    <row r="353" spans="1:21" x14ac:dyDescent="0.25">
      <c r="A353" s="50"/>
      <c r="B353" s="51"/>
      <c r="C353" s="2"/>
      <c r="D353" s="54"/>
      <c r="E353" s="51"/>
      <c r="F353" s="2"/>
      <c r="G353" s="54"/>
      <c r="H353" s="51"/>
      <c r="I353" s="2"/>
      <c r="J353" s="54"/>
      <c r="K353" s="52"/>
      <c r="L353" s="55"/>
      <c r="T353" s="4" t="str">
        <f t="shared" si="26"/>
        <v/>
      </c>
      <c r="U353" s="4" t="str">
        <f t="shared" si="25"/>
        <v/>
      </c>
    </row>
    <row r="354" spans="1:21" x14ac:dyDescent="0.25">
      <c r="A354" s="50"/>
      <c r="B354" s="51"/>
      <c r="C354" s="2"/>
      <c r="D354" s="54"/>
      <c r="E354" s="51"/>
      <c r="F354" s="2"/>
      <c r="G354" s="54"/>
      <c r="H354" s="51"/>
      <c r="I354" s="2"/>
      <c r="J354" s="54"/>
      <c r="K354" s="52"/>
      <c r="L354" s="55"/>
      <c r="T354" s="4" t="str">
        <f t="shared" si="26"/>
        <v/>
      </c>
      <c r="U354" s="4" t="str">
        <f t="shared" si="25"/>
        <v/>
      </c>
    </row>
    <row r="355" spans="1:21" x14ac:dyDescent="0.25">
      <c r="A355" s="50"/>
      <c r="B355" s="51"/>
      <c r="C355" s="2"/>
      <c r="D355" s="54"/>
      <c r="E355" s="51"/>
      <c r="F355" s="2"/>
      <c r="G355" s="54"/>
      <c r="H355" s="51"/>
      <c r="I355" s="2"/>
      <c r="J355" s="54"/>
      <c r="K355" s="52"/>
      <c r="L355" s="55"/>
      <c r="T355" s="4" t="str">
        <f t="shared" si="26"/>
        <v/>
      </c>
      <c r="U355" s="4" t="str">
        <f t="shared" si="25"/>
        <v/>
      </c>
    </row>
    <row r="356" spans="1:21" x14ac:dyDescent="0.25">
      <c r="A356" s="50"/>
      <c r="B356" s="51"/>
      <c r="C356" s="2"/>
      <c r="D356" s="54"/>
      <c r="E356" s="51"/>
      <c r="F356" s="2"/>
      <c r="G356" s="54"/>
      <c r="H356" s="51"/>
      <c r="I356" s="2"/>
      <c r="J356" s="54"/>
      <c r="K356" s="52"/>
      <c r="L356" s="55"/>
      <c r="T356" s="4" t="str">
        <f t="shared" si="26"/>
        <v/>
      </c>
      <c r="U356" s="4" t="str">
        <f t="shared" si="25"/>
        <v/>
      </c>
    </row>
    <row r="357" spans="1:21" x14ac:dyDescent="0.25">
      <c r="A357" s="50"/>
      <c r="B357" s="51"/>
      <c r="C357" s="2"/>
      <c r="D357" s="54"/>
      <c r="E357" s="51"/>
      <c r="F357" s="2"/>
      <c r="G357" s="54"/>
      <c r="H357" s="51"/>
      <c r="I357" s="2"/>
      <c r="J357" s="54"/>
      <c r="K357" s="52"/>
      <c r="L357" s="55"/>
      <c r="T357" s="4" t="str">
        <f t="shared" si="26"/>
        <v/>
      </c>
      <c r="U357" s="4" t="str">
        <f t="shared" si="25"/>
        <v/>
      </c>
    </row>
    <row r="358" spans="1:21" x14ac:dyDescent="0.25">
      <c r="A358" s="50"/>
      <c r="B358" s="51"/>
      <c r="C358" s="2"/>
      <c r="D358" s="54"/>
      <c r="E358" s="51"/>
      <c r="F358" s="2"/>
      <c r="G358" s="54"/>
      <c r="H358" s="51"/>
      <c r="I358" s="2"/>
      <c r="J358" s="54"/>
      <c r="K358" s="52"/>
      <c r="L358" s="55"/>
      <c r="T358" s="4" t="str">
        <f t="shared" si="26"/>
        <v/>
      </c>
      <c r="U358" s="4" t="str">
        <f t="shared" si="25"/>
        <v/>
      </c>
    </row>
    <row r="359" spans="1:21" x14ac:dyDescent="0.25">
      <c r="A359" s="50"/>
      <c r="B359" s="51"/>
      <c r="C359" s="2"/>
      <c r="D359" s="54"/>
      <c r="E359" s="51"/>
      <c r="F359" s="2"/>
      <c r="G359" s="54"/>
      <c r="H359" s="51"/>
      <c r="I359" s="2"/>
      <c r="J359" s="54"/>
      <c r="K359" s="52"/>
      <c r="L359" s="55"/>
      <c r="T359" s="4" t="str">
        <f t="shared" si="26"/>
        <v/>
      </c>
      <c r="U359" s="4" t="str">
        <f t="shared" si="25"/>
        <v/>
      </c>
    </row>
    <row r="360" spans="1:21" x14ac:dyDescent="0.25">
      <c r="A360" s="50"/>
      <c r="B360" s="51"/>
      <c r="C360" s="2"/>
      <c r="D360" s="54"/>
      <c r="E360" s="51"/>
      <c r="F360" s="2"/>
      <c r="G360" s="54"/>
      <c r="H360" s="51"/>
      <c r="I360" s="2"/>
      <c r="J360" s="54"/>
      <c r="K360" s="52"/>
      <c r="L360" s="55"/>
      <c r="T360" s="4" t="str">
        <f t="shared" si="26"/>
        <v/>
      </c>
      <c r="U360" s="4" t="str">
        <f t="shared" si="25"/>
        <v/>
      </c>
    </row>
    <row r="361" spans="1:21" x14ac:dyDescent="0.25">
      <c r="A361" s="50"/>
      <c r="B361" s="51"/>
      <c r="C361" s="2"/>
      <c r="D361" s="54"/>
      <c r="E361" s="51"/>
      <c r="F361" s="2"/>
      <c r="G361" s="54"/>
      <c r="H361" s="51"/>
      <c r="I361" s="2"/>
      <c r="J361" s="54"/>
      <c r="K361" s="52"/>
      <c r="L361" s="55"/>
      <c r="T361" s="4" t="str">
        <f t="shared" si="26"/>
        <v/>
      </c>
      <c r="U361" s="4" t="str">
        <f t="shared" si="25"/>
        <v/>
      </c>
    </row>
    <row r="362" spans="1:21" x14ac:dyDescent="0.25">
      <c r="A362" s="50"/>
      <c r="B362" s="51"/>
      <c r="C362" s="2"/>
      <c r="D362" s="54"/>
      <c r="E362" s="51"/>
      <c r="F362" s="2"/>
      <c r="G362" s="54"/>
      <c r="H362" s="51"/>
      <c r="I362" s="2"/>
      <c r="J362" s="54"/>
      <c r="K362" s="52"/>
      <c r="L362" s="55"/>
      <c r="T362" s="4" t="str">
        <f t="shared" si="26"/>
        <v/>
      </c>
      <c r="U362" s="4" t="str">
        <f t="shared" si="25"/>
        <v/>
      </c>
    </row>
    <row r="363" spans="1:21" x14ac:dyDescent="0.25">
      <c r="A363" s="50"/>
      <c r="B363" s="51"/>
      <c r="C363" s="2"/>
      <c r="D363" s="54"/>
      <c r="E363" s="51"/>
      <c r="F363" s="2"/>
      <c r="G363" s="54"/>
      <c r="H363" s="51"/>
      <c r="I363" s="2"/>
      <c r="J363" s="54"/>
      <c r="K363" s="52"/>
      <c r="L363" s="55"/>
      <c r="T363" s="4" t="str">
        <f t="shared" si="26"/>
        <v/>
      </c>
      <c r="U363" s="4" t="str">
        <f t="shared" si="25"/>
        <v/>
      </c>
    </row>
    <row r="364" spans="1:21" x14ac:dyDescent="0.25">
      <c r="A364" s="50"/>
      <c r="B364" s="51"/>
      <c r="C364" s="2"/>
      <c r="D364" s="54"/>
      <c r="E364" s="51"/>
      <c r="F364" s="2"/>
      <c r="G364" s="54"/>
      <c r="H364" s="51"/>
      <c r="I364" s="2"/>
      <c r="J364" s="54"/>
      <c r="K364" s="52"/>
      <c r="L364" s="55"/>
      <c r="T364" s="4" t="str">
        <f t="shared" si="26"/>
        <v/>
      </c>
      <c r="U364" s="4" t="str">
        <f t="shared" si="25"/>
        <v/>
      </c>
    </row>
    <row r="365" spans="1:21" x14ac:dyDescent="0.25">
      <c r="A365" s="50"/>
      <c r="B365" s="51"/>
      <c r="C365" s="2"/>
      <c r="D365" s="54"/>
      <c r="E365" s="51"/>
      <c r="F365" s="2"/>
      <c r="G365" s="54"/>
      <c r="H365" s="51"/>
      <c r="I365" s="2"/>
      <c r="J365" s="54"/>
      <c r="K365" s="52"/>
      <c r="L365" s="55"/>
      <c r="T365" s="4" t="str">
        <f t="shared" si="26"/>
        <v/>
      </c>
      <c r="U365" s="4" t="str">
        <f t="shared" si="25"/>
        <v/>
      </c>
    </row>
    <row r="366" spans="1:21" x14ac:dyDescent="0.25">
      <c r="A366" s="50"/>
      <c r="B366" s="51"/>
      <c r="C366" s="2"/>
      <c r="D366" s="54"/>
      <c r="E366" s="51"/>
      <c r="F366" s="2"/>
      <c r="G366" s="54"/>
      <c r="H366" s="51"/>
      <c r="I366" s="2"/>
      <c r="J366" s="54"/>
      <c r="K366" s="52"/>
      <c r="L366" s="55"/>
      <c r="T366" s="4" t="str">
        <f t="shared" si="26"/>
        <v/>
      </c>
      <c r="U366" s="4" t="str">
        <f t="shared" si="25"/>
        <v/>
      </c>
    </row>
    <row r="367" spans="1:21" x14ac:dyDescent="0.25">
      <c r="A367" s="50"/>
      <c r="B367" s="51"/>
      <c r="C367" s="2"/>
      <c r="D367" s="54"/>
      <c r="E367" s="51"/>
      <c r="F367" s="2"/>
      <c r="G367" s="54"/>
      <c r="H367" s="51"/>
      <c r="I367" s="2"/>
      <c r="J367" s="54"/>
      <c r="K367" s="52"/>
      <c r="L367" s="55"/>
      <c r="T367" s="4" t="str">
        <f t="shared" si="26"/>
        <v/>
      </c>
      <c r="U367" s="4" t="str">
        <f t="shared" si="25"/>
        <v/>
      </c>
    </row>
    <row r="368" spans="1:21" x14ac:dyDescent="0.25">
      <c r="A368" s="50"/>
      <c r="B368" s="51"/>
      <c r="C368" s="2"/>
      <c r="D368" s="54"/>
      <c r="E368" s="51"/>
      <c r="F368" s="2"/>
      <c r="G368" s="54"/>
      <c r="H368" s="51"/>
      <c r="I368" s="2"/>
      <c r="J368" s="54"/>
      <c r="K368" s="52"/>
      <c r="L368" s="55"/>
      <c r="T368" s="4" t="str">
        <f t="shared" si="26"/>
        <v/>
      </c>
      <c r="U368" s="4" t="str">
        <f t="shared" si="25"/>
        <v/>
      </c>
    </row>
    <row r="369" spans="1:21" x14ac:dyDescent="0.25">
      <c r="A369" s="50"/>
      <c r="B369" s="51"/>
      <c r="C369" s="2"/>
      <c r="D369" s="54"/>
      <c r="E369" s="51"/>
      <c r="F369" s="2"/>
      <c r="G369" s="54"/>
      <c r="H369" s="51"/>
      <c r="I369" s="2"/>
      <c r="J369" s="54"/>
      <c r="K369" s="52"/>
      <c r="L369" s="55"/>
      <c r="T369" s="4" t="str">
        <f t="shared" si="26"/>
        <v/>
      </c>
      <c r="U369" s="4" t="str">
        <f t="shared" si="25"/>
        <v/>
      </c>
    </row>
    <row r="370" spans="1:21" x14ac:dyDescent="0.25">
      <c r="A370" s="50"/>
      <c r="B370" s="51"/>
      <c r="C370" s="2"/>
      <c r="D370" s="54"/>
      <c r="E370" s="51"/>
      <c r="F370" s="2"/>
      <c r="G370" s="54"/>
      <c r="H370" s="51"/>
      <c r="I370" s="2"/>
      <c r="J370" s="54"/>
      <c r="K370" s="52"/>
      <c r="L370" s="55"/>
      <c r="T370" s="4" t="str">
        <f t="shared" si="26"/>
        <v/>
      </c>
      <c r="U370" s="4" t="str">
        <f t="shared" si="25"/>
        <v/>
      </c>
    </row>
    <row r="371" spans="1:21" x14ac:dyDescent="0.25">
      <c r="A371" s="50"/>
      <c r="B371" s="51"/>
      <c r="C371" s="2"/>
      <c r="D371" s="54"/>
      <c r="E371" s="51"/>
      <c r="F371" s="2"/>
      <c r="G371" s="54"/>
      <c r="H371" s="51"/>
      <c r="I371" s="2"/>
      <c r="J371" s="54"/>
      <c r="K371" s="52"/>
      <c r="L371" s="55"/>
      <c r="T371" s="4" t="str">
        <f t="shared" si="26"/>
        <v/>
      </c>
      <c r="U371" s="4" t="str">
        <f t="shared" si="25"/>
        <v/>
      </c>
    </row>
    <row r="372" spans="1:21" x14ac:dyDescent="0.25">
      <c r="A372" s="50"/>
      <c r="B372" s="51"/>
      <c r="C372" s="2"/>
      <c r="D372" s="54"/>
      <c r="E372" s="51"/>
      <c r="F372" s="2"/>
      <c r="G372" s="54"/>
      <c r="H372" s="51"/>
      <c r="I372" s="2"/>
      <c r="J372" s="54"/>
      <c r="K372" s="52"/>
      <c r="L372" s="55"/>
      <c r="T372" s="4" t="str">
        <f t="shared" si="26"/>
        <v/>
      </c>
      <c r="U372" s="4" t="str">
        <f t="shared" si="25"/>
        <v/>
      </c>
    </row>
    <row r="373" spans="1:21" x14ac:dyDescent="0.25">
      <c r="A373" s="50"/>
      <c r="B373" s="51"/>
      <c r="C373" s="2"/>
      <c r="D373" s="54"/>
      <c r="E373" s="51"/>
      <c r="F373" s="2"/>
      <c r="G373" s="54"/>
      <c r="H373" s="51"/>
      <c r="I373" s="2"/>
      <c r="J373" s="54"/>
      <c r="K373" s="52"/>
      <c r="L373" s="55"/>
      <c r="T373" s="4" t="str">
        <f t="shared" si="26"/>
        <v/>
      </c>
      <c r="U373" s="4" t="str">
        <f t="shared" si="25"/>
        <v/>
      </c>
    </row>
    <row r="374" spans="1:21" x14ac:dyDescent="0.25">
      <c r="A374" s="50"/>
      <c r="B374" s="51"/>
      <c r="C374" s="2"/>
      <c r="D374" s="54"/>
      <c r="E374" s="51"/>
      <c r="F374" s="2"/>
      <c r="G374" s="54"/>
      <c r="H374" s="51"/>
      <c r="I374" s="2"/>
      <c r="J374" s="54"/>
      <c r="K374" s="52"/>
      <c r="L374" s="55"/>
      <c r="T374" s="4" t="str">
        <f t="shared" si="26"/>
        <v/>
      </c>
      <c r="U374" s="4" t="str">
        <f t="shared" si="25"/>
        <v/>
      </c>
    </row>
    <row r="375" spans="1:21" x14ac:dyDescent="0.25">
      <c r="A375" s="50"/>
      <c r="B375" s="51"/>
      <c r="C375" s="2"/>
      <c r="D375" s="54"/>
      <c r="E375" s="51"/>
      <c r="F375" s="2"/>
      <c r="G375" s="54"/>
      <c r="H375" s="51"/>
      <c r="I375" s="2"/>
      <c r="J375" s="54"/>
      <c r="K375" s="52"/>
      <c r="L375" s="55"/>
      <c r="T375" s="4" t="str">
        <f t="shared" si="26"/>
        <v/>
      </c>
      <c r="U375" s="4" t="str">
        <f t="shared" si="25"/>
        <v/>
      </c>
    </row>
    <row r="376" spans="1:21" x14ac:dyDescent="0.25">
      <c r="A376" s="50"/>
      <c r="B376" s="51"/>
      <c r="C376" s="2"/>
      <c r="D376" s="54"/>
      <c r="E376" s="51"/>
      <c r="F376" s="2"/>
      <c r="G376" s="54"/>
      <c r="H376" s="51"/>
      <c r="I376" s="2"/>
      <c r="J376" s="54"/>
      <c r="K376" s="52"/>
      <c r="L376" s="55"/>
      <c r="T376" s="4" t="str">
        <f t="shared" si="26"/>
        <v/>
      </c>
      <c r="U376" s="4" t="str">
        <f t="shared" si="25"/>
        <v/>
      </c>
    </row>
    <row r="377" spans="1:21" x14ac:dyDescent="0.25">
      <c r="A377" s="50"/>
      <c r="B377" s="51"/>
      <c r="C377" s="2"/>
      <c r="D377" s="54"/>
      <c r="E377" s="51"/>
      <c r="F377" s="2"/>
      <c r="G377" s="54"/>
      <c r="H377" s="51"/>
      <c r="I377" s="2"/>
      <c r="J377" s="54"/>
      <c r="K377" s="52"/>
      <c r="L377" s="55"/>
      <c r="T377" s="4" t="str">
        <f t="shared" si="26"/>
        <v/>
      </c>
      <c r="U377" s="4" t="str">
        <f t="shared" si="25"/>
        <v/>
      </c>
    </row>
    <row r="378" spans="1:21" x14ac:dyDescent="0.25">
      <c r="A378" s="50"/>
      <c r="B378" s="51"/>
      <c r="C378" s="2"/>
      <c r="D378" s="54"/>
      <c r="E378" s="51"/>
      <c r="F378" s="2"/>
      <c r="G378" s="54"/>
      <c r="H378" s="51"/>
      <c r="I378" s="2"/>
      <c r="J378" s="54"/>
      <c r="K378" s="52"/>
      <c r="L378" s="55"/>
      <c r="T378" s="4" t="str">
        <f t="shared" si="26"/>
        <v/>
      </c>
      <c r="U378" s="4" t="str">
        <f t="shared" si="25"/>
        <v/>
      </c>
    </row>
    <row r="379" spans="1:21" x14ac:dyDescent="0.25">
      <c r="A379" s="50"/>
      <c r="B379" s="51"/>
      <c r="C379" s="2"/>
      <c r="D379" s="54"/>
      <c r="E379" s="51"/>
      <c r="F379" s="2"/>
      <c r="G379" s="54"/>
      <c r="H379" s="51"/>
      <c r="I379" s="2"/>
      <c r="J379" s="54"/>
      <c r="K379" s="52"/>
      <c r="L379" s="55"/>
      <c r="T379" s="4" t="str">
        <f t="shared" si="26"/>
        <v/>
      </c>
      <c r="U379" s="4" t="str">
        <f t="shared" si="25"/>
        <v/>
      </c>
    </row>
    <row r="380" spans="1:21" x14ac:dyDescent="0.25">
      <c r="A380" s="50"/>
      <c r="B380" s="51"/>
      <c r="C380" s="2"/>
      <c r="D380" s="54"/>
      <c r="E380" s="51"/>
      <c r="F380" s="2"/>
      <c r="G380" s="54"/>
      <c r="H380" s="51"/>
      <c r="I380" s="2"/>
      <c r="J380" s="54"/>
      <c r="K380" s="52"/>
      <c r="L380" s="55"/>
      <c r="T380" s="4" t="str">
        <f t="shared" si="26"/>
        <v/>
      </c>
      <c r="U380" s="4" t="str">
        <f t="shared" si="25"/>
        <v/>
      </c>
    </row>
    <row r="381" spans="1:21" x14ac:dyDescent="0.25">
      <c r="A381" s="50"/>
      <c r="B381" s="51"/>
      <c r="C381" s="2"/>
      <c r="D381" s="54"/>
      <c r="E381" s="51"/>
      <c r="F381" s="2"/>
      <c r="G381" s="54"/>
      <c r="H381" s="51"/>
      <c r="I381" s="2"/>
      <c r="J381" s="54"/>
      <c r="K381" s="52"/>
      <c r="L381" s="55"/>
      <c r="T381" s="4" t="str">
        <f t="shared" si="26"/>
        <v/>
      </c>
      <c r="U381" s="4" t="str">
        <f t="shared" si="25"/>
        <v/>
      </c>
    </row>
    <row r="382" spans="1:21" x14ac:dyDescent="0.25">
      <c r="A382" s="50"/>
      <c r="B382" s="51"/>
      <c r="C382" s="2"/>
      <c r="D382" s="54"/>
      <c r="E382" s="51"/>
      <c r="F382" s="2"/>
      <c r="G382" s="54"/>
      <c r="H382" s="51"/>
      <c r="I382" s="2"/>
      <c r="J382" s="54"/>
      <c r="K382" s="52"/>
      <c r="L382" s="55"/>
      <c r="T382" s="4" t="str">
        <f t="shared" si="26"/>
        <v/>
      </c>
      <c r="U382" s="4" t="str">
        <f t="shared" si="25"/>
        <v/>
      </c>
    </row>
    <row r="383" spans="1:21" x14ac:dyDescent="0.25">
      <c r="A383" s="50"/>
      <c r="B383" s="51"/>
      <c r="C383" s="2"/>
      <c r="D383" s="54"/>
      <c r="E383" s="51"/>
      <c r="F383" s="2"/>
      <c r="G383" s="54"/>
      <c r="H383" s="51"/>
      <c r="I383" s="2"/>
      <c r="J383" s="54"/>
      <c r="K383" s="52"/>
      <c r="L383" s="55"/>
      <c r="T383" s="4" t="str">
        <f t="shared" si="26"/>
        <v/>
      </c>
      <c r="U383" s="4" t="str">
        <f t="shared" si="25"/>
        <v/>
      </c>
    </row>
    <row r="384" spans="1:21" x14ac:dyDescent="0.25">
      <c r="A384" s="50"/>
      <c r="B384" s="51"/>
      <c r="C384" s="2"/>
      <c r="D384" s="54"/>
      <c r="E384" s="51"/>
      <c r="F384" s="2"/>
      <c r="G384" s="54"/>
      <c r="H384" s="51"/>
      <c r="I384" s="2"/>
      <c r="J384" s="54"/>
      <c r="K384" s="52"/>
      <c r="L384" s="55"/>
      <c r="T384" s="4" t="str">
        <f t="shared" si="26"/>
        <v/>
      </c>
      <c r="U384" s="4" t="str">
        <f t="shared" si="25"/>
        <v/>
      </c>
    </row>
    <row r="385" spans="1:21" x14ac:dyDescent="0.25">
      <c r="A385" s="50"/>
      <c r="B385" s="51"/>
      <c r="C385" s="2"/>
      <c r="D385" s="54"/>
      <c r="E385" s="51"/>
      <c r="F385" s="2"/>
      <c r="G385" s="54"/>
      <c r="H385" s="51"/>
      <c r="I385" s="2"/>
      <c r="J385" s="54"/>
      <c r="K385" s="52"/>
      <c r="L385" s="55"/>
      <c r="T385" s="4" t="str">
        <f t="shared" si="26"/>
        <v/>
      </c>
      <c r="U385" s="4" t="str">
        <f t="shared" si="25"/>
        <v/>
      </c>
    </row>
    <row r="386" spans="1:21" x14ac:dyDescent="0.25">
      <c r="A386" s="50"/>
      <c r="B386" s="51"/>
      <c r="C386" s="2"/>
      <c r="D386" s="54"/>
      <c r="E386" s="51"/>
      <c r="F386" s="2"/>
      <c r="G386" s="54"/>
      <c r="H386" s="51"/>
      <c r="I386" s="2"/>
      <c r="J386" s="54"/>
      <c r="K386" s="52"/>
      <c r="L386" s="55"/>
      <c r="T386" s="4" t="str">
        <f t="shared" si="26"/>
        <v/>
      </c>
      <c r="U386" s="4" t="str">
        <f t="shared" si="25"/>
        <v/>
      </c>
    </row>
    <row r="387" spans="1:21" x14ac:dyDescent="0.25">
      <c r="A387" s="50"/>
      <c r="B387" s="51"/>
      <c r="C387" s="2"/>
      <c r="D387" s="54"/>
      <c r="E387" s="51"/>
      <c r="F387" s="2"/>
      <c r="G387" s="54"/>
      <c r="H387" s="51"/>
      <c r="I387" s="2"/>
      <c r="J387" s="54"/>
      <c r="K387" s="52"/>
      <c r="L387" s="55"/>
      <c r="T387" s="4" t="str">
        <f t="shared" si="26"/>
        <v/>
      </c>
      <c r="U387" s="4" t="str">
        <f t="shared" ref="U387:U450" si="27">IF(T387&gt;$A$14,T387,"")</f>
        <v/>
      </c>
    </row>
    <row r="388" spans="1:21" x14ac:dyDescent="0.25">
      <c r="A388" s="50"/>
      <c r="B388" s="51"/>
      <c r="C388" s="2"/>
      <c r="D388" s="54"/>
      <c r="E388" s="51"/>
      <c r="F388" s="2"/>
      <c r="G388" s="54"/>
      <c r="H388" s="51"/>
      <c r="I388" s="2"/>
      <c r="J388" s="54"/>
      <c r="K388" s="52"/>
      <c r="L388" s="55"/>
      <c r="T388" s="4" t="str">
        <f t="shared" ref="T388:T451" si="28">IF(COUNTIF(P:P,N388)*COUNTIF(R:R,N388),N388,"")</f>
        <v/>
      </c>
      <c r="U388" s="4" t="str">
        <f t="shared" si="27"/>
        <v/>
      </c>
    </row>
    <row r="389" spans="1:21" x14ac:dyDescent="0.25">
      <c r="A389" s="50"/>
      <c r="B389" s="51"/>
      <c r="C389" s="2"/>
      <c r="D389" s="54"/>
      <c r="E389" s="51"/>
      <c r="F389" s="2"/>
      <c r="G389" s="54"/>
      <c r="H389" s="51"/>
      <c r="I389" s="2"/>
      <c r="J389" s="54"/>
      <c r="K389" s="52"/>
      <c r="L389" s="55"/>
      <c r="T389" s="4" t="str">
        <f t="shared" si="28"/>
        <v/>
      </c>
      <c r="U389" s="4" t="str">
        <f t="shared" si="27"/>
        <v/>
      </c>
    </row>
    <row r="390" spans="1:21" x14ac:dyDescent="0.25">
      <c r="A390" s="50"/>
      <c r="B390" s="51"/>
      <c r="C390" s="2"/>
      <c r="D390" s="54"/>
      <c r="E390" s="51"/>
      <c r="F390" s="2"/>
      <c r="G390" s="54"/>
      <c r="H390" s="51"/>
      <c r="I390" s="2"/>
      <c r="J390" s="54"/>
      <c r="K390" s="52"/>
      <c r="L390" s="55"/>
      <c r="T390" s="4" t="str">
        <f t="shared" si="28"/>
        <v/>
      </c>
      <c r="U390" s="4" t="str">
        <f t="shared" si="27"/>
        <v/>
      </c>
    </row>
    <row r="391" spans="1:21" x14ac:dyDescent="0.25">
      <c r="A391" s="50"/>
      <c r="B391" s="51"/>
      <c r="C391" s="2"/>
      <c r="D391" s="54"/>
      <c r="E391" s="51"/>
      <c r="F391" s="2"/>
      <c r="G391" s="54"/>
      <c r="H391" s="51"/>
      <c r="I391" s="2"/>
      <c r="J391" s="54"/>
      <c r="K391" s="52"/>
      <c r="L391" s="55"/>
      <c r="T391" s="4" t="str">
        <f t="shared" si="28"/>
        <v/>
      </c>
      <c r="U391" s="4" t="str">
        <f t="shared" si="27"/>
        <v/>
      </c>
    </row>
    <row r="392" spans="1:21" x14ac:dyDescent="0.25">
      <c r="A392" s="50"/>
      <c r="B392" s="51"/>
      <c r="C392" s="2"/>
      <c r="D392" s="54"/>
      <c r="E392" s="51"/>
      <c r="F392" s="2"/>
      <c r="G392" s="54"/>
      <c r="H392" s="51"/>
      <c r="I392" s="2"/>
      <c r="J392" s="54"/>
      <c r="K392" s="52"/>
      <c r="L392" s="55"/>
      <c r="T392" s="4" t="str">
        <f t="shared" si="28"/>
        <v/>
      </c>
      <c r="U392" s="4" t="str">
        <f t="shared" si="27"/>
        <v/>
      </c>
    </row>
    <row r="393" spans="1:21" x14ac:dyDescent="0.25">
      <c r="A393" s="50"/>
      <c r="B393" s="51"/>
      <c r="C393" s="2"/>
      <c r="D393" s="54"/>
      <c r="E393" s="51"/>
      <c r="F393" s="2"/>
      <c r="G393" s="54"/>
      <c r="H393" s="51"/>
      <c r="I393" s="2"/>
      <c r="J393" s="54"/>
      <c r="K393" s="52"/>
      <c r="L393" s="55"/>
      <c r="T393" s="4" t="str">
        <f t="shared" si="28"/>
        <v/>
      </c>
      <c r="U393" s="4" t="str">
        <f t="shared" si="27"/>
        <v/>
      </c>
    </row>
    <row r="394" spans="1:21" x14ac:dyDescent="0.25">
      <c r="A394" s="50"/>
      <c r="B394" s="51"/>
      <c r="C394" s="2"/>
      <c r="D394" s="54"/>
      <c r="E394" s="51"/>
      <c r="F394" s="2"/>
      <c r="G394" s="54"/>
      <c r="H394" s="51"/>
      <c r="I394" s="2"/>
      <c r="J394" s="54"/>
      <c r="K394" s="52"/>
      <c r="L394" s="55"/>
      <c r="T394" s="4" t="str">
        <f t="shared" si="28"/>
        <v/>
      </c>
      <c r="U394" s="4" t="str">
        <f t="shared" si="27"/>
        <v/>
      </c>
    </row>
    <row r="395" spans="1:21" x14ac:dyDescent="0.25">
      <c r="A395" s="50"/>
      <c r="B395" s="51"/>
      <c r="C395" s="2"/>
      <c r="D395" s="54"/>
      <c r="E395" s="51"/>
      <c r="F395" s="2"/>
      <c r="G395" s="54"/>
      <c r="H395" s="51"/>
      <c r="I395" s="2"/>
      <c r="J395" s="54"/>
      <c r="K395" s="52"/>
      <c r="L395" s="55"/>
      <c r="T395" s="4" t="str">
        <f t="shared" si="28"/>
        <v/>
      </c>
      <c r="U395" s="4" t="str">
        <f t="shared" si="27"/>
        <v/>
      </c>
    </row>
    <row r="396" spans="1:21" x14ac:dyDescent="0.25">
      <c r="A396" s="50"/>
      <c r="B396" s="51"/>
      <c r="C396" s="2"/>
      <c r="D396" s="54"/>
      <c r="E396" s="51"/>
      <c r="F396" s="2"/>
      <c r="G396" s="54"/>
      <c r="H396" s="51"/>
      <c r="I396" s="2"/>
      <c r="J396" s="54"/>
      <c r="K396" s="52"/>
      <c r="L396" s="55"/>
      <c r="T396" s="4" t="str">
        <f t="shared" si="28"/>
        <v/>
      </c>
      <c r="U396" s="4" t="str">
        <f t="shared" si="27"/>
        <v/>
      </c>
    </row>
    <row r="397" spans="1:21" x14ac:dyDescent="0.25">
      <c r="A397" s="50"/>
      <c r="B397" s="51"/>
      <c r="C397" s="2"/>
      <c r="D397" s="54"/>
      <c r="E397" s="51"/>
      <c r="F397" s="2"/>
      <c r="G397" s="54"/>
      <c r="H397" s="51"/>
      <c r="I397" s="2"/>
      <c r="J397" s="54"/>
      <c r="K397" s="52"/>
      <c r="L397" s="55"/>
      <c r="T397" s="4" t="str">
        <f t="shared" si="28"/>
        <v/>
      </c>
      <c r="U397" s="4" t="str">
        <f t="shared" si="27"/>
        <v/>
      </c>
    </row>
    <row r="398" spans="1:21" x14ac:dyDescent="0.25">
      <c r="A398" s="50"/>
      <c r="B398" s="51"/>
      <c r="C398" s="2"/>
      <c r="D398" s="54"/>
      <c r="E398" s="51"/>
      <c r="F398" s="2"/>
      <c r="G398" s="54"/>
      <c r="H398" s="51"/>
      <c r="I398" s="2"/>
      <c r="J398" s="54"/>
      <c r="K398" s="52"/>
      <c r="L398" s="55"/>
      <c r="T398" s="4" t="str">
        <f t="shared" si="28"/>
        <v/>
      </c>
      <c r="U398" s="4" t="str">
        <f t="shared" si="27"/>
        <v/>
      </c>
    </row>
    <row r="399" spans="1:21" x14ac:dyDescent="0.25">
      <c r="A399" s="50"/>
      <c r="B399" s="51"/>
      <c r="C399" s="2"/>
      <c r="D399" s="54"/>
      <c r="E399" s="51"/>
      <c r="F399" s="2"/>
      <c r="G399" s="54"/>
      <c r="H399" s="51"/>
      <c r="I399" s="2"/>
      <c r="J399" s="54"/>
      <c r="K399" s="52"/>
      <c r="L399" s="55"/>
      <c r="T399" s="4" t="str">
        <f t="shared" si="28"/>
        <v/>
      </c>
      <c r="U399" s="4" t="str">
        <f t="shared" si="27"/>
        <v/>
      </c>
    </row>
    <row r="400" spans="1:21" x14ac:dyDescent="0.25">
      <c r="A400" s="50"/>
      <c r="B400" s="51"/>
      <c r="C400" s="2"/>
      <c r="D400" s="54"/>
      <c r="E400" s="51"/>
      <c r="F400" s="2"/>
      <c r="G400" s="54"/>
      <c r="H400" s="51"/>
      <c r="I400" s="2"/>
      <c r="J400" s="54"/>
      <c r="K400" s="52"/>
      <c r="L400" s="55"/>
      <c r="T400" s="4" t="str">
        <f t="shared" si="28"/>
        <v/>
      </c>
      <c r="U400" s="4" t="str">
        <f t="shared" si="27"/>
        <v/>
      </c>
    </row>
    <row r="401" spans="1:21" x14ac:dyDescent="0.25">
      <c r="A401" s="50"/>
      <c r="B401" s="51"/>
      <c r="C401" s="2"/>
      <c r="D401" s="54"/>
      <c r="E401" s="51"/>
      <c r="F401" s="2"/>
      <c r="G401" s="54"/>
      <c r="H401" s="51"/>
      <c r="I401" s="2"/>
      <c r="J401" s="54"/>
      <c r="K401" s="52"/>
      <c r="L401" s="55"/>
      <c r="T401" s="4" t="str">
        <f t="shared" si="28"/>
        <v/>
      </c>
      <c r="U401" s="4" t="str">
        <f t="shared" si="27"/>
        <v/>
      </c>
    </row>
    <row r="402" spans="1:21" x14ac:dyDescent="0.25">
      <c r="A402" s="50"/>
      <c r="B402" s="51"/>
      <c r="C402" s="2"/>
      <c r="D402" s="54"/>
      <c r="E402" s="51"/>
      <c r="F402" s="2"/>
      <c r="G402" s="54"/>
      <c r="H402" s="51"/>
      <c r="I402" s="2"/>
      <c r="J402" s="54"/>
      <c r="K402" s="52"/>
      <c r="L402" s="55"/>
      <c r="T402" s="4" t="str">
        <f t="shared" si="28"/>
        <v/>
      </c>
      <c r="U402" s="4" t="str">
        <f t="shared" si="27"/>
        <v/>
      </c>
    </row>
    <row r="403" spans="1:21" x14ac:dyDescent="0.25">
      <c r="A403" s="50"/>
      <c r="B403" s="51"/>
      <c r="C403" s="2"/>
      <c r="D403" s="54"/>
      <c r="E403" s="51"/>
      <c r="F403" s="2"/>
      <c r="G403" s="54"/>
      <c r="H403" s="51"/>
      <c r="I403" s="2"/>
      <c r="J403" s="54"/>
      <c r="K403" s="52"/>
      <c r="L403" s="55"/>
      <c r="T403" s="4" t="str">
        <f t="shared" si="28"/>
        <v/>
      </c>
      <c r="U403" s="4" t="str">
        <f t="shared" si="27"/>
        <v/>
      </c>
    </row>
    <row r="404" spans="1:21" x14ac:dyDescent="0.25">
      <c r="A404" s="50"/>
      <c r="B404" s="51"/>
      <c r="C404" s="2"/>
      <c r="D404" s="54"/>
      <c r="E404" s="51"/>
      <c r="F404" s="2"/>
      <c r="G404" s="54"/>
      <c r="H404" s="51"/>
      <c r="I404" s="2"/>
      <c r="J404" s="54"/>
      <c r="K404" s="52"/>
      <c r="L404" s="55"/>
      <c r="T404" s="4" t="str">
        <f t="shared" si="28"/>
        <v/>
      </c>
      <c r="U404" s="4" t="str">
        <f t="shared" si="27"/>
        <v/>
      </c>
    </row>
    <row r="405" spans="1:21" x14ac:dyDescent="0.25">
      <c r="A405" s="50"/>
      <c r="B405" s="51"/>
      <c r="C405" s="2"/>
      <c r="D405" s="54"/>
      <c r="E405" s="51"/>
      <c r="F405" s="2"/>
      <c r="G405" s="54"/>
      <c r="H405" s="51"/>
      <c r="I405" s="2"/>
      <c r="J405" s="54"/>
      <c r="K405" s="52"/>
      <c r="L405" s="55"/>
      <c r="T405" s="4" t="str">
        <f t="shared" si="28"/>
        <v/>
      </c>
      <c r="U405" s="4" t="str">
        <f t="shared" si="27"/>
        <v/>
      </c>
    </row>
    <row r="406" spans="1:21" x14ac:dyDescent="0.25">
      <c r="A406" s="50"/>
      <c r="B406" s="51"/>
      <c r="C406" s="2"/>
      <c r="D406" s="54"/>
      <c r="E406" s="51"/>
      <c r="F406" s="2"/>
      <c r="G406" s="54"/>
      <c r="H406" s="51"/>
      <c r="I406" s="2"/>
      <c r="J406" s="54"/>
      <c r="K406" s="52"/>
      <c r="L406" s="55"/>
      <c r="T406" s="4" t="str">
        <f t="shared" si="28"/>
        <v/>
      </c>
      <c r="U406" s="4" t="str">
        <f t="shared" si="27"/>
        <v/>
      </c>
    </row>
    <row r="407" spans="1:21" x14ac:dyDescent="0.25">
      <c r="A407" s="50"/>
      <c r="B407" s="51"/>
      <c r="C407" s="2"/>
      <c r="D407" s="54"/>
      <c r="E407" s="51"/>
      <c r="F407" s="2"/>
      <c r="G407" s="54"/>
      <c r="H407" s="51"/>
      <c r="I407" s="2"/>
      <c r="J407" s="54"/>
      <c r="K407" s="52"/>
      <c r="L407" s="55"/>
      <c r="T407" s="4" t="str">
        <f t="shared" si="28"/>
        <v/>
      </c>
      <c r="U407" s="4" t="str">
        <f t="shared" si="27"/>
        <v/>
      </c>
    </row>
    <row r="408" spans="1:21" x14ac:dyDescent="0.25">
      <c r="A408" s="50"/>
      <c r="B408" s="51"/>
      <c r="C408" s="2"/>
      <c r="D408" s="54"/>
      <c r="E408" s="51"/>
      <c r="F408" s="2"/>
      <c r="G408" s="54"/>
      <c r="H408" s="51"/>
      <c r="I408" s="2"/>
      <c r="J408" s="54"/>
      <c r="K408" s="52"/>
      <c r="L408" s="55"/>
      <c r="T408" s="4" t="str">
        <f t="shared" si="28"/>
        <v/>
      </c>
      <c r="U408" s="4" t="str">
        <f t="shared" si="27"/>
        <v/>
      </c>
    </row>
    <row r="409" spans="1:21" x14ac:dyDescent="0.25">
      <c r="A409" s="50"/>
      <c r="B409" s="51"/>
      <c r="C409" s="2"/>
      <c r="D409" s="54"/>
      <c r="E409" s="51"/>
      <c r="F409" s="2"/>
      <c r="G409" s="54"/>
      <c r="H409" s="51"/>
      <c r="I409" s="2"/>
      <c r="J409" s="54"/>
      <c r="K409" s="52"/>
      <c r="L409" s="55"/>
      <c r="T409" s="4" t="str">
        <f t="shared" si="28"/>
        <v/>
      </c>
      <c r="U409" s="4" t="str">
        <f t="shared" si="27"/>
        <v/>
      </c>
    </row>
    <row r="410" spans="1:21" x14ac:dyDescent="0.25">
      <c r="A410" s="50"/>
      <c r="B410" s="51"/>
      <c r="C410" s="2"/>
      <c r="D410" s="54"/>
      <c r="E410" s="51"/>
      <c r="F410" s="2"/>
      <c r="G410" s="54"/>
      <c r="H410" s="51"/>
      <c r="I410" s="2"/>
      <c r="J410" s="54"/>
      <c r="K410" s="52"/>
      <c r="L410" s="55"/>
      <c r="T410" s="4" t="str">
        <f t="shared" si="28"/>
        <v/>
      </c>
      <c r="U410" s="4" t="str">
        <f t="shared" si="27"/>
        <v/>
      </c>
    </row>
    <row r="411" spans="1:21" x14ac:dyDescent="0.25">
      <c r="A411" s="50"/>
      <c r="B411" s="51"/>
      <c r="C411" s="2"/>
      <c r="D411" s="54"/>
      <c r="E411" s="51"/>
      <c r="F411" s="2"/>
      <c r="G411" s="54"/>
      <c r="H411" s="51"/>
      <c r="I411" s="2"/>
      <c r="J411" s="54"/>
      <c r="K411" s="52"/>
      <c r="L411" s="55"/>
      <c r="T411" s="4" t="str">
        <f t="shared" si="28"/>
        <v/>
      </c>
      <c r="U411" s="4" t="str">
        <f t="shared" si="27"/>
        <v/>
      </c>
    </row>
    <row r="412" spans="1:21" x14ac:dyDescent="0.25">
      <c r="A412" s="50"/>
      <c r="B412" s="51"/>
      <c r="C412" s="2"/>
      <c r="D412" s="54"/>
      <c r="E412" s="51"/>
      <c r="F412" s="2"/>
      <c r="G412" s="54"/>
      <c r="H412" s="51"/>
      <c r="I412" s="2"/>
      <c r="J412" s="54"/>
      <c r="K412" s="52"/>
      <c r="L412" s="55"/>
      <c r="T412" s="4" t="str">
        <f t="shared" si="28"/>
        <v/>
      </c>
      <c r="U412" s="4" t="str">
        <f t="shared" si="27"/>
        <v/>
      </c>
    </row>
    <row r="413" spans="1:21" x14ac:dyDescent="0.25">
      <c r="A413" s="50"/>
      <c r="B413" s="51"/>
      <c r="C413" s="2"/>
      <c r="D413" s="54"/>
      <c r="E413" s="51"/>
      <c r="F413" s="2"/>
      <c r="G413" s="54"/>
      <c r="H413" s="51"/>
      <c r="I413" s="2"/>
      <c r="J413" s="54"/>
      <c r="K413" s="52"/>
      <c r="L413" s="55"/>
      <c r="T413" s="4" t="str">
        <f t="shared" si="28"/>
        <v/>
      </c>
      <c r="U413" s="4" t="str">
        <f t="shared" si="27"/>
        <v/>
      </c>
    </row>
    <row r="414" spans="1:21" x14ac:dyDescent="0.25">
      <c r="A414" s="50"/>
      <c r="B414" s="51"/>
      <c r="C414" s="2"/>
      <c r="D414" s="54"/>
      <c r="E414" s="51"/>
      <c r="F414" s="2"/>
      <c r="G414" s="54"/>
      <c r="H414" s="51"/>
      <c r="I414" s="2"/>
      <c r="J414" s="54"/>
      <c r="K414" s="52"/>
      <c r="L414" s="55"/>
      <c r="T414" s="4" t="str">
        <f t="shared" si="28"/>
        <v/>
      </c>
      <c r="U414" s="4" t="str">
        <f t="shared" si="27"/>
        <v/>
      </c>
    </row>
    <row r="415" spans="1:21" x14ac:dyDescent="0.25">
      <c r="A415" s="50"/>
      <c r="B415" s="51"/>
      <c r="C415" s="2"/>
      <c r="D415" s="54"/>
      <c r="E415" s="51"/>
      <c r="F415" s="2"/>
      <c r="G415" s="54"/>
      <c r="H415" s="51"/>
      <c r="I415" s="2"/>
      <c r="J415" s="54"/>
      <c r="K415" s="52"/>
      <c r="L415" s="55"/>
      <c r="T415" s="4" t="str">
        <f t="shared" si="28"/>
        <v/>
      </c>
      <c r="U415" s="4" t="str">
        <f t="shared" si="27"/>
        <v/>
      </c>
    </row>
    <row r="416" spans="1:21" x14ac:dyDescent="0.25">
      <c r="A416" s="50"/>
      <c r="B416" s="51"/>
      <c r="C416" s="2"/>
      <c r="D416" s="54"/>
      <c r="E416" s="51"/>
      <c r="F416" s="2"/>
      <c r="G416" s="54"/>
      <c r="H416" s="51"/>
      <c r="I416" s="2"/>
      <c r="J416" s="54"/>
      <c r="K416" s="52"/>
      <c r="L416" s="55"/>
      <c r="T416" s="4" t="str">
        <f t="shared" si="28"/>
        <v/>
      </c>
      <c r="U416" s="4" t="str">
        <f t="shared" si="27"/>
        <v/>
      </c>
    </row>
    <row r="417" spans="1:21" x14ac:dyDescent="0.25">
      <c r="A417" s="50"/>
      <c r="B417" s="51"/>
      <c r="C417" s="2"/>
      <c r="D417" s="54"/>
      <c r="E417" s="51"/>
      <c r="F417" s="2"/>
      <c r="G417" s="54"/>
      <c r="H417" s="51"/>
      <c r="I417" s="2"/>
      <c r="J417" s="54"/>
      <c r="K417" s="52"/>
      <c r="L417" s="55"/>
      <c r="T417" s="4" t="str">
        <f t="shared" si="28"/>
        <v/>
      </c>
      <c r="U417" s="4" t="str">
        <f t="shared" si="27"/>
        <v/>
      </c>
    </row>
    <row r="418" spans="1:21" x14ac:dyDescent="0.25">
      <c r="A418" s="50"/>
      <c r="B418" s="51"/>
      <c r="C418" s="2"/>
      <c r="D418" s="54"/>
      <c r="E418" s="51"/>
      <c r="F418" s="2"/>
      <c r="G418" s="54"/>
      <c r="H418" s="51"/>
      <c r="I418" s="2"/>
      <c r="J418" s="54"/>
      <c r="K418" s="52"/>
      <c r="L418" s="55"/>
      <c r="T418" s="4" t="str">
        <f t="shared" si="28"/>
        <v/>
      </c>
      <c r="U418" s="4" t="str">
        <f t="shared" si="27"/>
        <v/>
      </c>
    </row>
    <row r="419" spans="1:21" x14ac:dyDescent="0.25">
      <c r="A419" s="50"/>
      <c r="B419" s="51"/>
      <c r="C419" s="2"/>
      <c r="D419" s="54"/>
      <c r="E419" s="51"/>
      <c r="F419" s="2"/>
      <c r="G419" s="54"/>
      <c r="H419" s="51"/>
      <c r="I419" s="2"/>
      <c r="J419" s="54"/>
      <c r="K419" s="52"/>
      <c r="L419" s="55"/>
      <c r="T419" s="4" t="str">
        <f t="shared" si="28"/>
        <v/>
      </c>
      <c r="U419" s="4" t="str">
        <f t="shared" si="27"/>
        <v/>
      </c>
    </row>
    <row r="420" spans="1:21" x14ac:dyDescent="0.25">
      <c r="A420" s="50"/>
      <c r="B420" s="51"/>
      <c r="C420" s="2"/>
      <c r="D420" s="54"/>
      <c r="E420" s="51"/>
      <c r="F420" s="2"/>
      <c r="G420" s="54"/>
      <c r="H420" s="51"/>
      <c r="I420" s="2"/>
      <c r="J420" s="54"/>
      <c r="K420" s="52"/>
      <c r="L420" s="55"/>
      <c r="T420" s="4" t="str">
        <f t="shared" si="28"/>
        <v/>
      </c>
      <c r="U420" s="4" t="str">
        <f t="shared" si="27"/>
        <v/>
      </c>
    </row>
    <row r="421" spans="1:21" x14ac:dyDescent="0.25">
      <c r="A421" s="50"/>
      <c r="B421" s="51"/>
      <c r="C421" s="2"/>
      <c r="D421" s="54"/>
      <c r="E421" s="51"/>
      <c r="F421" s="2"/>
      <c r="G421" s="54"/>
      <c r="H421" s="51"/>
      <c r="I421" s="2"/>
      <c r="J421" s="54"/>
      <c r="K421" s="52"/>
      <c r="L421" s="55"/>
      <c r="T421" s="4" t="str">
        <f t="shared" si="28"/>
        <v/>
      </c>
      <c r="U421" s="4" t="str">
        <f t="shared" si="27"/>
        <v/>
      </c>
    </row>
    <row r="422" spans="1:21" x14ac:dyDescent="0.25">
      <c r="A422" s="50"/>
      <c r="B422" s="51"/>
      <c r="C422" s="2"/>
      <c r="D422" s="54"/>
      <c r="E422" s="51"/>
      <c r="F422" s="2"/>
      <c r="G422" s="54"/>
      <c r="H422" s="51"/>
      <c r="I422" s="2"/>
      <c r="J422" s="54"/>
      <c r="K422" s="52"/>
      <c r="L422" s="55"/>
      <c r="T422" s="4" t="str">
        <f t="shared" si="28"/>
        <v/>
      </c>
      <c r="U422" s="4" t="str">
        <f t="shared" si="27"/>
        <v/>
      </c>
    </row>
    <row r="423" spans="1:21" x14ac:dyDescent="0.25">
      <c r="A423" s="50"/>
      <c r="B423" s="51"/>
      <c r="C423" s="2"/>
      <c r="D423" s="54"/>
      <c r="E423" s="51"/>
      <c r="F423" s="2"/>
      <c r="G423" s="54"/>
      <c r="H423" s="51"/>
      <c r="I423" s="2"/>
      <c r="J423" s="54"/>
      <c r="K423" s="52"/>
      <c r="L423" s="55"/>
      <c r="T423" s="4" t="str">
        <f t="shared" si="28"/>
        <v/>
      </c>
      <c r="U423" s="4" t="str">
        <f t="shared" si="27"/>
        <v/>
      </c>
    </row>
    <row r="424" spans="1:21" x14ac:dyDescent="0.25">
      <c r="A424" s="50"/>
      <c r="B424" s="51"/>
      <c r="C424" s="2"/>
      <c r="D424" s="54"/>
      <c r="E424" s="51"/>
      <c r="F424" s="2"/>
      <c r="G424" s="54"/>
      <c r="H424" s="51"/>
      <c r="I424" s="2"/>
      <c r="J424" s="54"/>
      <c r="K424" s="52"/>
      <c r="L424" s="55"/>
      <c r="T424" s="4" t="str">
        <f t="shared" si="28"/>
        <v/>
      </c>
      <c r="U424" s="4" t="str">
        <f t="shared" si="27"/>
        <v/>
      </c>
    </row>
    <row r="425" spans="1:21" x14ac:dyDescent="0.25">
      <c r="A425" s="50"/>
      <c r="B425" s="51"/>
      <c r="C425" s="2"/>
      <c r="D425" s="54"/>
      <c r="E425" s="51"/>
      <c r="F425" s="2"/>
      <c r="G425" s="54"/>
      <c r="H425" s="51"/>
      <c r="I425" s="2"/>
      <c r="J425" s="54"/>
      <c r="K425" s="52"/>
      <c r="L425" s="55"/>
      <c r="T425" s="4" t="str">
        <f t="shared" si="28"/>
        <v/>
      </c>
      <c r="U425" s="4" t="str">
        <f t="shared" si="27"/>
        <v/>
      </c>
    </row>
    <row r="426" spans="1:21" x14ac:dyDescent="0.25">
      <c r="A426" s="50"/>
      <c r="B426" s="51"/>
      <c r="C426" s="2"/>
      <c r="D426" s="54"/>
      <c r="E426" s="51"/>
      <c r="F426" s="2"/>
      <c r="G426" s="54"/>
      <c r="H426" s="51"/>
      <c r="I426" s="2"/>
      <c r="J426" s="54"/>
      <c r="K426" s="52"/>
      <c r="L426" s="55"/>
      <c r="T426" s="4" t="str">
        <f t="shared" si="28"/>
        <v/>
      </c>
      <c r="U426" s="4" t="str">
        <f t="shared" si="27"/>
        <v/>
      </c>
    </row>
    <row r="427" spans="1:21" x14ac:dyDescent="0.25">
      <c r="A427" s="50"/>
      <c r="B427" s="51"/>
      <c r="C427" s="2"/>
      <c r="D427" s="54"/>
      <c r="E427" s="51"/>
      <c r="F427" s="2"/>
      <c r="G427" s="54"/>
      <c r="H427" s="51"/>
      <c r="I427" s="2"/>
      <c r="J427" s="54"/>
      <c r="K427" s="52"/>
      <c r="L427" s="55"/>
      <c r="T427" s="4" t="str">
        <f t="shared" si="28"/>
        <v/>
      </c>
      <c r="U427" s="4" t="str">
        <f t="shared" si="27"/>
        <v/>
      </c>
    </row>
    <row r="428" spans="1:21" x14ac:dyDescent="0.25">
      <c r="A428" s="50"/>
      <c r="B428" s="51"/>
      <c r="C428" s="2"/>
      <c r="D428" s="54"/>
      <c r="E428" s="51"/>
      <c r="F428" s="2"/>
      <c r="G428" s="54"/>
      <c r="H428" s="51"/>
      <c r="I428" s="2"/>
      <c r="J428" s="54"/>
      <c r="K428" s="52"/>
      <c r="L428" s="55"/>
      <c r="T428" s="4" t="str">
        <f t="shared" si="28"/>
        <v/>
      </c>
      <c r="U428" s="4" t="str">
        <f t="shared" si="27"/>
        <v/>
      </c>
    </row>
    <row r="429" spans="1:21" x14ac:dyDescent="0.25">
      <c r="A429" s="50"/>
      <c r="B429" s="51"/>
      <c r="C429" s="2"/>
      <c r="D429" s="54"/>
      <c r="E429" s="51"/>
      <c r="F429" s="2"/>
      <c r="G429" s="54"/>
      <c r="H429" s="51"/>
      <c r="I429" s="2"/>
      <c r="J429" s="54"/>
      <c r="K429" s="52"/>
      <c r="L429" s="55"/>
      <c r="T429" s="4" t="str">
        <f t="shared" si="28"/>
        <v/>
      </c>
      <c r="U429" s="4" t="str">
        <f t="shared" si="27"/>
        <v/>
      </c>
    </row>
    <row r="430" spans="1:21" x14ac:dyDescent="0.25">
      <c r="A430" s="50"/>
      <c r="B430" s="51"/>
      <c r="C430" s="2"/>
      <c r="D430" s="54"/>
      <c r="E430" s="51"/>
      <c r="F430" s="2"/>
      <c r="G430" s="54"/>
      <c r="H430" s="51"/>
      <c r="I430" s="2"/>
      <c r="J430" s="54"/>
      <c r="K430" s="52"/>
      <c r="L430" s="55"/>
      <c r="T430" s="4" t="str">
        <f t="shared" si="28"/>
        <v/>
      </c>
      <c r="U430" s="4" t="str">
        <f t="shared" si="27"/>
        <v/>
      </c>
    </row>
    <row r="431" spans="1:21" x14ac:dyDescent="0.25">
      <c r="A431" s="50"/>
      <c r="B431" s="51"/>
      <c r="C431" s="2"/>
      <c r="D431" s="54"/>
      <c r="E431" s="51"/>
      <c r="F431" s="2"/>
      <c r="G431" s="54"/>
      <c r="H431" s="51"/>
      <c r="I431" s="2"/>
      <c r="J431" s="54"/>
      <c r="K431" s="52"/>
      <c r="L431" s="55"/>
      <c r="T431" s="4" t="str">
        <f t="shared" si="28"/>
        <v/>
      </c>
      <c r="U431" s="4" t="str">
        <f t="shared" si="27"/>
        <v/>
      </c>
    </row>
    <row r="432" spans="1:21" x14ac:dyDescent="0.25">
      <c r="A432" s="50"/>
      <c r="B432" s="51"/>
      <c r="C432" s="2"/>
      <c r="D432" s="54"/>
      <c r="E432" s="51"/>
      <c r="F432" s="2"/>
      <c r="G432" s="54"/>
      <c r="H432" s="51"/>
      <c r="I432" s="2"/>
      <c r="J432" s="54"/>
      <c r="K432" s="52"/>
      <c r="L432" s="55"/>
      <c r="T432" s="4" t="str">
        <f t="shared" si="28"/>
        <v/>
      </c>
      <c r="U432" s="4" t="str">
        <f t="shared" si="27"/>
        <v/>
      </c>
    </row>
    <row r="433" spans="1:21" x14ac:dyDescent="0.25">
      <c r="A433" s="50"/>
      <c r="B433" s="51"/>
      <c r="C433" s="2"/>
      <c r="D433" s="54"/>
      <c r="E433" s="51"/>
      <c r="F433" s="2"/>
      <c r="G433" s="54"/>
      <c r="H433" s="51"/>
      <c r="I433" s="2"/>
      <c r="J433" s="54"/>
      <c r="K433" s="52"/>
      <c r="L433" s="55"/>
      <c r="T433" s="4" t="str">
        <f t="shared" si="28"/>
        <v/>
      </c>
      <c r="U433" s="4" t="str">
        <f t="shared" si="27"/>
        <v/>
      </c>
    </row>
    <row r="434" spans="1:21" x14ac:dyDescent="0.25">
      <c r="A434" s="50"/>
      <c r="B434" s="51"/>
      <c r="C434" s="2"/>
      <c r="D434" s="54"/>
      <c r="E434" s="51"/>
      <c r="F434" s="2"/>
      <c r="G434" s="54"/>
      <c r="H434" s="51"/>
      <c r="I434" s="2"/>
      <c r="J434" s="54"/>
      <c r="K434" s="52"/>
      <c r="L434" s="55"/>
      <c r="T434" s="4" t="str">
        <f t="shared" si="28"/>
        <v/>
      </c>
      <c r="U434" s="4" t="str">
        <f t="shared" si="27"/>
        <v/>
      </c>
    </row>
    <row r="435" spans="1:21" x14ac:dyDescent="0.25">
      <c r="A435" s="50"/>
      <c r="B435" s="51"/>
      <c r="C435" s="2"/>
      <c r="D435" s="54"/>
      <c r="E435" s="51"/>
      <c r="F435" s="2"/>
      <c r="G435" s="54"/>
      <c r="H435" s="51"/>
      <c r="I435" s="2"/>
      <c r="J435" s="54"/>
      <c r="K435" s="52"/>
      <c r="L435" s="55"/>
      <c r="T435" s="4" t="str">
        <f t="shared" si="28"/>
        <v/>
      </c>
      <c r="U435" s="4" t="str">
        <f t="shared" si="27"/>
        <v/>
      </c>
    </row>
    <row r="436" spans="1:21" x14ac:dyDescent="0.25">
      <c r="A436" s="50"/>
      <c r="B436" s="51"/>
      <c r="C436" s="2"/>
      <c r="D436" s="54"/>
      <c r="E436" s="51"/>
      <c r="F436" s="2"/>
      <c r="G436" s="54"/>
      <c r="H436" s="51"/>
      <c r="I436" s="2"/>
      <c r="J436" s="54"/>
      <c r="K436" s="52"/>
      <c r="L436" s="55"/>
      <c r="T436" s="4" t="str">
        <f t="shared" si="28"/>
        <v/>
      </c>
      <c r="U436" s="4" t="str">
        <f t="shared" si="27"/>
        <v/>
      </c>
    </row>
    <row r="437" spans="1:21" x14ac:dyDescent="0.25">
      <c r="A437" s="50"/>
      <c r="B437" s="51"/>
      <c r="C437" s="2"/>
      <c r="D437" s="54"/>
      <c r="E437" s="51"/>
      <c r="F437" s="2"/>
      <c r="G437" s="54"/>
      <c r="H437" s="51"/>
      <c r="I437" s="2"/>
      <c r="J437" s="54"/>
      <c r="K437" s="52"/>
      <c r="L437" s="55"/>
      <c r="T437" s="4" t="str">
        <f t="shared" si="28"/>
        <v/>
      </c>
      <c r="U437" s="4" t="str">
        <f t="shared" si="27"/>
        <v/>
      </c>
    </row>
    <row r="438" spans="1:21" x14ac:dyDescent="0.25">
      <c r="A438" s="50"/>
      <c r="B438" s="51"/>
      <c r="C438" s="2"/>
      <c r="D438" s="54"/>
      <c r="E438" s="51"/>
      <c r="F438" s="2"/>
      <c r="G438" s="54"/>
      <c r="H438" s="51"/>
      <c r="I438" s="2"/>
      <c r="J438" s="54"/>
      <c r="K438" s="52"/>
      <c r="L438" s="55"/>
      <c r="T438" s="4" t="str">
        <f t="shared" si="28"/>
        <v/>
      </c>
      <c r="U438" s="4" t="str">
        <f t="shared" si="27"/>
        <v/>
      </c>
    </row>
    <row r="439" spans="1:21" x14ac:dyDescent="0.25">
      <c r="A439" s="50"/>
      <c r="B439" s="51"/>
      <c r="C439" s="2"/>
      <c r="D439" s="54"/>
      <c r="E439" s="51"/>
      <c r="F439" s="2"/>
      <c r="G439" s="54"/>
      <c r="H439" s="51"/>
      <c r="I439" s="2"/>
      <c r="J439" s="54"/>
      <c r="K439" s="52"/>
      <c r="L439" s="55"/>
      <c r="T439" s="4" t="str">
        <f t="shared" si="28"/>
        <v/>
      </c>
      <c r="U439" s="4" t="str">
        <f t="shared" si="27"/>
        <v/>
      </c>
    </row>
    <row r="440" spans="1:21" x14ac:dyDescent="0.25">
      <c r="A440" s="50"/>
      <c r="B440" s="51"/>
      <c r="C440" s="2"/>
      <c r="D440" s="54"/>
      <c r="E440" s="51"/>
      <c r="F440" s="2"/>
      <c r="G440" s="54"/>
      <c r="H440" s="51"/>
      <c r="I440" s="2"/>
      <c r="J440" s="54"/>
      <c r="K440" s="52"/>
      <c r="L440" s="55"/>
      <c r="T440" s="4" t="str">
        <f t="shared" si="28"/>
        <v/>
      </c>
      <c r="U440" s="4" t="str">
        <f t="shared" si="27"/>
        <v/>
      </c>
    </row>
    <row r="441" spans="1:21" x14ac:dyDescent="0.25">
      <c r="A441" s="50"/>
      <c r="B441" s="51"/>
      <c r="C441" s="2"/>
      <c r="D441" s="54"/>
      <c r="E441" s="51"/>
      <c r="F441" s="2"/>
      <c r="G441" s="54"/>
      <c r="H441" s="51"/>
      <c r="I441" s="2"/>
      <c r="J441" s="54"/>
      <c r="K441" s="52"/>
      <c r="L441" s="55"/>
      <c r="T441" s="4" t="str">
        <f t="shared" si="28"/>
        <v/>
      </c>
      <c r="U441" s="4" t="str">
        <f t="shared" si="27"/>
        <v/>
      </c>
    </row>
    <row r="442" spans="1:21" x14ac:dyDescent="0.25">
      <c r="A442" s="50"/>
      <c r="B442" s="51"/>
      <c r="C442" s="2"/>
      <c r="D442" s="54"/>
      <c r="E442" s="51"/>
      <c r="F442" s="2"/>
      <c r="G442" s="54"/>
      <c r="H442" s="51"/>
      <c r="I442" s="2"/>
      <c r="J442" s="54"/>
      <c r="K442" s="52"/>
      <c r="L442" s="55"/>
      <c r="T442" s="4" t="str">
        <f t="shared" si="28"/>
        <v/>
      </c>
      <c r="U442" s="4" t="str">
        <f t="shared" si="27"/>
        <v/>
      </c>
    </row>
    <row r="443" spans="1:21" x14ac:dyDescent="0.25">
      <c r="A443" s="50"/>
      <c r="B443" s="51"/>
      <c r="C443" s="2"/>
      <c r="D443" s="54"/>
      <c r="E443" s="51"/>
      <c r="F443" s="2"/>
      <c r="G443" s="54"/>
      <c r="H443" s="51"/>
      <c r="I443" s="2"/>
      <c r="J443" s="54"/>
      <c r="K443" s="52"/>
      <c r="L443" s="55"/>
      <c r="T443" s="4" t="str">
        <f t="shared" si="28"/>
        <v/>
      </c>
      <c r="U443" s="4" t="str">
        <f t="shared" si="27"/>
        <v/>
      </c>
    </row>
    <row r="444" spans="1:21" x14ac:dyDescent="0.25">
      <c r="A444" s="50"/>
      <c r="B444" s="51"/>
      <c r="C444" s="2"/>
      <c r="D444" s="54"/>
      <c r="E444" s="51"/>
      <c r="F444" s="2"/>
      <c r="G444" s="54"/>
      <c r="H444" s="51"/>
      <c r="I444" s="2"/>
      <c r="J444" s="54"/>
      <c r="K444" s="52"/>
      <c r="L444" s="55"/>
      <c r="T444" s="4" t="str">
        <f t="shared" si="28"/>
        <v/>
      </c>
      <c r="U444" s="4" t="str">
        <f t="shared" si="27"/>
        <v/>
      </c>
    </row>
    <row r="445" spans="1:21" x14ac:dyDescent="0.25">
      <c r="A445" s="50"/>
      <c r="B445" s="51"/>
      <c r="C445" s="2"/>
      <c r="D445" s="54"/>
      <c r="E445" s="51"/>
      <c r="F445" s="2"/>
      <c r="G445" s="54"/>
      <c r="H445" s="51"/>
      <c r="I445" s="2"/>
      <c r="J445" s="54"/>
      <c r="K445" s="52"/>
      <c r="L445" s="55"/>
      <c r="T445" s="4" t="str">
        <f t="shared" si="28"/>
        <v/>
      </c>
      <c r="U445" s="4" t="str">
        <f t="shared" si="27"/>
        <v/>
      </c>
    </row>
    <row r="446" spans="1:21" x14ac:dyDescent="0.25">
      <c r="A446" s="50"/>
      <c r="B446" s="51"/>
      <c r="C446" s="2"/>
      <c r="D446" s="54"/>
      <c r="E446" s="51"/>
      <c r="F446" s="2"/>
      <c r="G446" s="54"/>
      <c r="H446" s="51"/>
      <c r="I446" s="2"/>
      <c r="J446" s="54"/>
      <c r="K446" s="52"/>
      <c r="L446" s="55"/>
      <c r="T446" s="4" t="str">
        <f t="shared" si="28"/>
        <v/>
      </c>
      <c r="U446" s="4" t="str">
        <f t="shared" si="27"/>
        <v/>
      </c>
    </row>
    <row r="447" spans="1:21" x14ac:dyDescent="0.25">
      <c r="A447" s="50"/>
      <c r="B447" s="51"/>
      <c r="C447" s="2"/>
      <c r="D447" s="54"/>
      <c r="E447" s="51"/>
      <c r="F447" s="2"/>
      <c r="G447" s="54"/>
      <c r="H447" s="51"/>
      <c r="I447" s="2"/>
      <c r="J447" s="54"/>
      <c r="K447" s="52"/>
      <c r="L447" s="55"/>
      <c r="T447" s="4" t="str">
        <f t="shared" si="28"/>
        <v/>
      </c>
      <c r="U447" s="4" t="str">
        <f t="shared" si="27"/>
        <v/>
      </c>
    </row>
    <row r="448" spans="1:21" x14ac:dyDescent="0.25">
      <c r="A448" s="50"/>
      <c r="B448" s="51"/>
      <c r="C448" s="2"/>
      <c r="D448" s="54"/>
      <c r="E448" s="51"/>
      <c r="F448" s="2"/>
      <c r="G448" s="54"/>
      <c r="H448" s="51"/>
      <c r="I448" s="2"/>
      <c r="J448" s="54"/>
      <c r="K448" s="52"/>
      <c r="L448" s="55"/>
      <c r="T448" s="4" t="str">
        <f t="shared" si="28"/>
        <v/>
      </c>
      <c r="U448" s="4" t="str">
        <f t="shared" si="27"/>
        <v/>
      </c>
    </row>
    <row r="449" spans="1:21" x14ac:dyDescent="0.25">
      <c r="A449" s="50"/>
      <c r="B449" s="51"/>
      <c r="C449" s="2"/>
      <c r="D449" s="54"/>
      <c r="E449" s="51"/>
      <c r="F449" s="2"/>
      <c r="G449" s="54"/>
      <c r="H449" s="51"/>
      <c r="I449" s="2"/>
      <c r="J449" s="54"/>
      <c r="K449" s="52"/>
      <c r="L449" s="55"/>
      <c r="T449" s="4" t="str">
        <f t="shared" si="28"/>
        <v/>
      </c>
      <c r="U449" s="4" t="str">
        <f t="shared" si="27"/>
        <v/>
      </c>
    </row>
    <row r="450" spans="1:21" x14ac:dyDescent="0.25">
      <c r="A450" s="50"/>
      <c r="B450" s="51"/>
      <c r="C450" s="2"/>
      <c r="D450" s="54"/>
      <c r="E450" s="51"/>
      <c r="F450" s="2"/>
      <c r="G450" s="54"/>
      <c r="H450" s="51"/>
      <c r="I450" s="2"/>
      <c r="J450" s="54"/>
      <c r="K450" s="52"/>
      <c r="L450" s="55"/>
      <c r="T450" s="4" t="str">
        <f t="shared" si="28"/>
        <v/>
      </c>
      <c r="U450" s="4" t="str">
        <f t="shared" si="27"/>
        <v/>
      </c>
    </row>
    <row r="451" spans="1:21" x14ac:dyDescent="0.25">
      <c r="A451" s="50"/>
      <c r="B451" s="51"/>
      <c r="C451" s="2"/>
      <c r="D451" s="54"/>
      <c r="E451" s="51"/>
      <c r="F451" s="2"/>
      <c r="G451" s="54"/>
      <c r="H451" s="51"/>
      <c r="I451" s="2"/>
      <c r="J451" s="54"/>
      <c r="K451" s="52"/>
      <c r="L451" s="55"/>
      <c r="T451" s="4" t="str">
        <f t="shared" si="28"/>
        <v/>
      </c>
      <c r="U451" s="4" t="str">
        <f t="shared" ref="U451:U514" si="29">IF(T451&gt;$A$14,T451,"")</f>
        <v/>
      </c>
    </row>
    <row r="452" spans="1:21" x14ac:dyDescent="0.25">
      <c r="A452" s="50"/>
      <c r="B452" s="51"/>
      <c r="C452" s="2"/>
      <c r="D452" s="54"/>
      <c r="E452" s="51"/>
      <c r="F452" s="2"/>
      <c r="G452" s="54"/>
      <c r="H452" s="51"/>
      <c r="I452" s="2"/>
      <c r="J452" s="54"/>
      <c r="K452" s="52"/>
      <c r="L452" s="55"/>
      <c r="T452" s="4" t="str">
        <f t="shared" ref="T452:T515" si="30">IF(COUNTIF(P:P,N452)*COUNTIF(R:R,N452),N452,"")</f>
        <v/>
      </c>
      <c r="U452" s="4" t="str">
        <f t="shared" si="29"/>
        <v/>
      </c>
    </row>
    <row r="453" spans="1:21" x14ac:dyDescent="0.25">
      <c r="A453" s="50"/>
      <c r="B453" s="51"/>
      <c r="C453" s="2"/>
      <c r="D453" s="54"/>
      <c r="E453" s="51"/>
      <c r="F453" s="2"/>
      <c r="G453" s="54"/>
      <c r="H453" s="51"/>
      <c r="I453" s="2"/>
      <c r="J453" s="54"/>
      <c r="K453" s="52"/>
      <c r="L453" s="55"/>
      <c r="T453" s="4" t="str">
        <f t="shared" si="30"/>
        <v/>
      </c>
      <c r="U453" s="4" t="str">
        <f t="shared" si="29"/>
        <v/>
      </c>
    </row>
    <row r="454" spans="1:21" x14ac:dyDescent="0.25">
      <c r="A454" s="50"/>
      <c r="B454" s="51"/>
      <c r="C454" s="2"/>
      <c r="D454" s="54"/>
      <c r="E454" s="51"/>
      <c r="F454" s="2"/>
      <c r="G454" s="54"/>
      <c r="H454" s="51"/>
      <c r="I454" s="2"/>
      <c r="J454" s="54"/>
      <c r="K454" s="52"/>
      <c r="L454" s="55"/>
      <c r="T454" s="4" t="str">
        <f t="shared" si="30"/>
        <v/>
      </c>
      <c r="U454" s="4" t="str">
        <f t="shared" si="29"/>
        <v/>
      </c>
    </row>
    <row r="455" spans="1:21" x14ac:dyDescent="0.25">
      <c r="A455" s="50"/>
      <c r="B455" s="51"/>
      <c r="C455" s="2"/>
      <c r="D455" s="54"/>
      <c r="E455" s="51"/>
      <c r="F455" s="2"/>
      <c r="G455" s="54"/>
      <c r="H455" s="51"/>
      <c r="I455" s="2"/>
      <c r="J455" s="54"/>
      <c r="K455" s="52"/>
      <c r="L455" s="55"/>
      <c r="T455" s="4" t="str">
        <f t="shared" si="30"/>
        <v/>
      </c>
      <c r="U455" s="4" t="str">
        <f t="shared" si="29"/>
        <v/>
      </c>
    </row>
    <row r="456" spans="1:21" x14ac:dyDescent="0.25">
      <c r="A456" s="50"/>
      <c r="B456" s="51"/>
      <c r="C456" s="2"/>
      <c r="D456" s="54"/>
      <c r="E456" s="51"/>
      <c r="F456" s="2"/>
      <c r="G456" s="54"/>
      <c r="H456" s="51"/>
      <c r="I456" s="2"/>
      <c r="J456" s="54"/>
      <c r="K456" s="52"/>
      <c r="L456" s="55"/>
      <c r="T456" s="4" t="str">
        <f t="shared" si="30"/>
        <v/>
      </c>
      <c r="U456" s="4" t="str">
        <f t="shared" si="29"/>
        <v/>
      </c>
    </row>
    <row r="457" spans="1:21" x14ac:dyDescent="0.25">
      <c r="A457" s="50"/>
      <c r="B457" s="51"/>
      <c r="C457" s="2"/>
      <c r="D457" s="54"/>
      <c r="E457" s="51"/>
      <c r="F457" s="2"/>
      <c r="G457" s="54"/>
      <c r="H457" s="51"/>
      <c r="I457" s="2"/>
      <c r="J457" s="54"/>
      <c r="K457" s="52"/>
      <c r="L457" s="55"/>
      <c r="T457" s="4" t="str">
        <f t="shared" si="30"/>
        <v/>
      </c>
      <c r="U457" s="4" t="str">
        <f t="shared" si="29"/>
        <v/>
      </c>
    </row>
    <row r="458" spans="1:21" x14ac:dyDescent="0.25">
      <c r="A458" s="50"/>
      <c r="B458" s="51"/>
      <c r="C458" s="2"/>
      <c r="D458" s="54"/>
      <c r="E458" s="51"/>
      <c r="F458" s="2"/>
      <c r="G458" s="54"/>
      <c r="H458" s="51"/>
      <c r="I458" s="2"/>
      <c r="J458" s="54"/>
      <c r="K458" s="52"/>
      <c r="L458" s="55"/>
      <c r="T458" s="4" t="str">
        <f t="shared" si="30"/>
        <v/>
      </c>
      <c r="U458" s="4" t="str">
        <f t="shared" si="29"/>
        <v/>
      </c>
    </row>
    <row r="459" spans="1:21" x14ac:dyDescent="0.25">
      <c r="A459" s="50"/>
      <c r="B459" s="51"/>
      <c r="C459" s="2"/>
      <c r="D459" s="54"/>
      <c r="E459" s="51"/>
      <c r="F459" s="2"/>
      <c r="G459" s="54"/>
      <c r="H459" s="51"/>
      <c r="I459" s="2"/>
      <c r="J459" s="54"/>
      <c r="K459" s="52"/>
      <c r="L459" s="55"/>
      <c r="T459" s="4" t="str">
        <f t="shared" si="30"/>
        <v/>
      </c>
      <c r="U459" s="4" t="str">
        <f t="shared" si="29"/>
        <v/>
      </c>
    </row>
    <row r="460" spans="1:21" x14ac:dyDescent="0.25">
      <c r="A460" s="50"/>
      <c r="B460" s="51"/>
      <c r="C460" s="2"/>
      <c r="D460" s="54"/>
      <c r="E460" s="51"/>
      <c r="F460" s="2"/>
      <c r="G460" s="54"/>
      <c r="H460" s="51"/>
      <c r="I460" s="2"/>
      <c r="J460" s="54"/>
      <c r="K460" s="52"/>
      <c r="L460" s="55"/>
      <c r="T460" s="4" t="str">
        <f t="shared" si="30"/>
        <v/>
      </c>
      <c r="U460" s="4" t="str">
        <f t="shared" si="29"/>
        <v/>
      </c>
    </row>
    <row r="461" spans="1:21" x14ac:dyDescent="0.25">
      <c r="A461" s="50"/>
      <c r="B461" s="51"/>
      <c r="C461" s="2"/>
      <c r="D461" s="54"/>
      <c r="E461" s="51"/>
      <c r="F461" s="2"/>
      <c r="G461" s="54"/>
      <c r="H461" s="51"/>
      <c r="I461" s="2"/>
      <c r="J461" s="54"/>
      <c r="K461" s="52"/>
      <c r="L461" s="55"/>
      <c r="T461" s="4" t="str">
        <f t="shared" si="30"/>
        <v/>
      </c>
      <c r="U461" s="4" t="str">
        <f t="shared" si="29"/>
        <v/>
      </c>
    </row>
    <row r="462" spans="1:21" x14ac:dyDescent="0.25">
      <c r="A462" s="50"/>
      <c r="B462" s="51"/>
      <c r="C462" s="2"/>
      <c r="D462" s="54"/>
      <c r="E462" s="51"/>
      <c r="F462" s="2"/>
      <c r="G462" s="54"/>
      <c r="H462" s="51"/>
      <c r="I462" s="2"/>
      <c r="J462" s="54"/>
      <c r="K462" s="52"/>
      <c r="L462" s="55"/>
      <c r="T462" s="4" t="str">
        <f t="shared" si="30"/>
        <v/>
      </c>
      <c r="U462" s="4" t="str">
        <f t="shared" si="29"/>
        <v/>
      </c>
    </row>
    <row r="463" spans="1:21" x14ac:dyDescent="0.25">
      <c r="A463" s="50"/>
      <c r="B463" s="51"/>
      <c r="C463" s="2"/>
      <c r="D463" s="54"/>
      <c r="E463" s="51"/>
      <c r="F463" s="2"/>
      <c r="G463" s="54"/>
      <c r="H463" s="51"/>
      <c r="I463" s="2"/>
      <c r="J463" s="54"/>
      <c r="K463" s="52"/>
      <c r="L463" s="55"/>
      <c r="T463" s="4" t="str">
        <f t="shared" si="30"/>
        <v/>
      </c>
      <c r="U463" s="4" t="str">
        <f t="shared" si="29"/>
        <v/>
      </c>
    </row>
    <row r="464" spans="1:21" x14ac:dyDescent="0.25">
      <c r="A464" s="50"/>
      <c r="B464" s="51"/>
      <c r="C464" s="2"/>
      <c r="D464" s="54"/>
      <c r="E464" s="51"/>
      <c r="F464" s="2"/>
      <c r="G464" s="54"/>
      <c r="H464" s="51"/>
      <c r="I464" s="2"/>
      <c r="J464" s="54"/>
      <c r="K464" s="52"/>
      <c r="L464" s="55"/>
      <c r="T464" s="4" t="str">
        <f t="shared" si="30"/>
        <v/>
      </c>
      <c r="U464" s="4" t="str">
        <f t="shared" si="29"/>
        <v/>
      </c>
    </row>
    <row r="465" spans="1:21" x14ac:dyDescent="0.25">
      <c r="A465" s="50"/>
      <c r="B465" s="51"/>
      <c r="C465" s="2"/>
      <c r="D465" s="54"/>
      <c r="E465" s="51"/>
      <c r="F465" s="2"/>
      <c r="G465" s="54"/>
      <c r="H465" s="51"/>
      <c r="I465" s="2"/>
      <c r="J465" s="54"/>
      <c r="K465" s="52"/>
      <c r="L465" s="55"/>
      <c r="T465" s="4" t="str">
        <f t="shared" si="30"/>
        <v/>
      </c>
      <c r="U465" s="4" t="str">
        <f t="shared" si="29"/>
        <v/>
      </c>
    </row>
    <row r="466" spans="1:21" x14ac:dyDescent="0.25">
      <c r="A466" s="50"/>
      <c r="B466" s="51"/>
      <c r="C466" s="2"/>
      <c r="D466" s="54"/>
      <c r="E466" s="51"/>
      <c r="F466" s="2"/>
      <c r="G466" s="54"/>
      <c r="H466" s="51"/>
      <c r="I466" s="2"/>
      <c r="J466" s="54"/>
      <c r="K466" s="52"/>
      <c r="L466" s="55"/>
      <c r="T466" s="4" t="str">
        <f t="shared" si="30"/>
        <v/>
      </c>
      <c r="U466" s="4" t="str">
        <f t="shared" si="29"/>
        <v/>
      </c>
    </row>
    <row r="467" spans="1:21" x14ac:dyDescent="0.25">
      <c r="A467" s="50"/>
      <c r="B467" s="51"/>
      <c r="C467" s="2"/>
      <c r="D467" s="54"/>
      <c r="E467" s="51"/>
      <c r="F467" s="2"/>
      <c r="G467" s="54"/>
      <c r="H467" s="51"/>
      <c r="I467" s="2"/>
      <c r="J467" s="54"/>
      <c r="K467" s="52"/>
      <c r="L467" s="55"/>
      <c r="T467" s="4" t="str">
        <f t="shared" si="30"/>
        <v/>
      </c>
      <c r="U467" s="4" t="str">
        <f t="shared" si="29"/>
        <v/>
      </c>
    </row>
    <row r="468" spans="1:21" x14ac:dyDescent="0.25">
      <c r="A468" s="50"/>
      <c r="B468" s="51"/>
      <c r="C468" s="2"/>
      <c r="D468" s="54"/>
      <c r="E468" s="51"/>
      <c r="F468" s="2"/>
      <c r="G468" s="54"/>
      <c r="H468" s="51"/>
      <c r="I468" s="2"/>
      <c r="J468" s="54"/>
      <c r="K468" s="52"/>
      <c r="L468" s="55"/>
      <c r="T468" s="4" t="str">
        <f t="shared" si="30"/>
        <v/>
      </c>
      <c r="U468" s="4" t="str">
        <f t="shared" si="29"/>
        <v/>
      </c>
    </row>
    <row r="469" spans="1:21" x14ac:dyDescent="0.25">
      <c r="A469" s="50"/>
      <c r="B469" s="51"/>
      <c r="C469" s="2"/>
      <c r="D469" s="54"/>
      <c r="E469" s="51"/>
      <c r="F469" s="2"/>
      <c r="G469" s="54"/>
      <c r="H469" s="51"/>
      <c r="I469" s="2"/>
      <c r="J469" s="54"/>
      <c r="K469" s="52"/>
      <c r="L469" s="55"/>
      <c r="T469" s="4" t="str">
        <f t="shared" si="30"/>
        <v/>
      </c>
      <c r="U469" s="4" t="str">
        <f t="shared" si="29"/>
        <v/>
      </c>
    </row>
    <row r="470" spans="1:21" x14ac:dyDescent="0.25">
      <c r="A470" s="50"/>
      <c r="B470" s="51"/>
      <c r="C470" s="2"/>
      <c r="D470" s="54"/>
      <c r="E470" s="51"/>
      <c r="F470" s="2"/>
      <c r="G470" s="54"/>
      <c r="H470" s="51"/>
      <c r="I470" s="2"/>
      <c r="J470" s="54"/>
      <c r="K470" s="52"/>
      <c r="L470" s="55"/>
      <c r="T470" s="4" t="str">
        <f t="shared" si="30"/>
        <v/>
      </c>
      <c r="U470" s="4" t="str">
        <f t="shared" si="29"/>
        <v/>
      </c>
    </row>
    <row r="471" spans="1:21" x14ac:dyDescent="0.25">
      <c r="A471" s="50"/>
      <c r="B471" s="51"/>
      <c r="C471" s="2"/>
      <c r="D471" s="54"/>
      <c r="E471" s="51"/>
      <c r="F471" s="2"/>
      <c r="G471" s="54"/>
      <c r="H471" s="51"/>
      <c r="I471" s="2"/>
      <c r="J471" s="54"/>
      <c r="K471" s="52"/>
      <c r="L471" s="55"/>
      <c r="T471" s="4" t="str">
        <f t="shared" si="30"/>
        <v/>
      </c>
      <c r="U471" s="4" t="str">
        <f t="shared" si="29"/>
        <v/>
      </c>
    </row>
    <row r="472" spans="1:21" x14ac:dyDescent="0.25">
      <c r="A472" s="50"/>
      <c r="B472" s="51"/>
      <c r="C472" s="2"/>
      <c r="D472" s="54"/>
      <c r="E472" s="51"/>
      <c r="F472" s="2"/>
      <c r="G472" s="54"/>
      <c r="H472" s="51"/>
      <c r="I472" s="2"/>
      <c r="J472" s="54"/>
      <c r="K472" s="52"/>
      <c r="L472" s="55"/>
      <c r="T472" s="4" t="str">
        <f t="shared" si="30"/>
        <v/>
      </c>
      <c r="U472" s="4" t="str">
        <f t="shared" si="29"/>
        <v/>
      </c>
    </row>
    <row r="473" spans="1:21" x14ac:dyDescent="0.25">
      <c r="A473" s="50"/>
      <c r="B473" s="51"/>
      <c r="C473" s="2"/>
      <c r="D473" s="54"/>
      <c r="E473" s="51"/>
      <c r="F473" s="2"/>
      <c r="G473" s="54"/>
      <c r="H473" s="51"/>
      <c r="I473" s="2"/>
      <c r="J473" s="54"/>
      <c r="K473" s="52"/>
      <c r="L473" s="55"/>
      <c r="T473" s="4" t="str">
        <f t="shared" si="30"/>
        <v/>
      </c>
      <c r="U473" s="4" t="str">
        <f t="shared" si="29"/>
        <v/>
      </c>
    </row>
    <row r="474" spans="1:21" x14ac:dyDescent="0.25">
      <c r="A474" s="50"/>
      <c r="B474" s="51"/>
      <c r="C474" s="2"/>
      <c r="D474" s="54"/>
      <c r="E474" s="51"/>
      <c r="F474" s="2"/>
      <c r="G474" s="54"/>
      <c r="H474" s="51"/>
      <c r="I474" s="2"/>
      <c r="J474" s="54"/>
      <c r="K474" s="52"/>
      <c r="L474" s="55"/>
      <c r="T474" s="4" t="str">
        <f t="shared" si="30"/>
        <v/>
      </c>
      <c r="U474" s="4" t="str">
        <f t="shared" si="29"/>
        <v/>
      </c>
    </row>
    <row r="475" spans="1:21" x14ac:dyDescent="0.25">
      <c r="A475" s="50"/>
      <c r="B475" s="51"/>
      <c r="C475" s="2"/>
      <c r="D475" s="54"/>
      <c r="E475" s="51"/>
      <c r="F475" s="2"/>
      <c r="G475" s="54"/>
      <c r="H475" s="51"/>
      <c r="I475" s="2"/>
      <c r="J475" s="54"/>
      <c r="K475" s="52"/>
      <c r="L475" s="55"/>
      <c r="T475" s="4" t="str">
        <f t="shared" si="30"/>
        <v/>
      </c>
      <c r="U475" s="4" t="str">
        <f t="shared" si="29"/>
        <v/>
      </c>
    </row>
    <row r="476" spans="1:21" x14ac:dyDescent="0.25">
      <c r="A476" s="50"/>
      <c r="B476" s="51"/>
      <c r="C476" s="2"/>
      <c r="D476" s="54"/>
      <c r="E476" s="51"/>
      <c r="F476" s="2"/>
      <c r="G476" s="54"/>
      <c r="H476" s="51"/>
      <c r="I476" s="2"/>
      <c r="J476" s="54"/>
      <c r="K476" s="52"/>
      <c r="L476" s="55"/>
      <c r="T476" s="4" t="str">
        <f t="shared" si="30"/>
        <v/>
      </c>
      <c r="U476" s="4" t="str">
        <f t="shared" si="29"/>
        <v/>
      </c>
    </row>
    <row r="477" spans="1:21" x14ac:dyDescent="0.25">
      <c r="A477" s="50"/>
      <c r="B477" s="51"/>
      <c r="C477" s="2"/>
      <c r="D477" s="54"/>
      <c r="E477" s="51"/>
      <c r="F477" s="2"/>
      <c r="G477" s="54"/>
      <c r="H477" s="51"/>
      <c r="I477" s="2"/>
      <c r="J477" s="54"/>
      <c r="K477" s="52"/>
      <c r="L477" s="55"/>
      <c r="T477" s="4" t="str">
        <f t="shared" si="30"/>
        <v/>
      </c>
      <c r="U477" s="4" t="str">
        <f t="shared" si="29"/>
        <v/>
      </c>
    </row>
    <row r="478" spans="1:21" x14ac:dyDescent="0.25">
      <c r="A478" s="50"/>
      <c r="B478" s="51"/>
      <c r="C478" s="2"/>
      <c r="D478" s="54"/>
      <c r="E478" s="51"/>
      <c r="F478" s="2"/>
      <c r="G478" s="54"/>
      <c r="H478" s="51"/>
      <c r="I478" s="2"/>
      <c r="J478" s="54"/>
      <c r="K478" s="52"/>
      <c r="L478" s="55"/>
      <c r="T478" s="4" t="str">
        <f t="shared" si="30"/>
        <v/>
      </c>
      <c r="U478" s="4" t="str">
        <f t="shared" si="29"/>
        <v/>
      </c>
    </row>
    <row r="479" spans="1:21" x14ac:dyDescent="0.25">
      <c r="A479" s="50"/>
      <c r="B479" s="51"/>
      <c r="C479" s="2"/>
      <c r="D479" s="54"/>
      <c r="E479" s="51"/>
      <c r="F479" s="2"/>
      <c r="G479" s="54"/>
      <c r="H479" s="51"/>
      <c r="I479" s="2"/>
      <c r="J479" s="54"/>
      <c r="K479" s="52"/>
      <c r="L479" s="55"/>
      <c r="T479" s="4" t="str">
        <f t="shared" si="30"/>
        <v/>
      </c>
      <c r="U479" s="4" t="str">
        <f t="shared" si="29"/>
        <v/>
      </c>
    </row>
    <row r="480" spans="1:21" x14ac:dyDescent="0.25">
      <c r="A480" s="50"/>
      <c r="B480" s="51"/>
      <c r="C480" s="2"/>
      <c r="D480" s="54"/>
      <c r="E480" s="51"/>
      <c r="F480" s="2"/>
      <c r="G480" s="54"/>
      <c r="H480" s="51"/>
      <c r="I480" s="2"/>
      <c r="J480" s="54"/>
      <c r="K480" s="52"/>
      <c r="L480" s="55"/>
      <c r="T480" s="4" t="str">
        <f t="shared" si="30"/>
        <v/>
      </c>
      <c r="U480" s="4" t="str">
        <f t="shared" si="29"/>
        <v/>
      </c>
    </row>
    <row r="481" spans="1:21" x14ac:dyDescent="0.25">
      <c r="A481" s="50"/>
      <c r="B481" s="51"/>
      <c r="C481" s="2"/>
      <c r="D481" s="54"/>
      <c r="E481" s="51"/>
      <c r="F481" s="2"/>
      <c r="G481" s="54"/>
      <c r="H481" s="51"/>
      <c r="I481" s="2"/>
      <c r="J481" s="54"/>
      <c r="K481" s="52"/>
      <c r="L481" s="55"/>
      <c r="T481" s="4" t="str">
        <f t="shared" si="30"/>
        <v/>
      </c>
      <c r="U481" s="4" t="str">
        <f t="shared" si="29"/>
        <v/>
      </c>
    </row>
    <row r="482" spans="1:21" x14ac:dyDescent="0.25">
      <c r="A482" s="50"/>
      <c r="B482" s="51"/>
      <c r="C482" s="2"/>
      <c r="D482" s="54"/>
      <c r="E482" s="51"/>
      <c r="F482" s="2"/>
      <c r="G482" s="54"/>
      <c r="H482" s="51"/>
      <c r="I482" s="2"/>
      <c r="J482" s="54"/>
      <c r="K482" s="52"/>
      <c r="L482" s="55"/>
      <c r="T482" s="4" t="str">
        <f t="shared" si="30"/>
        <v/>
      </c>
      <c r="U482" s="4" t="str">
        <f t="shared" si="29"/>
        <v/>
      </c>
    </row>
    <row r="483" spans="1:21" x14ac:dyDescent="0.25">
      <c r="A483" s="50"/>
      <c r="B483" s="51"/>
      <c r="C483" s="2"/>
      <c r="D483" s="54"/>
      <c r="E483" s="51"/>
      <c r="F483" s="2"/>
      <c r="G483" s="54"/>
      <c r="H483" s="51"/>
      <c r="I483" s="2"/>
      <c r="J483" s="54"/>
      <c r="K483" s="52"/>
      <c r="L483" s="55"/>
      <c r="T483" s="4" t="str">
        <f t="shared" si="30"/>
        <v/>
      </c>
      <c r="U483" s="4" t="str">
        <f t="shared" si="29"/>
        <v/>
      </c>
    </row>
    <row r="484" spans="1:21" x14ac:dyDescent="0.25">
      <c r="A484" s="50"/>
      <c r="B484" s="51"/>
      <c r="C484" s="2"/>
      <c r="D484" s="54"/>
      <c r="E484" s="51"/>
      <c r="F484" s="2"/>
      <c r="G484" s="54"/>
      <c r="H484" s="51"/>
      <c r="I484" s="2"/>
      <c r="J484" s="54"/>
      <c r="K484" s="52"/>
      <c r="L484" s="55"/>
      <c r="T484" s="4" t="str">
        <f t="shared" si="30"/>
        <v/>
      </c>
      <c r="U484" s="4" t="str">
        <f t="shared" si="29"/>
        <v/>
      </c>
    </row>
    <row r="485" spans="1:21" x14ac:dyDescent="0.25">
      <c r="A485" s="50"/>
      <c r="B485" s="51"/>
      <c r="C485" s="2"/>
      <c r="D485" s="54"/>
      <c r="E485" s="51"/>
      <c r="F485" s="2"/>
      <c r="G485" s="54"/>
      <c r="H485" s="51"/>
      <c r="I485" s="2"/>
      <c r="J485" s="54"/>
      <c r="K485" s="52"/>
      <c r="L485" s="55"/>
      <c r="T485" s="4" t="str">
        <f t="shared" si="30"/>
        <v/>
      </c>
      <c r="U485" s="4" t="str">
        <f t="shared" si="29"/>
        <v/>
      </c>
    </row>
    <row r="486" spans="1:21" x14ac:dyDescent="0.25">
      <c r="A486" s="50"/>
      <c r="B486" s="51"/>
      <c r="C486" s="2"/>
      <c r="D486" s="54"/>
      <c r="E486" s="51"/>
      <c r="F486" s="2"/>
      <c r="G486" s="54"/>
      <c r="H486" s="51"/>
      <c r="I486" s="2"/>
      <c r="J486" s="54"/>
      <c r="K486" s="52"/>
      <c r="L486" s="55"/>
      <c r="T486" s="4" t="str">
        <f t="shared" si="30"/>
        <v/>
      </c>
      <c r="U486" s="4" t="str">
        <f t="shared" si="29"/>
        <v/>
      </c>
    </row>
    <row r="487" spans="1:21" x14ac:dyDescent="0.25">
      <c r="A487" s="50"/>
      <c r="B487" s="51"/>
      <c r="C487" s="2"/>
      <c r="D487" s="54"/>
      <c r="E487" s="51"/>
      <c r="F487" s="2"/>
      <c r="G487" s="54"/>
      <c r="H487" s="51"/>
      <c r="I487" s="2"/>
      <c r="J487" s="54"/>
      <c r="K487" s="52"/>
      <c r="L487" s="55"/>
      <c r="T487" s="4" t="str">
        <f t="shared" si="30"/>
        <v/>
      </c>
      <c r="U487" s="4" t="str">
        <f t="shared" si="29"/>
        <v/>
      </c>
    </row>
    <row r="488" spans="1:21" x14ac:dyDescent="0.25">
      <c r="A488" s="50"/>
      <c r="B488" s="51"/>
      <c r="C488" s="2"/>
      <c r="D488" s="54"/>
      <c r="E488" s="51"/>
      <c r="F488" s="2"/>
      <c r="G488" s="54"/>
      <c r="H488" s="51"/>
      <c r="I488" s="2"/>
      <c r="J488" s="54"/>
      <c r="K488" s="52"/>
      <c r="L488" s="55"/>
      <c r="T488" s="4" t="str">
        <f t="shared" si="30"/>
        <v/>
      </c>
      <c r="U488" s="4" t="str">
        <f t="shared" si="29"/>
        <v/>
      </c>
    </row>
    <row r="489" spans="1:21" x14ac:dyDescent="0.25">
      <c r="A489" s="50"/>
      <c r="B489" s="51"/>
      <c r="C489" s="2"/>
      <c r="D489" s="54"/>
      <c r="E489" s="51"/>
      <c r="F489" s="2"/>
      <c r="G489" s="54"/>
      <c r="H489" s="51"/>
      <c r="I489" s="2"/>
      <c r="J489" s="54"/>
      <c r="K489" s="52"/>
      <c r="L489" s="55"/>
      <c r="T489" s="4" t="str">
        <f t="shared" si="30"/>
        <v/>
      </c>
      <c r="U489" s="4" t="str">
        <f t="shared" si="29"/>
        <v/>
      </c>
    </row>
    <row r="490" spans="1:21" x14ac:dyDescent="0.25">
      <c r="A490" s="50"/>
      <c r="B490" s="51"/>
      <c r="C490" s="2"/>
      <c r="D490" s="54"/>
      <c r="E490" s="51"/>
      <c r="F490" s="2"/>
      <c r="G490" s="54"/>
      <c r="H490" s="51"/>
      <c r="I490" s="2"/>
      <c r="J490" s="54"/>
      <c r="K490" s="52"/>
      <c r="L490" s="55"/>
      <c r="T490" s="4" t="str">
        <f t="shared" si="30"/>
        <v/>
      </c>
      <c r="U490" s="4" t="str">
        <f t="shared" si="29"/>
        <v/>
      </c>
    </row>
    <row r="491" spans="1:21" x14ac:dyDescent="0.25">
      <c r="A491" s="50"/>
      <c r="B491" s="51"/>
      <c r="C491" s="2"/>
      <c r="D491" s="54"/>
      <c r="E491" s="51"/>
      <c r="F491" s="2"/>
      <c r="G491" s="54"/>
      <c r="H491" s="51"/>
      <c r="I491" s="2"/>
      <c r="J491" s="54"/>
      <c r="K491" s="52"/>
      <c r="L491" s="55"/>
      <c r="T491" s="4" t="str">
        <f t="shared" si="30"/>
        <v/>
      </c>
      <c r="U491" s="4" t="str">
        <f t="shared" si="29"/>
        <v/>
      </c>
    </row>
    <row r="492" spans="1:21" x14ac:dyDescent="0.25">
      <c r="A492" s="50"/>
      <c r="B492" s="51"/>
      <c r="C492" s="2"/>
      <c r="D492" s="54"/>
      <c r="E492" s="51"/>
      <c r="F492" s="2"/>
      <c r="G492" s="54"/>
      <c r="H492" s="51"/>
      <c r="I492" s="2"/>
      <c r="J492" s="54"/>
      <c r="K492" s="52"/>
      <c r="L492" s="55"/>
      <c r="T492" s="4" t="str">
        <f t="shared" si="30"/>
        <v/>
      </c>
      <c r="U492" s="4" t="str">
        <f t="shared" si="29"/>
        <v/>
      </c>
    </row>
    <row r="493" spans="1:21" x14ac:dyDescent="0.25">
      <c r="A493" s="50"/>
      <c r="B493" s="51"/>
      <c r="C493" s="2"/>
      <c r="D493" s="54"/>
      <c r="E493" s="51"/>
      <c r="F493" s="2"/>
      <c r="G493" s="54"/>
      <c r="H493" s="51"/>
      <c r="I493" s="2"/>
      <c r="J493" s="54"/>
      <c r="K493" s="52"/>
      <c r="L493" s="55"/>
      <c r="T493" s="4" t="str">
        <f t="shared" si="30"/>
        <v/>
      </c>
      <c r="U493" s="4" t="str">
        <f t="shared" si="29"/>
        <v/>
      </c>
    </row>
    <row r="494" spans="1:21" x14ac:dyDescent="0.25">
      <c r="A494" s="50"/>
      <c r="B494" s="51"/>
      <c r="C494" s="2"/>
      <c r="D494" s="54"/>
      <c r="E494" s="51"/>
      <c r="F494" s="2"/>
      <c r="G494" s="54"/>
      <c r="H494" s="51"/>
      <c r="I494" s="2"/>
      <c r="J494" s="54"/>
      <c r="K494" s="52"/>
      <c r="L494" s="55"/>
      <c r="T494" s="4" t="str">
        <f t="shared" si="30"/>
        <v/>
      </c>
      <c r="U494" s="4" t="str">
        <f t="shared" si="29"/>
        <v/>
      </c>
    </row>
    <row r="495" spans="1:21" x14ac:dyDescent="0.25">
      <c r="A495" s="50"/>
      <c r="B495" s="51"/>
      <c r="C495" s="2"/>
      <c r="D495" s="54"/>
      <c r="E495" s="51"/>
      <c r="F495" s="2"/>
      <c r="G495" s="54"/>
      <c r="H495" s="51"/>
      <c r="I495" s="2"/>
      <c r="J495" s="54"/>
      <c r="K495" s="52"/>
      <c r="L495" s="55"/>
      <c r="T495" s="4" t="str">
        <f t="shared" si="30"/>
        <v/>
      </c>
      <c r="U495" s="4" t="str">
        <f t="shared" si="29"/>
        <v/>
      </c>
    </row>
    <row r="496" spans="1:21" x14ac:dyDescent="0.25">
      <c r="A496" s="50"/>
      <c r="B496" s="51"/>
      <c r="C496" s="2"/>
      <c r="D496" s="54"/>
      <c r="E496" s="51"/>
      <c r="F496" s="2"/>
      <c r="G496" s="54"/>
      <c r="H496" s="51"/>
      <c r="I496" s="2"/>
      <c r="J496" s="54"/>
      <c r="K496" s="52"/>
      <c r="L496" s="55"/>
      <c r="T496" s="4" t="str">
        <f t="shared" si="30"/>
        <v/>
      </c>
      <c r="U496" s="4" t="str">
        <f t="shared" si="29"/>
        <v/>
      </c>
    </row>
    <row r="497" spans="1:21" x14ac:dyDescent="0.25">
      <c r="A497" s="50"/>
      <c r="B497" s="51"/>
      <c r="C497" s="2"/>
      <c r="D497" s="54"/>
      <c r="E497" s="51"/>
      <c r="F497" s="2"/>
      <c r="G497" s="54"/>
      <c r="H497" s="51"/>
      <c r="I497" s="2"/>
      <c r="J497" s="54"/>
      <c r="K497" s="52"/>
      <c r="L497" s="55"/>
      <c r="T497" s="4" t="str">
        <f t="shared" si="30"/>
        <v/>
      </c>
      <c r="U497" s="4" t="str">
        <f t="shared" si="29"/>
        <v/>
      </c>
    </row>
    <row r="498" spans="1:21" x14ac:dyDescent="0.25">
      <c r="A498" s="50"/>
      <c r="B498" s="51"/>
      <c r="C498" s="2"/>
      <c r="D498" s="54"/>
      <c r="E498" s="51"/>
      <c r="F498" s="2"/>
      <c r="G498" s="54"/>
      <c r="H498" s="51"/>
      <c r="I498" s="2"/>
      <c r="J498" s="54"/>
      <c r="K498" s="52"/>
      <c r="L498" s="55"/>
      <c r="T498" s="4" t="str">
        <f t="shared" si="30"/>
        <v/>
      </c>
      <c r="U498" s="4" t="str">
        <f t="shared" si="29"/>
        <v/>
      </c>
    </row>
    <row r="499" spans="1:21" x14ac:dyDescent="0.25">
      <c r="A499" s="50"/>
      <c r="B499" s="51"/>
      <c r="C499" s="2"/>
      <c r="D499" s="54"/>
      <c r="E499" s="51"/>
      <c r="F499" s="2"/>
      <c r="G499" s="54"/>
      <c r="H499" s="51"/>
      <c r="I499" s="2"/>
      <c r="J499" s="54"/>
      <c r="K499" s="52"/>
      <c r="L499" s="55"/>
      <c r="T499" s="4" t="str">
        <f t="shared" si="30"/>
        <v/>
      </c>
      <c r="U499" s="4" t="str">
        <f t="shared" si="29"/>
        <v/>
      </c>
    </row>
    <row r="500" spans="1:21" x14ac:dyDescent="0.25">
      <c r="A500" s="50"/>
      <c r="B500" s="51"/>
      <c r="C500" s="2"/>
      <c r="D500" s="54"/>
      <c r="E500" s="51"/>
      <c r="F500" s="2"/>
      <c r="G500" s="54"/>
      <c r="H500" s="51"/>
      <c r="I500" s="2"/>
      <c r="J500" s="54"/>
      <c r="K500" s="52"/>
      <c r="L500" s="55"/>
      <c r="T500" s="4" t="str">
        <f t="shared" si="30"/>
        <v/>
      </c>
      <c r="U500" s="4" t="str">
        <f t="shared" si="29"/>
        <v/>
      </c>
    </row>
    <row r="501" spans="1:21" x14ac:dyDescent="0.25">
      <c r="A501" s="50"/>
      <c r="B501" s="51"/>
      <c r="C501" s="2"/>
      <c r="D501" s="54"/>
      <c r="E501" s="51"/>
      <c r="F501" s="2"/>
      <c r="G501" s="54"/>
      <c r="H501" s="51"/>
      <c r="I501" s="2"/>
      <c r="J501" s="54"/>
      <c r="K501" s="52"/>
      <c r="L501" s="55"/>
      <c r="T501" s="4" t="str">
        <f t="shared" si="30"/>
        <v/>
      </c>
      <c r="U501" s="4" t="str">
        <f t="shared" si="29"/>
        <v/>
      </c>
    </row>
    <row r="502" spans="1:21" x14ac:dyDescent="0.25">
      <c r="A502" s="50"/>
      <c r="B502" s="51"/>
      <c r="C502" s="2"/>
      <c r="D502" s="54"/>
      <c r="E502" s="51"/>
      <c r="F502" s="2"/>
      <c r="G502" s="54"/>
      <c r="H502" s="51"/>
      <c r="I502" s="2"/>
      <c r="J502" s="54"/>
      <c r="K502" s="52"/>
      <c r="L502" s="55"/>
      <c r="T502" s="4" t="str">
        <f t="shared" si="30"/>
        <v/>
      </c>
      <c r="U502" s="4" t="str">
        <f t="shared" si="29"/>
        <v/>
      </c>
    </row>
    <row r="503" spans="1:21" x14ac:dyDescent="0.25">
      <c r="A503" s="50"/>
      <c r="B503" s="51"/>
      <c r="C503" s="2"/>
      <c r="D503" s="54"/>
      <c r="E503" s="51"/>
      <c r="F503" s="2"/>
      <c r="G503" s="54"/>
      <c r="H503" s="51"/>
      <c r="I503" s="2"/>
      <c r="J503" s="54"/>
      <c r="K503" s="52"/>
      <c r="L503" s="55"/>
      <c r="T503" s="4" t="str">
        <f t="shared" si="30"/>
        <v/>
      </c>
      <c r="U503" s="4" t="str">
        <f t="shared" si="29"/>
        <v/>
      </c>
    </row>
    <row r="504" spans="1:21" x14ac:dyDescent="0.25">
      <c r="A504" s="50"/>
      <c r="B504" s="51"/>
      <c r="C504" s="2"/>
      <c r="D504" s="54"/>
      <c r="E504" s="51"/>
      <c r="F504" s="2"/>
      <c r="G504" s="54"/>
      <c r="H504" s="51"/>
      <c r="I504" s="2"/>
      <c r="J504" s="54"/>
      <c r="K504" s="52"/>
      <c r="L504" s="55"/>
      <c r="T504" s="4" t="str">
        <f t="shared" si="30"/>
        <v/>
      </c>
      <c r="U504" s="4" t="str">
        <f t="shared" si="29"/>
        <v/>
      </c>
    </row>
    <row r="505" spans="1:21" x14ac:dyDescent="0.25">
      <c r="A505" s="50"/>
      <c r="B505" s="51"/>
      <c r="C505" s="2"/>
      <c r="D505" s="54"/>
      <c r="E505" s="51"/>
      <c r="F505" s="2"/>
      <c r="G505" s="54"/>
      <c r="H505" s="51"/>
      <c r="I505" s="2"/>
      <c r="J505" s="54"/>
      <c r="K505" s="52"/>
      <c r="L505" s="55"/>
      <c r="T505" s="4" t="str">
        <f t="shared" si="30"/>
        <v/>
      </c>
      <c r="U505" s="4" t="str">
        <f t="shared" si="29"/>
        <v/>
      </c>
    </row>
    <row r="506" spans="1:21" x14ac:dyDescent="0.25">
      <c r="A506" s="50"/>
      <c r="B506" s="51"/>
      <c r="C506" s="2"/>
      <c r="D506" s="54"/>
      <c r="E506" s="51"/>
      <c r="F506" s="2"/>
      <c r="G506" s="54"/>
      <c r="H506" s="51"/>
      <c r="I506" s="2"/>
      <c r="J506" s="54"/>
      <c r="K506" s="52"/>
      <c r="L506" s="55"/>
      <c r="T506" s="4" t="str">
        <f t="shared" si="30"/>
        <v/>
      </c>
      <c r="U506" s="4" t="str">
        <f t="shared" si="29"/>
        <v/>
      </c>
    </row>
    <row r="507" spans="1:21" x14ac:dyDescent="0.25">
      <c r="A507" s="50"/>
      <c r="B507" s="51"/>
      <c r="C507" s="2"/>
      <c r="D507" s="54"/>
      <c r="E507" s="51"/>
      <c r="F507" s="2"/>
      <c r="G507" s="54"/>
      <c r="H507" s="51"/>
      <c r="I507" s="2"/>
      <c r="J507" s="54"/>
      <c r="K507" s="52"/>
      <c r="L507" s="55"/>
      <c r="T507" s="4" t="str">
        <f t="shared" si="30"/>
        <v/>
      </c>
      <c r="U507" s="4" t="str">
        <f t="shared" si="29"/>
        <v/>
      </c>
    </row>
    <row r="508" spans="1:21" x14ac:dyDescent="0.25">
      <c r="A508" s="50"/>
      <c r="B508" s="51"/>
      <c r="C508" s="2"/>
      <c r="D508" s="54"/>
      <c r="E508" s="51"/>
      <c r="F508" s="2"/>
      <c r="G508" s="54"/>
      <c r="H508" s="51"/>
      <c r="I508" s="2"/>
      <c r="J508" s="54"/>
      <c r="K508" s="52"/>
      <c r="L508" s="55"/>
      <c r="T508" s="4" t="str">
        <f t="shared" si="30"/>
        <v/>
      </c>
      <c r="U508" s="4" t="str">
        <f t="shared" si="29"/>
        <v/>
      </c>
    </row>
    <row r="509" spans="1:21" x14ac:dyDescent="0.25">
      <c r="A509" s="50"/>
      <c r="B509" s="51"/>
      <c r="C509" s="2"/>
      <c r="D509" s="54"/>
      <c r="E509" s="51"/>
      <c r="F509" s="2"/>
      <c r="G509" s="54"/>
      <c r="H509" s="51"/>
      <c r="I509" s="2"/>
      <c r="J509" s="54"/>
      <c r="K509" s="52"/>
      <c r="L509" s="55"/>
      <c r="T509" s="4" t="str">
        <f t="shared" si="30"/>
        <v/>
      </c>
      <c r="U509" s="4" t="str">
        <f t="shared" si="29"/>
        <v/>
      </c>
    </row>
    <row r="510" spans="1:21" x14ac:dyDescent="0.25">
      <c r="A510" s="50"/>
      <c r="B510" s="51"/>
      <c r="C510" s="2"/>
      <c r="D510" s="54"/>
      <c r="E510" s="51"/>
      <c r="F510" s="2"/>
      <c r="G510" s="54"/>
      <c r="H510" s="51"/>
      <c r="I510" s="2"/>
      <c r="J510" s="54"/>
      <c r="K510" s="52"/>
      <c r="L510" s="55"/>
      <c r="T510" s="4" t="str">
        <f t="shared" si="30"/>
        <v/>
      </c>
      <c r="U510" s="4" t="str">
        <f t="shared" si="29"/>
        <v/>
      </c>
    </row>
    <row r="511" spans="1:21" x14ac:dyDescent="0.25">
      <c r="A511" s="50"/>
      <c r="B511" s="51"/>
      <c r="C511" s="2"/>
      <c r="D511" s="54"/>
      <c r="E511" s="51"/>
      <c r="F511" s="2"/>
      <c r="G511" s="54"/>
      <c r="H511" s="51"/>
      <c r="I511" s="2"/>
      <c r="J511" s="54"/>
      <c r="K511" s="52"/>
      <c r="L511" s="55"/>
      <c r="T511" s="4" t="str">
        <f t="shared" si="30"/>
        <v/>
      </c>
      <c r="U511" s="4" t="str">
        <f t="shared" si="29"/>
        <v/>
      </c>
    </row>
    <row r="512" spans="1:21" x14ac:dyDescent="0.25">
      <c r="A512" s="50"/>
      <c r="B512" s="51"/>
      <c r="C512" s="2"/>
      <c r="D512" s="54"/>
      <c r="E512" s="51"/>
      <c r="F512" s="2"/>
      <c r="G512" s="54"/>
      <c r="H512" s="51"/>
      <c r="I512" s="2"/>
      <c r="J512" s="54"/>
      <c r="K512" s="52"/>
      <c r="L512" s="55"/>
      <c r="T512" s="4" t="str">
        <f t="shared" si="30"/>
        <v/>
      </c>
      <c r="U512" s="4" t="str">
        <f t="shared" si="29"/>
        <v/>
      </c>
    </row>
    <row r="513" spans="1:21" x14ac:dyDescent="0.25">
      <c r="A513" s="50"/>
      <c r="B513" s="51"/>
      <c r="C513" s="2"/>
      <c r="D513" s="54"/>
      <c r="E513" s="51"/>
      <c r="F513" s="2"/>
      <c r="G513" s="54"/>
      <c r="H513" s="51"/>
      <c r="I513" s="2"/>
      <c r="J513" s="54"/>
      <c r="K513" s="52"/>
      <c r="L513" s="55"/>
      <c r="T513" s="4" t="str">
        <f t="shared" si="30"/>
        <v/>
      </c>
      <c r="U513" s="4" t="str">
        <f t="shared" si="29"/>
        <v/>
      </c>
    </row>
    <row r="514" spans="1:21" x14ac:dyDescent="0.25">
      <c r="A514" s="50"/>
      <c r="B514" s="51"/>
      <c r="C514" s="2"/>
      <c r="D514" s="54"/>
      <c r="E514" s="51"/>
      <c r="F514" s="2"/>
      <c r="G514" s="54"/>
      <c r="H514" s="51"/>
      <c r="I514" s="2"/>
      <c r="J514" s="54"/>
      <c r="K514" s="52"/>
      <c r="L514" s="55"/>
      <c r="T514" s="4" t="str">
        <f t="shared" si="30"/>
        <v/>
      </c>
      <c r="U514" s="4" t="str">
        <f t="shared" si="29"/>
        <v/>
      </c>
    </row>
    <row r="515" spans="1:21" x14ac:dyDescent="0.25">
      <c r="A515" s="50"/>
      <c r="B515" s="51"/>
      <c r="C515" s="2"/>
      <c r="D515" s="54"/>
      <c r="E515" s="51"/>
      <c r="F515" s="2"/>
      <c r="G515" s="54"/>
      <c r="H515" s="51"/>
      <c r="I515" s="2"/>
      <c r="J515" s="54"/>
      <c r="K515" s="52"/>
      <c r="L515" s="55"/>
      <c r="T515" s="4" t="str">
        <f t="shared" si="30"/>
        <v/>
      </c>
      <c r="U515" s="4" t="str">
        <f t="shared" ref="U515:U569" si="31">IF(T515&gt;$A$14,T515,"")</f>
        <v/>
      </c>
    </row>
    <row r="516" spans="1:21" x14ac:dyDescent="0.25">
      <c r="A516" s="50"/>
      <c r="B516" s="51"/>
      <c r="C516" s="2"/>
      <c r="D516" s="54"/>
      <c r="E516" s="51"/>
      <c r="F516" s="2"/>
      <c r="G516" s="54"/>
      <c r="H516" s="51"/>
      <c r="I516" s="2"/>
      <c r="J516" s="54"/>
      <c r="K516" s="52"/>
      <c r="L516" s="55"/>
      <c r="T516" s="4" t="str">
        <f t="shared" ref="T516:T567" si="32">IF(COUNTIF(P:P,N516)*COUNTIF(R:R,N516),N516,"")</f>
        <v/>
      </c>
      <c r="U516" s="4" t="str">
        <f t="shared" si="31"/>
        <v/>
      </c>
    </row>
    <row r="517" spans="1:21" x14ac:dyDescent="0.25">
      <c r="A517" s="50"/>
      <c r="B517" s="51"/>
      <c r="C517" s="2"/>
      <c r="D517" s="54"/>
      <c r="E517" s="51"/>
      <c r="F517" s="2"/>
      <c r="G517" s="54"/>
      <c r="H517" s="51"/>
      <c r="I517" s="2"/>
      <c r="J517" s="54"/>
      <c r="K517" s="52"/>
      <c r="L517" s="55"/>
      <c r="T517" s="4" t="str">
        <f t="shared" si="32"/>
        <v/>
      </c>
      <c r="U517" s="4" t="str">
        <f t="shared" si="31"/>
        <v/>
      </c>
    </row>
    <row r="518" spans="1:21" x14ac:dyDescent="0.25">
      <c r="A518" s="50"/>
      <c r="B518" s="51"/>
      <c r="C518" s="2"/>
      <c r="D518" s="54"/>
      <c r="E518" s="51"/>
      <c r="F518" s="2"/>
      <c r="G518" s="54"/>
      <c r="H518" s="51"/>
      <c r="I518" s="2"/>
      <c r="J518" s="54"/>
      <c r="K518" s="52"/>
      <c r="L518" s="55"/>
      <c r="T518" s="4" t="str">
        <f t="shared" si="32"/>
        <v/>
      </c>
      <c r="U518" s="4" t="str">
        <f t="shared" si="31"/>
        <v/>
      </c>
    </row>
    <row r="519" spans="1:21" x14ac:dyDescent="0.25">
      <c r="A519" s="50"/>
      <c r="B519" s="51"/>
      <c r="C519" s="2"/>
      <c r="D519" s="54"/>
      <c r="E519" s="51"/>
      <c r="F519" s="2"/>
      <c r="G519" s="54"/>
      <c r="H519" s="51"/>
      <c r="I519" s="2"/>
      <c r="J519" s="54"/>
      <c r="K519" s="52"/>
      <c r="L519" s="55"/>
      <c r="T519" s="4" t="str">
        <f t="shared" si="32"/>
        <v/>
      </c>
      <c r="U519" s="4" t="str">
        <f t="shared" si="31"/>
        <v/>
      </c>
    </row>
    <row r="520" spans="1:21" x14ac:dyDescent="0.25">
      <c r="A520" s="50"/>
      <c r="B520" s="51"/>
      <c r="C520" s="2"/>
      <c r="D520" s="54"/>
      <c r="E520" s="51"/>
      <c r="F520" s="2"/>
      <c r="G520" s="54"/>
      <c r="H520" s="51"/>
      <c r="I520" s="2"/>
      <c r="J520" s="54"/>
      <c r="K520" s="52"/>
      <c r="L520" s="55"/>
      <c r="T520" s="4" t="str">
        <f t="shared" si="32"/>
        <v/>
      </c>
      <c r="U520" s="4" t="str">
        <f t="shared" si="31"/>
        <v/>
      </c>
    </row>
    <row r="521" spans="1:21" x14ac:dyDescent="0.25">
      <c r="A521" s="50"/>
      <c r="B521" s="51"/>
      <c r="C521" s="2"/>
      <c r="D521" s="54"/>
      <c r="E521" s="51"/>
      <c r="F521" s="2"/>
      <c r="G521" s="54"/>
      <c r="H521" s="51"/>
      <c r="I521" s="2"/>
      <c r="J521" s="54"/>
      <c r="K521" s="52"/>
      <c r="L521" s="55"/>
      <c r="T521" s="4" t="str">
        <f t="shared" si="32"/>
        <v/>
      </c>
      <c r="U521" s="4" t="str">
        <f t="shared" si="31"/>
        <v/>
      </c>
    </row>
    <row r="522" spans="1:21" x14ac:dyDescent="0.25">
      <c r="A522" s="50"/>
      <c r="B522" s="51"/>
      <c r="C522" s="2"/>
      <c r="D522" s="54"/>
      <c r="E522" s="51"/>
      <c r="F522" s="2"/>
      <c r="G522" s="54"/>
      <c r="H522" s="51"/>
      <c r="I522" s="2"/>
      <c r="J522" s="54"/>
      <c r="K522" s="52"/>
      <c r="L522" s="55"/>
      <c r="T522" s="4" t="str">
        <f t="shared" si="32"/>
        <v/>
      </c>
      <c r="U522" s="4" t="str">
        <f t="shared" si="31"/>
        <v/>
      </c>
    </row>
    <row r="523" spans="1:21" x14ac:dyDescent="0.25">
      <c r="A523" s="50"/>
      <c r="B523" s="51"/>
      <c r="C523" s="2"/>
      <c r="D523" s="54"/>
      <c r="E523" s="51"/>
      <c r="F523" s="2"/>
      <c r="G523" s="54"/>
      <c r="H523" s="51"/>
      <c r="I523" s="2"/>
      <c r="J523" s="54"/>
      <c r="K523" s="52"/>
      <c r="L523" s="55"/>
      <c r="T523" s="4" t="str">
        <f t="shared" si="32"/>
        <v/>
      </c>
      <c r="U523" s="4" t="str">
        <f t="shared" si="31"/>
        <v/>
      </c>
    </row>
    <row r="524" spans="1:21" x14ac:dyDescent="0.25">
      <c r="A524" s="50"/>
      <c r="B524" s="51"/>
      <c r="C524" s="2"/>
      <c r="D524" s="54"/>
      <c r="E524" s="51"/>
      <c r="F524" s="2"/>
      <c r="G524" s="54"/>
      <c r="H524" s="51"/>
      <c r="I524" s="2"/>
      <c r="J524" s="54"/>
      <c r="K524" s="52"/>
      <c r="L524" s="55"/>
      <c r="T524" s="4" t="str">
        <f t="shared" si="32"/>
        <v/>
      </c>
      <c r="U524" s="4" t="str">
        <f t="shared" si="31"/>
        <v/>
      </c>
    </row>
    <row r="525" spans="1:21" x14ac:dyDescent="0.25">
      <c r="A525" s="50"/>
      <c r="B525" s="51"/>
      <c r="C525" s="2"/>
      <c r="D525" s="54"/>
      <c r="E525" s="51"/>
      <c r="F525" s="2"/>
      <c r="G525" s="54"/>
      <c r="H525" s="51"/>
      <c r="I525" s="2"/>
      <c r="J525" s="54"/>
      <c r="K525" s="52"/>
      <c r="L525" s="55"/>
      <c r="T525" s="4" t="str">
        <f t="shared" si="32"/>
        <v/>
      </c>
      <c r="U525" s="4" t="str">
        <f t="shared" si="31"/>
        <v/>
      </c>
    </row>
    <row r="526" spans="1:21" x14ac:dyDescent="0.25">
      <c r="A526" s="50"/>
      <c r="B526" s="51"/>
      <c r="C526" s="2"/>
      <c r="D526" s="54"/>
      <c r="E526" s="51"/>
      <c r="F526" s="2"/>
      <c r="G526" s="54"/>
      <c r="H526" s="51"/>
      <c r="I526" s="2"/>
      <c r="J526" s="54"/>
      <c r="K526" s="52"/>
      <c r="L526" s="55"/>
      <c r="T526" s="4" t="str">
        <f t="shared" si="32"/>
        <v/>
      </c>
      <c r="U526" s="4" t="str">
        <f t="shared" si="31"/>
        <v/>
      </c>
    </row>
    <row r="527" spans="1:21" x14ac:dyDescent="0.25">
      <c r="A527" s="50"/>
      <c r="B527" s="51"/>
      <c r="C527" s="2"/>
      <c r="D527" s="54"/>
      <c r="E527" s="51"/>
      <c r="F527" s="2"/>
      <c r="G527" s="54"/>
      <c r="H527" s="51"/>
      <c r="I527" s="2"/>
      <c r="J527" s="54"/>
      <c r="K527" s="52"/>
      <c r="L527" s="55"/>
      <c r="T527" s="4" t="str">
        <f t="shared" si="32"/>
        <v/>
      </c>
      <c r="U527" s="4" t="str">
        <f t="shared" si="31"/>
        <v/>
      </c>
    </row>
    <row r="528" spans="1:21" x14ac:dyDescent="0.25">
      <c r="A528" s="50"/>
      <c r="B528" s="51"/>
      <c r="C528" s="2"/>
      <c r="D528" s="54"/>
      <c r="E528" s="51"/>
      <c r="F528" s="2"/>
      <c r="G528" s="54"/>
      <c r="H528" s="51"/>
      <c r="I528" s="2"/>
      <c r="J528" s="54"/>
      <c r="K528" s="52"/>
      <c r="L528" s="55"/>
      <c r="T528" s="4" t="str">
        <f t="shared" si="32"/>
        <v/>
      </c>
      <c r="U528" s="4" t="str">
        <f t="shared" si="31"/>
        <v/>
      </c>
    </row>
    <row r="529" spans="1:21" x14ac:dyDescent="0.25">
      <c r="A529" s="50"/>
      <c r="B529" s="51"/>
      <c r="C529" s="2"/>
      <c r="D529" s="54"/>
      <c r="E529" s="51"/>
      <c r="F529" s="2"/>
      <c r="G529" s="54"/>
      <c r="H529" s="51"/>
      <c r="I529" s="2"/>
      <c r="J529" s="54"/>
      <c r="K529" s="52"/>
      <c r="L529" s="55"/>
      <c r="T529" s="4" t="str">
        <f t="shared" si="32"/>
        <v/>
      </c>
      <c r="U529" s="4" t="str">
        <f t="shared" si="31"/>
        <v/>
      </c>
    </row>
    <row r="530" spans="1:21" x14ac:dyDescent="0.25">
      <c r="A530" s="50"/>
      <c r="B530" s="51"/>
      <c r="C530" s="2"/>
      <c r="D530" s="54"/>
      <c r="E530" s="51"/>
      <c r="F530" s="2"/>
      <c r="G530" s="54"/>
      <c r="H530" s="51"/>
      <c r="I530" s="2"/>
      <c r="J530" s="54"/>
      <c r="K530" s="52"/>
      <c r="L530" s="55"/>
      <c r="T530" s="4" t="str">
        <f t="shared" si="32"/>
        <v/>
      </c>
      <c r="U530" s="4" t="str">
        <f t="shared" si="31"/>
        <v/>
      </c>
    </row>
    <row r="531" spans="1:21" x14ac:dyDescent="0.25">
      <c r="A531" s="50"/>
      <c r="B531" s="51"/>
      <c r="C531" s="2"/>
      <c r="D531" s="54"/>
      <c r="E531" s="51"/>
      <c r="F531" s="2"/>
      <c r="G531" s="54"/>
      <c r="H531" s="51"/>
      <c r="I531" s="2"/>
      <c r="J531" s="54"/>
      <c r="K531" s="52"/>
      <c r="L531" s="55"/>
      <c r="T531" s="4" t="str">
        <f t="shared" si="32"/>
        <v/>
      </c>
      <c r="U531" s="4" t="str">
        <f t="shared" si="31"/>
        <v/>
      </c>
    </row>
    <row r="532" spans="1:21" x14ac:dyDescent="0.25">
      <c r="A532" s="50"/>
      <c r="B532" s="51"/>
      <c r="C532" s="2"/>
      <c r="D532" s="54"/>
      <c r="E532" s="51"/>
      <c r="F532" s="2"/>
      <c r="G532" s="54"/>
      <c r="H532" s="51"/>
      <c r="I532" s="2"/>
      <c r="J532" s="54"/>
      <c r="K532" s="52"/>
      <c r="L532" s="55"/>
      <c r="T532" s="4" t="str">
        <f t="shared" si="32"/>
        <v/>
      </c>
      <c r="U532" s="4" t="str">
        <f t="shared" si="31"/>
        <v/>
      </c>
    </row>
    <row r="533" spans="1:21" x14ac:dyDescent="0.25">
      <c r="A533" s="50"/>
      <c r="B533" s="51"/>
      <c r="C533" s="2"/>
      <c r="D533" s="54"/>
      <c r="E533" s="51"/>
      <c r="F533" s="2"/>
      <c r="G533" s="54"/>
      <c r="H533" s="51"/>
      <c r="I533" s="2"/>
      <c r="J533" s="54"/>
      <c r="K533" s="52"/>
      <c r="L533" s="55"/>
      <c r="T533" s="4" t="str">
        <f t="shared" si="32"/>
        <v/>
      </c>
      <c r="U533" s="4" t="str">
        <f t="shared" si="31"/>
        <v/>
      </c>
    </row>
    <row r="534" spans="1:21" x14ac:dyDescent="0.25">
      <c r="A534" s="50"/>
      <c r="B534" s="51"/>
      <c r="C534" s="2"/>
      <c r="D534" s="54"/>
      <c r="E534" s="51"/>
      <c r="F534" s="2"/>
      <c r="G534" s="54"/>
      <c r="H534" s="51"/>
      <c r="I534" s="2"/>
      <c r="J534" s="54"/>
      <c r="K534" s="52"/>
      <c r="L534" s="55"/>
      <c r="T534" s="4" t="str">
        <f t="shared" si="32"/>
        <v/>
      </c>
      <c r="U534" s="4" t="str">
        <f t="shared" si="31"/>
        <v/>
      </c>
    </row>
    <row r="535" spans="1:21" x14ac:dyDescent="0.25">
      <c r="A535" s="50"/>
      <c r="B535" s="51"/>
      <c r="C535" s="2"/>
      <c r="D535" s="54"/>
      <c r="E535" s="51"/>
      <c r="F535" s="2"/>
      <c r="G535" s="54"/>
      <c r="H535" s="51"/>
      <c r="I535" s="2"/>
      <c r="J535" s="54"/>
      <c r="K535" s="52"/>
      <c r="L535" s="55"/>
      <c r="T535" s="4" t="str">
        <f t="shared" si="32"/>
        <v/>
      </c>
      <c r="U535" s="4" t="str">
        <f t="shared" si="31"/>
        <v/>
      </c>
    </row>
    <row r="536" spans="1:21" x14ac:dyDescent="0.25">
      <c r="A536" s="50"/>
      <c r="B536" s="51"/>
      <c r="C536" s="2"/>
      <c r="D536" s="54"/>
      <c r="E536" s="51"/>
      <c r="F536" s="2"/>
      <c r="G536" s="54"/>
      <c r="H536" s="51"/>
      <c r="I536" s="2"/>
      <c r="J536" s="54"/>
      <c r="K536" s="52"/>
      <c r="L536" s="55"/>
      <c r="T536" s="4" t="str">
        <f t="shared" si="32"/>
        <v/>
      </c>
      <c r="U536" s="4" t="str">
        <f t="shared" si="31"/>
        <v/>
      </c>
    </row>
    <row r="537" spans="1:21" x14ac:dyDescent="0.25">
      <c r="A537" s="50"/>
      <c r="B537" s="51"/>
      <c r="C537" s="2"/>
      <c r="D537" s="54"/>
      <c r="E537" s="51"/>
      <c r="F537" s="2"/>
      <c r="G537" s="54"/>
      <c r="H537" s="51"/>
      <c r="I537" s="2"/>
      <c r="J537" s="54"/>
      <c r="K537" s="52"/>
      <c r="L537" s="55"/>
      <c r="T537" s="4" t="str">
        <f t="shared" si="32"/>
        <v/>
      </c>
      <c r="U537" s="4" t="str">
        <f t="shared" si="31"/>
        <v/>
      </c>
    </row>
    <row r="538" spans="1:21" x14ac:dyDescent="0.25">
      <c r="A538" s="50"/>
      <c r="B538" s="51"/>
      <c r="C538" s="2"/>
      <c r="D538" s="54"/>
      <c r="E538" s="51"/>
      <c r="F538" s="2"/>
      <c r="G538" s="54"/>
      <c r="H538" s="51"/>
      <c r="I538" s="2"/>
      <c r="J538" s="54"/>
      <c r="K538" s="52"/>
      <c r="L538" s="55"/>
      <c r="T538" s="4" t="str">
        <f t="shared" si="32"/>
        <v/>
      </c>
      <c r="U538" s="4" t="str">
        <f t="shared" si="31"/>
        <v/>
      </c>
    </row>
    <row r="539" spans="1:21" x14ac:dyDescent="0.25">
      <c r="A539" s="50"/>
      <c r="B539" s="51"/>
      <c r="C539" s="2"/>
      <c r="D539" s="54"/>
      <c r="E539" s="51"/>
      <c r="F539" s="2"/>
      <c r="G539" s="54"/>
      <c r="H539" s="51"/>
      <c r="I539" s="2"/>
      <c r="J539" s="54"/>
      <c r="K539" s="52"/>
      <c r="L539" s="55"/>
      <c r="T539" s="4" t="str">
        <f t="shared" si="32"/>
        <v/>
      </c>
      <c r="U539" s="4" t="str">
        <f t="shared" si="31"/>
        <v/>
      </c>
    </row>
    <row r="540" spans="1:21" x14ac:dyDescent="0.25">
      <c r="A540" s="50"/>
      <c r="B540" s="51"/>
      <c r="C540" s="2"/>
      <c r="D540" s="54"/>
      <c r="E540" s="51"/>
      <c r="F540" s="2"/>
      <c r="G540" s="54"/>
      <c r="H540" s="51"/>
      <c r="I540" s="2"/>
      <c r="J540" s="54"/>
      <c r="K540" s="52"/>
      <c r="L540" s="55"/>
      <c r="T540" s="4" t="str">
        <f t="shared" si="32"/>
        <v/>
      </c>
      <c r="U540" s="4" t="str">
        <f t="shared" si="31"/>
        <v/>
      </c>
    </row>
    <row r="541" spans="1:21" x14ac:dyDescent="0.25">
      <c r="A541" s="50"/>
      <c r="B541" s="51"/>
      <c r="C541" s="2"/>
      <c r="D541" s="54"/>
      <c r="E541" s="51"/>
      <c r="F541" s="2"/>
      <c r="G541" s="54"/>
      <c r="H541" s="51"/>
      <c r="I541" s="2"/>
      <c r="J541" s="54"/>
      <c r="K541" s="52"/>
      <c r="L541" s="55"/>
      <c r="T541" s="4" t="str">
        <f t="shared" si="32"/>
        <v/>
      </c>
      <c r="U541" s="4" t="str">
        <f t="shared" si="31"/>
        <v/>
      </c>
    </row>
    <row r="542" spans="1:21" x14ac:dyDescent="0.25">
      <c r="A542" s="50"/>
      <c r="B542" s="51"/>
      <c r="C542" s="2"/>
      <c r="D542" s="54"/>
      <c r="E542" s="51"/>
      <c r="F542" s="2"/>
      <c r="G542" s="54"/>
      <c r="H542" s="51"/>
      <c r="I542" s="2"/>
      <c r="J542" s="54"/>
      <c r="K542" s="52"/>
      <c r="L542" s="55"/>
      <c r="T542" s="4" t="str">
        <f t="shared" si="32"/>
        <v/>
      </c>
      <c r="U542" s="4" t="str">
        <f t="shared" si="31"/>
        <v/>
      </c>
    </row>
    <row r="543" spans="1:21" x14ac:dyDescent="0.25">
      <c r="A543" s="50"/>
      <c r="B543" s="51"/>
      <c r="C543" s="2"/>
      <c r="D543" s="54"/>
      <c r="E543" s="51"/>
      <c r="F543" s="2"/>
      <c r="G543" s="54"/>
      <c r="H543" s="51"/>
      <c r="I543" s="2"/>
      <c r="J543" s="54"/>
      <c r="K543" s="52"/>
      <c r="L543" s="55"/>
      <c r="T543" s="4" t="str">
        <f t="shared" si="32"/>
        <v/>
      </c>
      <c r="U543" s="4" t="str">
        <f t="shared" si="31"/>
        <v/>
      </c>
    </row>
    <row r="544" spans="1:21" x14ac:dyDescent="0.25">
      <c r="A544" s="50"/>
      <c r="B544" s="51"/>
      <c r="C544" s="2"/>
      <c r="D544" s="54"/>
      <c r="E544" s="51"/>
      <c r="F544" s="2"/>
      <c r="G544" s="54"/>
      <c r="H544" s="51"/>
      <c r="I544" s="2"/>
      <c r="J544" s="54"/>
      <c r="K544" s="52"/>
      <c r="L544" s="55"/>
      <c r="T544" s="4" t="str">
        <f t="shared" si="32"/>
        <v/>
      </c>
      <c r="U544" s="4" t="str">
        <f t="shared" si="31"/>
        <v/>
      </c>
    </row>
    <row r="545" spans="1:21" x14ac:dyDescent="0.25">
      <c r="A545" s="50"/>
      <c r="B545" s="51"/>
      <c r="C545" s="2"/>
      <c r="D545" s="54"/>
      <c r="E545" s="51"/>
      <c r="F545" s="2"/>
      <c r="G545" s="54"/>
      <c r="H545" s="51"/>
      <c r="I545" s="2"/>
      <c r="J545" s="54"/>
      <c r="K545" s="52"/>
      <c r="L545" s="55"/>
      <c r="T545" s="4" t="str">
        <f t="shared" si="32"/>
        <v/>
      </c>
      <c r="U545" s="4" t="str">
        <f t="shared" si="31"/>
        <v/>
      </c>
    </row>
    <row r="546" spans="1:21" x14ac:dyDescent="0.25">
      <c r="A546" s="50"/>
      <c r="B546" s="51"/>
      <c r="C546" s="2"/>
      <c r="D546" s="54"/>
      <c r="E546" s="51"/>
      <c r="F546" s="2"/>
      <c r="G546" s="54"/>
      <c r="H546" s="51"/>
      <c r="I546" s="2"/>
      <c r="J546" s="54"/>
      <c r="K546" s="52"/>
      <c r="L546" s="55"/>
      <c r="T546" s="4" t="str">
        <f t="shared" si="32"/>
        <v/>
      </c>
      <c r="U546" s="4" t="str">
        <f t="shared" si="31"/>
        <v/>
      </c>
    </row>
    <row r="547" spans="1:21" x14ac:dyDescent="0.25">
      <c r="A547" s="50"/>
      <c r="B547" s="51"/>
      <c r="C547" s="2"/>
      <c r="D547" s="54"/>
      <c r="E547" s="51"/>
      <c r="F547" s="2"/>
      <c r="G547" s="54"/>
      <c r="H547" s="51"/>
      <c r="I547" s="2"/>
      <c r="J547" s="54"/>
      <c r="K547" s="52"/>
      <c r="L547" s="55"/>
      <c r="T547" s="4" t="str">
        <f t="shared" si="32"/>
        <v/>
      </c>
      <c r="U547" s="4" t="str">
        <f t="shared" si="31"/>
        <v/>
      </c>
    </row>
    <row r="548" spans="1:21" x14ac:dyDescent="0.25">
      <c r="A548" s="50"/>
      <c r="B548" s="51"/>
      <c r="C548" s="2"/>
      <c r="D548" s="54"/>
      <c r="E548" s="51"/>
      <c r="F548" s="2"/>
      <c r="G548" s="54"/>
      <c r="H548" s="51"/>
      <c r="I548" s="2"/>
      <c r="J548" s="54"/>
      <c r="K548" s="52"/>
      <c r="L548" s="55"/>
      <c r="T548" s="4" t="str">
        <f t="shared" si="32"/>
        <v/>
      </c>
      <c r="U548" s="4" t="str">
        <f t="shared" si="31"/>
        <v/>
      </c>
    </row>
    <row r="549" spans="1:21" x14ac:dyDescent="0.25">
      <c r="A549" s="50"/>
      <c r="B549" s="51"/>
      <c r="C549" s="2"/>
      <c r="D549" s="54"/>
      <c r="E549" s="51"/>
      <c r="F549" s="2"/>
      <c r="G549" s="54"/>
      <c r="H549" s="51"/>
      <c r="I549" s="2"/>
      <c r="J549" s="54"/>
      <c r="K549" s="52"/>
      <c r="L549" s="55"/>
      <c r="T549" s="4" t="str">
        <f t="shared" si="32"/>
        <v/>
      </c>
      <c r="U549" s="4" t="str">
        <f t="shared" si="31"/>
        <v/>
      </c>
    </row>
    <row r="550" spans="1:21" x14ac:dyDescent="0.25">
      <c r="A550" s="50"/>
      <c r="B550" s="51"/>
      <c r="C550" s="2"/>
      <c r="D550" s="54"/>
      <c r="E550" s="51"/>
      <c r="F550" s="2"/>
      <c r="G550" s="54"/>
      <c r="H550" s="51"/>
      <c r="I550" s="2"/>
      <c r="J550" s="54"/>
      <c r="K550" s="52"/>
      <c r="L550" s="55"/>
      <c r="T550" s="4" t="str">
        <f t="shared" si="32"/>
        <v/>
      </c>
      <c r="U550" s="4" t="str">
        <f t="shared" si="31"/>
        <v/>
      </c>
    </row>
    <row r="551" spans="1:21" x14ac:dyDescent="0.25">
      <c r="A551" s="50"/>
      <c r="B551" s="51"/>
      <c r="C551" s="2"/>
      <c r="D551" s="54"/>
      <c r="E551" s="51"/>
      <c r="F551" s="2"/>
      <c r="G551" s="54"/>
      <c r="H551" s="51"/>
      <c r="I551" s="2"/>
      <c r="J551" s="54"/>
      <c r="K551" s="52"/>
      <c r="L551" s="55"/>
      <c r="T551" s="4" t="str">
        <f t="shared" si="32"/>
        <v/>
      </c>
      <c r="U551" s="4" t="str">
        <f t="shared" si="31"/>
        <v/>
      </c>
    </row>
    <row r="552" spans="1:21" x14ac:dyDescent="0.25">
      <c r="A552" s="50"/>
      <c r="B552" s="51"/>
      <c r="C552" s="2"/>
      <c r="D552" s="54"/>
      <c r="E552" s="51"/>
      <c r="F552" s="2"/>
      <c r="G552" s="54"/>
      <c r="H552" s="51"/>
      <c r="I552" s="2"/>
      <c r="J552" s="54"/>
      <c r="K552" s="52"/>
      <c r="L552" s="55"/>
      <c r="T552" s="4" t="str">
        <f t="shared" si="32"/>
        <v/>
      </c>
      <c r="U552" s="4" t="str">
        <f t="shared" si="31"/>
        <v/>
      </c>
    </row>
    <row r="553" spans="1:21" x14ac:dyDescent="0.25">
      <c r="A553" s="50"/>
      <c r="B553" s="51"/>
      <c r="C553" s="2"/>
      <c r="D553" s="54"/>
      <c r="E553" s="51"/>
      <c r="F553" s="2"/>
      <c r="G553" s="54"/>
      <c r="H553" s="51"/>
      <c r="I553" s="2"/>
      <c r="J553" s="54"/>
      <c r="K553" s="52"/>
      <c r="L553" s="55"/>
      <c r="T553" s="4" t="str">
        <f t="shared" si="32"/>
        <v/>
      </c>
      <c r="U553" s="4" t="str">
        <f t="shared" si="31"/>
        <v/>
      </c>
    </row>
    <row r="554" spans="1:21" x14ac:dyDescent="0.25">
      <c r="A554" s="50"/>
      <c r="B554" s="51"/>
      <c r="C554" s="2"/>
      <c r="D554" s="54"/>
      <c r="E554" s="51"/>
      <c r="F554" s="2"/>
      <c r="G554" s="54"/>
      <c r="H554" s="51"/>
      <c r="I554" s="2"/>
      <c r="J554" s="54"/>
      <c r="K554" s="52"/>
      <c r="L554" s="55"/>
      <c r="T554" s="4" t="str">
        <f t="shared" si="32"/>
        <v/>
      </c>
      <c r="U554" s="4" t="str">
        <f t="shared" si="31"/>
        <v/>
      </c>
    </row>
    <row r="555" spans="1:21" x14ac:dyDescent="0.25">
      <c r="T555" s="4" t="str">
        <f t="shared" si="32"/>
        <v/>
      </c>
      <c r="U555" s="4" t="str">
        <f t="shared" si="31"/>
        <v/>
      </c>
    </row>
    <row r="556" spans="1:21" x14ac:dyDescent="0.25">
      <c r="T556" s="4" t="str">
        <f t="shared" si="32"/>
        <v/>
      </c>
      <c r="U556" s="4" t="str">
        <f t="shared" si="31"/>
        <v/>
      </c>
    </row>
    <row r="557" spans="1:21" x14ac:dyDescent="0.25">
      <c r="T557" s="4" t="str">
        <f t="shared" si="32"/>
        <v/>
      </c>
      <c r="U557" s="4" t="str">
        <f t="shared" si="31"/>
        <v/>
      </c>
    </row>
    <row r="558" spans="1:21" x14ac:dyDescent="0.25">
      <c r="T558" s="4" t="str">
        <f t="shared" si="32"/>
        <v/>
      </c>
      <c r="U558" s="4" t="str">
        <f t="shared" si="31"/>
        <v/>
      </c>
    </row>
    <row r="559" spans="1:21" x14ac:dyDescent="0.25">
      <c r="T559" s="4" t="str">
        <f t="shared" si="32"/>
        <v/>
      </c>
      <c r="U559" s="4" t="str">
        <f t="shared" si="31"/>
        <v/>
      </c>
    </row>
    <row r="560" spans="1:21" x14ac:dyDescent="0.25">
      <c r="T560" s="4" t="str">
        <f t="shared" si="32"/>
        <v/>
      </c>
      <c r="U560" s="4" t="str">
        <f t="shared" si="31"/>
        <v/>
      </c>
    </row>
    <row r="561" spans="20:21" x14ac:dyDescent="0.25">
      <c r="T561" s="4" t="str">
        <f t="shared" si="32"/>
        <v/>
      </c>
      <c r="U561" s="4" t="str">
        <f t="shared" si="31"/>
        <v/>
      </c>
    </row>
    <row r="562" spans="20:21" x14ac:dyDescent="0.25">
      <c r="T562" s="4" t="str">
        <f t="shared" si="32"/>
        <v/>
      </c>
      <c r="U562" s="4" t="str">
        <f t="shared" si="31"/>
        <v/>
      </c>
    </row>
    <row r="563" spans="20:21" x14ac:dyDescent="0.25">
      <c r="T563" s="4" t="str">
        <f t="shared" si="32"/>
        <v/>
      </c>
      <c r="U563" s="4" t="str">
        <f t="shared" si="31"/>
        <v/>
      </c>
    </row>
    <row r="564" spans="20:21" x14ac:dyDescent="0.25">
      <c r="T564" s="4" t="str">
        <f t="shared" si="32"/>
        <v/>
      </c>
      <c r="U564" s="4" t="str">
        <f t="shared" si="31"/>
        <v/>
      </c>
    </row>
    <row r="565" spans="20:21" x14ac:dyDescent="0.25">
      <c r="T565" s="4" t="str">
        <f t="shared" si="32"/>
        <v/>
      </c>
      <c r="U565" s="4" t="str">
        <f t="shared" si="31"/>
        <v/>
      </c>
    </row>
    <row r="566" spans="20:21" x14ac:dyDescent="0.25">
      <c r="T566" s="4" t="str">
        <f t="shared" si="32"/>
        <v/>
      </c>
      <c r="U566" s="4" t="str">
        <f t="shared" si="31"/>
        <v/>
      </c>
    </row>
    <row r="567" spans="20:21" x14ac:dyDescent="0.25">
      <c r="T567" s="4" t="str">
        <f t="shared" si="32"/>
        <v/>
      </c>
      <c r="U567" s="4" t="str">
        <f t="shared" si="31"/>
        <v/>
      </c>
    </row>
    <row r="568" spans="20:21" x14ac:dyDescent="0.25">
      <c r="T568" s="4" t="str">
        <f>IF(COUNTIF(P:P,N568)*COUNTIF(R:R,N568),N568,"")</f>
        <v/>
      </c>
      <c r="U568" s="4" t="str">
        <f t="shared" si="31"/>
        <v/>
      </c>
    </row>
    <row r="569" spans="20:21" x14ac:dyDescent="0.25">
      <c r="T569" s="4" t="str">
        <f>IF(COUNTIF(P:P,N569)*COUNTIF(R:R,N569),N569,"")</f>
        <v/>
      </c>
      <c r="U569" s="4" t="str">
        <f t="shared" si="31"/>
        <v/>
      </c>
    </row>
  </sheetData>
  <mergeCells count="3">
    <mergeCell ref="B12:D12"/>
    <mergeCell ref="E12:G12"/>
    <mergeCell ref="H12:J12"/>
  </mergeCells>
  <conditionalFormatting sqref="M1 M7:M11 L12:L554 M54:M100 AE63:AE77 M116:M1048576">
    <cfRule type="cellIs" dxfId="1" priority="1" operator="lessThan">
      <formula>0</formula>
    </cfRule>
  </conditionalFormatting>
  <hyperlinks>
    <hyperlink ref="D4" r:id="rId1" xr:uid="{6689F73D-6A56-4233-BA14-FE0DE394B116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F699-F2F0-4635-A6C3-9311FA4E7452}">
  <dimension ref="A1:G16"/>
  <sheetViews>
    <sheetView topLeftCell="C1" workbookViewId="0">
      <selection activeCell="G17" sqref="G17"/>
    </sheetView>
  </sheetViews>
  <sheetFormatPr defaultRowHeight="15" x14ac:dyDescent="0.25"/>
  <cols>
    <col min="1" max="1" width="21" bestFit="1" customWidth="1"/>
    <col min="2" max="2" width="35.28515625" bestFit="1" customWidth="1"/>
    <col min="4" max="4" width="10.7109375" bestFit="1" customWidth="1"/>
  </cols>
  <sheetData>
    <row r="1" spans="1:7" x14ac:dyDescent="0.25">
      <c r="A1" s="63" t="s">
        <v>23</v>
      </c>
      <c r="B1" t="s">
        <v>27</v>
      </c>
    </row>
    <row r="2" spans="1:7" x14ac:dyDescent="0.25">
      <c r="A2" s="63" t="s">
        <v>24</v>
      </c>
      <c r="B2" t="s">
        <v>28</v>
      </c>
    </row>
    <row r="3" spans="1:7" x14ac:dyDescent="0.25">
      <c r="A3" s="63" t="s">
        <v>25</v>
      </c>
      <c r="B3" t="s">
        <v>29</v>
      </c>
    </row>
    <row r="4" spans="1:7" x14ac:dyDescent="0.25">
      <c r="A4" s="63" t="s">
        <v>26</v>
      </c>
      <c r="B4" t="s">
        <v>30</v>
      </c>
    </row>
    <row r="5" spans="1:7" x14ac:dyDescent="0.25">
      <c r="A5" s="63" t="s">
        <v>33</v>
      </c>
      <c r="B5" t="str">
        <f>_xll.DQExcelAddin.Functions.DQ_CREATE_CONTEXT(B1,B2,B3,B4)</f>
        <v>Y2BgkOD1zCtJLcpLLVEILU4tYmAAAA==</v>
      </c>
    </row>
    <row r="7" spans="1:7" x14ac:dyDescent="0.25">
      <c r="A7" s="63" t="s">
        <v>34</v>
      </c>
      <c r="B7" s="64">
        <v>46037</v>
      </c>
      <c r="E7" t="s">
        <v>39</v>
      </c>
    </row>
    <row r="8" spans="1:7" x14ac:dyDescent="0.25">
      <c r="A8" s="63" t="s">
        <v>35</v>
      </c>
      <c r="B8" s="64">
        <v>46042</v>
      </c>
      <c r="E8" t="s">
        <v>38</v>
      </c>
    </row>
    <row r="9" spans="1:7" x14ac:dyDescent="0.25">
      <c r="A9" s="63" t="s">
        <v>36</v>
      </c>
      <c r="B9" t="s">
        <v>31</v>
      </c>
      <c r="D9" s="64">
        <f t="array" ref="D9:E11">_xll.DQExcelAddin.Functions.DQ_GET_SERIES(B7,B8,E8,B5,B9,B10)</f>
        <v>46037</v>
      </c>
      <c r="E9">
        <v>127.15522123</v>
      </c>
    </row>
    <row r="10" spans="1:7" x14ac:dyDescent="0.25">
      <c r="A10" s="63" t="s">
        <v>37</v>
      </c>
      <c r="B10" t="s">
        <v>32</v>
      </c>
      <c r="D10" s="64">
        <v>46038</v>
      </c>
      <c r="E10">
        <v>127.17109274000001</v>
      </c>
    </row>
    <row r="11" spans="1:7" x14ac:dyDescent="0.25">
      <c r="D11" s="64">
        <v>46042</v>
      </c>
      <c r="E11">
        <v>127.08946543</v>
      </c>
    </row>
    <row r="16" spans="1:7" x14ac:dyDescent="0.25">
      <c r="G16">
        <f>(E10/E9-1)*10^7</f>
        <v>1248.1996292779129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BB47E-5ED5-42DA-93E7-4F0BCD6265EA}">
  <dimension ref="A1:AE569"/>
  <sheetViews>
    <sheetView tabSelected="1" topLeftCell="A36" zoomScale="80" zoomScaleNormal="80" workbookViewId="0">
      <selection activeCell="A17" sqref="A17:XFD17"/>
    </sheetView>
  </sheetViews>
  <sheetFormatPr defaultColWidth="9.140625" defaultRowHeight="15" x14ac:dyDescent="0.25"/>
  <cols>
    <col min="1" max="1" width="18.140625" style="4" bestFit="1" customWidth="1"/>
    <col min="2" max="2" width="17.7109375" style="5" bestFit="1" customWidth="1"/>
    <col min="3" max="3" width="16.7109375" style="5" bestFit="1" customWidth="1"/>
    <col min="4" max="4" width="16.7109375" style="56" bestFit="1" customWidth="1"/>
    <col min="5" max="5" width="6.85546875" style="5" bestFit="1" customWidth="1"/>
    <col min="6" max="6" width="13.42578125" style="5" bestFit="1" customWidth="1"/>
    <col min="7" max="7" width="10" style="5" bestFit="1" customWidth="1"/>
    <col min="8" max="8" width="7.7109375" style="5" bestFit="1" customWidth="1"/>
    <col min="9" max="10" width="10" style="5" bestFit="1" customWidth="1"/>
    <col min="11" max="11" width="12.85546875" style="12" bestFit="1" customWidth="1"/>
    <col min="12" max="12" width="10.5703125" style="5" bestFit="1" customWidth="1"/>
    <col min="13" max="13" width="14.7109375" style="12" customWidth="1"/>
    <col min="14" max="14" width="18.140625" style="4" bestFit="1" customWidth="1"/>
    <col min="15" max="15" width="8.7109375" style="5" bestFit="1" customWidth="1"/>
    <col min="16" max="16" width="18.140625" style="4" bestFit="1" customWidth="1"/>
    <col min="17" max="17" width="10" style="5" bestFit="1" customWidth="1"/>
    <col min="18" max="18" width="18.140625" style="4" bestFit="1" customWidth="1"/>
    <col min="19" max="19" width="13.5703125" style="5" bestFit="1" customWidth="1"/>
    <col min="20" max="22" width="18.140625" style="4" bestFit="1" customWidth="1"/>
    <col min="23" max="23" width="9.140625" style="4"/>
    <col min="24" max="24" width="9.140625" style="5"/>
    <col min="25" max="25" width="26.28515625" style="20" bestFit="1" customWidth="1"/>
    <col min="26" max="26" width="11.5703125" style="67" bestFit="1" customWidth="1"/>
    <col min="27" max="27" width="9.140625" style="5"/>
    <col min="29" max="16384" width="9.140625" style="5"/>
  </cols>
  <sheetData>
    <row r="1" spans="1:22" ht="15.75" thickBot="1" x14ac:dyDescent="0.3">
      <c r="A1" s="1"/>
      <c r="B1" s="1"/>
      <c r="C1" s="1"/>
      <c r="D1" s="2"/>
      <c r="E1" s="1"/>
      <c r="F1" s="1"/>
      <c r="G1" s="1"/>
      <c r="H1" s="1"/>
      <c r="I1" s="1"/>
      <c r="J1" s="1"/>
      <c r="K1" s="3"/>
      <c r="L1" s="1"/>
      <c r="M1" s="1"/>
      <c r="T1" s="4">
        <f>15*10</f>
        <v>150</v>
      </c>
      <c r="V1" s="4" cm="1">
        <f t="array" ref="V1">LOOKUP(2,1/(V:V&lt;&gt;""),V:V)</f>
        <v>46080.625</v>
      </c>
    </row>
    <row r="2" spans="1:22" ht="15.75" thickBot="1" x14ac:dyDescent="0.3">
      <c r="A2" s="6"/>
      <c r="B2" s="7" t="s">
        <v>0</v>
      </c>
      <c r="C2" s="8" t="s">
        <v>1</v>
      </c>
      <c r="D2" s="9" t="s">
        <v>0</v>
      </c>
      <c r="E2" s="1"/>
      <c r="F2" s="10"/>
      <c r="G2" s="11"/>
      <c r="H2" s="1"/>
      <c r="M2" s="5"/>
      <c r="N2" s="13" t="s">
        <v>0</v>
      </c>
      <c r="P2" s="14" t="s">
        <v>1</v>
      </c>
      <c r="R2" s="15" t="s">
        <v>1</v>
      </c>
      <c r="V2" s="5" cm="1">
        <f t="array" ref="V2:V41">_xlfn.UNIQUE(U:U)</f>
        <v>0</v>
      </c>
    </row>
    <row r="3" spans="1:22" x14ac:dyDescent="0.25">
      <c r="A3" s="6" t="s">
        <v>2</v>
      </c>
      <c r="B3" s="16" t="s">
        <v>3</v>
      </c>
      <c r="C3" s="17" t="s">
        <v>4</v>
      </c>
      <c r="D3" s="6" t="s">
        <v>5</v>
      </c>
      <c r="F3" s="21"/>
      <c r="M3" s="5"/>
      <c r="N3" s="4" cm="1">
        <f t="array" ref="N3:O107">_xll.BDH(B4, "LAST_PRICE", "01/01/2025 15:00:00", "01/01/2035 16:00:00", "BarSize=60", "BarType=T", "RecurDaily=True", "TZ=New_York")</f>
        <v>45922.625</v>
      </c>
      <c r="O3" s="5">
        <v>51.533999999999999</v>
      </c>
      <c r="P3" s="4" cm="1">
        <f t="array" ref="P3:Q135">_xll.BDH(C4, "LAST_PRICE", "01/01/2025 15:00:00", "01/01/2035 16:00:00", "BarSize=60", "BarType=T", "RecurDaily=True", "TZ=New_York")</f>
        <v>45884.625</v>
      </c>
      <c r="Q3" s="5">
        <v>83.06</v>
      </c>
      <c r="R3" s="4" cm="1">
        <f t="array" ref="R3:S48">_xll.BDH(D4, "LAST_PRICE", "01/01/2025 15:00:00", "01/01/2035 16:00:00", "BarSize=60", "BarType=T", "RecurDaily=True", "TZ=New_York")</f>
        <v>46016.625</v>
      </c>
      <c r="S3" s="5">
        <v>99.734375</v>
      </c>
      <c r="T3" s="4" t="str">
        <f>IF(COUNTIF(P:P,N3)*COUNTIF(R:R,N3),N3,"")</f>
        <v/>
      </c>
      <c r="U3" s="4" t="str">
        <f t="shared" ref="U3:U66" si="0">IF(T3&gt;$A$14,T3,"")</f>
        <v/>
      </c>
      <c r="V3" s="4" t="str">
        <v/>
      </c>
    </row>
    <row r="4" spans="1:22" ht="30" customHeight="1" thickBot="1" x14ac:dyDescent="0.3">
      <c r="A4" s="16" t="s">
        <v>6</v>
      </c>
      <c r="B4" s="18" t="s">
        <v>7</v>
      </c>
      <c r="C4" s="18" t="s">
        <v>8</v>
      </c>
      <c r="D4" s="19" t="s">
        <v>9</v>
      </c>
      <c r="G4" s="20"/>
      <c r="I4" s="21"/>
      <c r="M4" s="5"/>
      <c r="N4" s="4">
        <v>45923.625</v>
      </c>
      <c r="O4" s="5">
        <v>52.084000000000003</v>
      </c>
      <c r="P4" s="4">
        <v>45887.625</v>
      </c>
      <c r="Q4" s="5">
        <v>82.96</v>
      </c>
      <c r="R4" s="4">
        <v>46017.625</v>
      </c>
      <c r="S4" s="5">
        <v>99.859375</v>
      </c>
      <c r="T4" s="4" t="str">
        <f t="shared" ref="T4:T67" si="1">IF(COUNTIF(P:P,N4)*COUNTIF(R:R,N4),N4,"")</f>
        <v/>
      </c>
      <c r="U4" s="4" t="str">
        <f t="shared" si="0"/>
        <v/>
      </c>
      <c r="V4" s="4">
        <v>46027.625</v>
      </c>
    </row>
    <row r="5" spans="1:22" x14ac:dyDescent="0.25">
      <c r="A5" s="16" t="s">
        <v>10</v>
      </c>
      <c r="B5" s="61">
        <f>10*10^6</f>
        <v>10000000</v>
      </c>
      <c r="C5" s="62">
        <f>3.4*10^6</f>
        <v>3400000</v>
      </c>
      <c r="D5" s="62">
        <f>2.6*10^6</f>
        <v>2600000</v>
      </c>
      <c r="F5" s="22" t="s">
        <v>11</v>
      </c>
      <c r="G5" s="23"/>
      <c r="M5" s="5"/>
      <c r="N5" s="4">
        <v>45924.625</v>
      </c>
      <c r="O5" s="5">
        <v>52.649000000000001</v>
      </c>
      <c r="P5" s="4">
        <v>45888.625</v>
      </c>
      <c r="Q5" s="5">
        <v>83.08</v>
      </c>
      <c r="R5" s="4">
        <v>46020.625</v>
      </c>
      <c r="S5" s="5">
        <v>100</v>
      </c>
      <c r="T5" s="4" t="str">
        <f t="shared" si="1"/>
        <v/>
      </c>
      <c r="U5" s="4" t="str">
        <f t="shared" si="0"/>
        <v/>
      </c>
      <c r="V5" s="4">
        <v>46028.625</v>
      </c>
    </row>
    <row r="6" spans="1:22" x14ac:dyDescent="0.25">
      <c r="A6" s="16" t="s">
        <v>12</v>
      </c>
      <c r="B6" s="24">
        <v>0.01</v>
      </c>
      <c r="C6" s="25">
        <v>0</v>
      </c>
      <c r="D6" s="26">
        <f>(3+7/8)*0.01</f>
        <v>3.875E-2</v>
      </c>
      <c r="F6" s="27">
        <v>46055</v>
      </c>
      <c r="G6" s="28">
        <v>0.33</v>
      </c>
      <c r="M6" s="5"/>
      <c r="N6" s="4">
        <v>45925.625</v>
      </c>
      <c r="O6" s="5">
        <v>53.47</v>
      </c>
      <c r="P6" s="4">
        <v>45889.625</v>
      </c>
      <c r="Q6" s="5">
        <v>83.11</v>
      </c>
      <c r="R6" s="4">
        <v>46021.625</v>
      </c>
      <c r="S6" s="5">
        <v>99.90625</v>
      </c>
      <c r="T6" s="4" t="str">
        <f t="shared" si="1"/>
        <v/>
      </c>
      <c r="U6" s="4" t="str">
        <f t="shared" si="0"/>
        <v/>
      </c>
      <c r="V6" s="4">
        <v>46029.625</v>
      </c>
    </row>
    <row r="7" spans="1:22" ht="15.75" thickBot="1" x14ac:dyDescent="0.3">
      <c r="A7" s="16" t="s">
        <v>13</v>
      </c>
      <c r="B7" s="25">
        <v>0</v>
      </c>
      <c r="C7" s="25">
        <v>3.9699999999999999E-2</v>
      </c>
      <c r="D7" s="26">
        <v>3.9699999999999999E-2</v>
      </c>
      <c r="E7" s="1"/>
      <c r="F7" s="29" t="s">
        <v>14</v>
      </c>
      <c r="G7" s="30">
        <f>C5/E14</f>
        <v>40601.862909004063</v>
      </c>
      <c r="H7" s="1"/>
      <c r="M7" s="5"/>
      <c r="N7" s="4">
        <v>45926.625</v>
      </c>
      <c r="O7" s="5">
        <v>52.851999999999997</v>
      </c>
      <c r="P7" s="4">
        <v>45890.625</v>
      </c>
      <c r="Q7" s="5">
        <v>82.86</v>
      </c>
      <c r="R7" s="4">
        <v>46023.625</v>
      </c>
      <c r="S7" s="5">
        <v>99.609375</v>
      </c>
      <c r="T7" s="4" t="str">
        <f t="shared" si="1"/>
        <v/>
      </c>
      <c r="U7" s="4" t="str">
        <f t="shared" si="0"/>
        <v/>
      </c>
      <c r="V7" s="4">
        <v>46030.625</v>
      </c>
    </row>
    <row r="8" spans="1:22" x14ac:dyDescent="0.25">
      <c r="A8" s="16" t="s">
        <v>15</v>
      </c>
      <c r="B8" s="16">
        <v>4.5590000000000002</v>
      </c>
      <c r="C8" s="17"/>
      <c r="D8" s="16"/>
      <c r="E8" s="1"/>
      <c r="H8" s="1"/>
      <c r="I8" s="1"/>
      <c r="J8" s="1"/>
      <c r="K8" s="3"/>
      <c r="L8" s="1"/>
      <c r="M8" s="1"/>
      <c r="N8" s="4">
        <v>45929.625</v>
      </c>
      <c r="O8" s="5">
        <v>52.11</v>
      </c>
      <c r="P8" s="4">
        <v>45891.625</v>
      </c>
      <c r="Q8" s="5">
        <v>83.38</v>
      </c>
      <c r="R8" s="4">
        <v>46024.625</v>
      </c>
      <c r="S8" s="5">
        <v>99.515625</v>
      </c>
      <c r="T8" s="4" t="str">
        <f t="shared" si="1"/>
        <v/>
      </c>
      <c r="U8" s="4" t="str">
        <f t="shared" si="0"/>
        <v/>
      </c>
      <c r="V8" s="4">
        <v>46031.625</v>
      </c>
    </row>
    <row r="9" spans="1:22" x14ac:dyDescent="0.25">
      <c r="A9" s="16" t="s">
        <v>16</v>
      </c>
      <c r="B9" s="31" cm="1">
        <f t="array" ref="B9">_xll.BDP(B4,"PX_LAST")</f>
        <v>55.950740000000003</v>
      </c>
      <c r="C9" s="31" cm="1">
        <f t="array" ref="C9">_xll.BDP(C4,"PX_LAST")</f>
        <v>84.72</v>
      </c>
      <c r="D9" s="31" cm="1">
        <f t="array" ref="D9">_xll.BDP(D4,"PX_LAST")</f>
        <v>101.140625</v>
      </c>
      <c r="E9" s="1"/>
      <c r="F9" s="2"/>
      <c r="G9" s="1"/>
      <c r="H9" s="1"/>
      <c r="I9" s="1"/>
      <c r="J9" s="1"/>
      <c r="K9" s="3"/>
      <c r="L9" s="1"/>
      <c r="M9" s="1"/>
      <c r="N9" s="4">
        <v>45930.625</v>
      </c>
      <c r="O9" s="5">
        <v>51.91</v>
      </c>
      <c r="P9" s="4">
        <v>45894.625</v>
      </c>
      <c r="Q9" s="5">
        <v>83.23</v>
      </c>
      <c r="R9" s="4">
        <v>46027.625</v>
      </c>
      <c r="S9" s="5">
        <v>99.734375</v>
      </c>
      <c r="T9" s="4" t="str">
        <f t="shared" si="1"/>
        <v/>
      </c>
      <c r="U9" s="4" t="str">
        <f t="shared" si="0"/>
        <v/>
      </c>
      <c r="V9" s="4">
        <v>46034.625</v>
      </c>
    </row>
    <row r="10" spans="1:22" ht="15.75" thickBot="1" x14ac:dyDescent="0.3">
      <c r="A10" s="32"/>
      <c r="B10" s="33"/>
      <c r="C10" s="34"/>
      <c r="D10" s="33"/>
      <c r="E10" s="1"/>
      <c r="F10" s="1"/>
      <c r="G10" s="1"/>
      <c r="H10" s="1"/>
      <c r="I10" s="1"/>
      <c r="J10" s="1"/>
      <c r="K10" s="3"/>
      <c r="L10" s="1"/>
      <c r="M10" s="1"/>
      <c r="N10" s="4">
        <v>45931.625</v>
      </c>
      <c r="O10" s="5">
        <v>52.023000000000003</v>
      </c>
      <c r="P10" s="4">
        <v>45895.625</v>
      </c>
      <c r="Q10" s="5">
        <v>83.36</v>
      </c>
      <c r="R10" s="4">
        <v>46028.625</v>
      </c>
      <c r="S10" s="5">
        <v>99.71875</v>
      </c>
      <c r="T10" s="4" t="str">
        <f t="shared" si="1"/>
        <v/>
      </c>
      <c r="U10" s="4" t="str">
        <f t="shared" si="0"/>
        <v/>
      </c>
      <c r="V10" s="4">
        <v>46035.625</v>
      </c>
    </row>
    <row r="11" spans="1:22" ht="15.75" thickBot="1" x14ac:dyDescent="0.3">
      <c r="A11" s="1"/>
      <c r="B11" s="1"/>
      <c r="C11" s="1"/>
      <c r="D11" s="2"/>
      <c r="E11" s="1"/>
      <c r="F11" s="1"/>
      <c r="G11" s="1"/>
      <c r="H11" s="1"/>
      <c r="I11" s="1"/>
      <c r="J11" s="1"/>
      <c r="K11" s="3"/>
      <c r="L11" s="1"/>
      <c r="M11" s="1"/>
      <c r="N11" s="4">
        <v>45932.625</v>
      </c>
      <c r="O11" s="5">
        <v>51.573</v>
      </c>
      <c r="P11" s="4">
        <v>45896.625</v>
      </c>
      <c r="Q11" s="5">
        <v>83.46</v>
      </c>
      <c r="R11" s="4">
        <v>46029.625</v>
      </c>
      <c r="S11" s="5">
        <v>99.84375</v>
      </c>
      <c r="T11" s="4" t="str">
        <f t="shared" si="1"/>
        <v/>
      </c>
      <c r="U11" s="4" t="str">
        <f t="shared" si="0"/>
        <v/>
      </c>
      <c r="V11" s="4">
        <v>46036.625</v>
      </c>
    </row>
    <row r="12" spans="1:22" ht="15.75" thickBot="1" x14ac:dyDescent="0.3">
      <c r="A12" s="35" t="s">
        <v>17</v>
      </c>
      <c r="B12" s="36" t="s">
        <v>0</v>
      </c>
      <c r="C12" s="37"/>
      <c r="D12" s="38"/>
      <c r="E12" s="39" t="s">
        <v>1</v>
      </c>
      <c r="F12" s="40"/>
      <c r="G12" s="41"/>
      <c r="H12" s="42" t="s">
        <v>0</v>
      </c>
      <c r="I12" s="43"/>
      <c r="J12" s="44"/>
      <c r="K12" s="45" t="s">
        <v>18</v>
      </c>
      <c r="L12" s="35" t="s">
        <v>19</v>
      </c>
      <c r="N12" s="4">
        <v>45933.625</v>
      </c>
      <c r="O12" s="5">
        <v>51.512999999999998</v>
      </c>
      <c r="P12" s="4">
        <v>45897.625</v>
      </c>
      <c r="Q12" s="5">
        <v>83.53</v>
      </c>
      <c r="R12" s="4">
        <v>46030.625</v>
      </c>
      <c r="S12" s="5">
        <v>99.546875</v>
      </c>
      <c r="T12" s="4" t="str">
        <f t="shared" si="1"/>
        <v/>
      </c>
      <c r="U12" s="4" t="str">
        <f t="shared" si="0"/>
        <v/>
      </c>
      <c r="V12" s="4">
        <v>46037.625</v>
      </c>
    </row>
    <row r="13" spans="1:22" ht="15.75" thickBot="1" x14ac:dyDescent="0.3">
      <c r="A13" s="32"/>
      <c r="B13" s="46" t="s">
        <v>20</v>
      </c>
      <c r="C13" s="47" t="s">
        <v>21</v>
      </c>
      <c r="D13" s="48" t="s">
        <v>22</v>
      </c>
      <c r="E13" s="46" t="s">
        <v>20</v>
      </c>
      <c r="F13" s="47" t="s">
        <v>21</v>
      </c>
      <c r="G13" s="48" t="s">
        <v>22</v>
      </c>
      <c r="H13" s="46" t="s">
        <v>20</v>
      </c>
      <c r="I13" s="47" t="s">
        <v>21</v>
      </c>
      <c r="J13" s="48" t="s">
        <v>22</v>
      </c>
      <c r="K13" s="49"/>
      <c r="L13" s="32"/>
      <c r="N13" s="4">
        <v>45936.625</v>
      </c>
      <c r="O13" s="5">
        <v>50.932000000000002</v>
      </c>
      <c r="P13" s="4">
        <v>45898.625</v>
      </c>
      <c r="Q13" s="5">
        <v>83.42</v>
      </c>
      <c r="R13" s="4">
        <v>46031.625</v>
      </c>
      <c r="S13" s="5">
        <v>99.5625</v>
      </c>
      <c r="T13" s="4" t="str">
        <f t="shared" si="1"/>
        <v/>
      </c>
      <c r="U13" s="4" t="str">
        <f t="shared" si="0"/>
        <v/>
      </c>
      <c r="V13" s="4">
        <v>46038.625</v>
      </c>
    </row>
    <row r="14" spans="1:22" x14ac:dyDescent="0.25">
      <c r="A14" s="50">
        <v>46024.625</v>
      </c>
      <c r="B14" s="51">
        <v>50.140999999999998</v>
      </c>
      <c r="C14" s="2"/>
      <c r="D14" s="17"/>
      <c r="E14" s="51">
        <v>83.74</v>
      </c>
      <c r="F14" s="1"/>
      <c r="G14" s="17"/>
      <c r="H14" s="51">
        <v>99.515625</v>
      </c>
      <c r="I14" s="1"/>
      <c r="J14" s="17"/>
      <c r="K14" s="52"/>
      <c r="L14" s="53">
        <v>0</v>
      </c>
      <c r="N14" s="4">
        <v>45937.625</v>
      </c>
      <c r="O14" s="5">
        <v>51.51</v>
      </c>
      <c r="P14" s="4">
        <v>45902.625</v>
      </c>
      <c r="Q14" s="5">
        <v>82.9</v>
      </c>
      <c r="R14" s="4">
        <v>46034.625</v>
      </c>
      <c r="S14" s="5">
        <v>99.46875</v>
      </c>
      <c r="T14" s="4" t="str">
        <f t="shared" si="1"/>
        <v/>
      </c>
      <c r="U14" s="4" t="str">
        <f t="shared" si="0"/>
        <v/>
      </c>
      <c r="V14" s="4">
        <v>46042.625</v>
      </c>
    </row>
    <row r="15" spans="1:22" x14ac:dyDescent="0.25">
      <c r="A15" s="50">
        <f ca="1">IF(AND(ISBLANK(V4), A14 = $V$1),NOW(),IF(ISBLANK(V4),"",V4))</f>
        <v>46027.625</v>
      </c>
      <c r="B15" s="51">
        <f ca="1">IF(COUNTIF($V$2:V1000,A15)=1,VLOOKUP(A15,N:O,2), IF(COUNTIF($V$2:V1000,A15)=0,$B$9,""))</f>
        <v>49.325000000000003</v>
      </c>
      <c r="C15" s="2">
        <f ca="1">IF(ISERROR(B15-2),"",-1*(B15-$B$14)*10^(-4)*$B$8*$B$5)</f>
        <v>3720.1439999999798</v>
      </c>
      <c r="D15" s="54">
        <f ca="1">IF(ISERROR(B15-2),"",(INT(A15)-INT($A$14))/360*$B$5*$B$6)</f>
        <v>833.33333333333326</v>
      </c>
      <c r="E15" s="51">
        <f ca="1">IF(COUNTIF($V$2:V1000,A15)=1,VLOOKUP(A15,P:Q,2), IF(COUNTIF($V$2:V1000,A15)=0,$C$9,""))</f>
        <v>83.92</v>
      </c>
      <c r="F15" s="2">
        <f ca="1">IF(ISERROR(B15-2),"",(E15/$E$14-1)*$C$5)</f>
        <v>7308.3353236211406</v>
      </c>
      <c r="G15" s="54">
        <f ca="1">IF(ISERROR(B15-2),"",(INT(A15)-INT($A$14))/360*$C$6*$C$5-(INT(A15)-INT($A$14))/360*$C$7*$C$5)</f>
        <v>-1124.8333333333333</v>
      </c>
      <c r="H15" s="51">
        <f ca="1">IF(COUNTIF($V$2:V1000,A15)=1,VLOOKUP(A15,R:S,2), IF(COUNTIF($V$2:V1000,A15)=0,$D$9,""))</f>
        <v>99.734375</v>
      </c>
      <c r="I15" s="2">
        <f ca="1">IF(ISERROR(B15-2),"",(H15-$H$14)/100*$D$5)</f>
        <v>5687.5000000000009</v>
      </c>
      <c r="J15" s="54">
        <f ca="1">IF(ISERROR(B15-2),"",(INT(A15)-INT($A$14))/360*$D$6*$D$5 - (INT(A15)-INT($A$14))/360*$D$7*$D$5*$H$14/100)</f>
        <v>-16.41690104166662</v>
      </c>
      <c r="K15" s="52"/>
      <c r="L15" s="55">
        <f ca="1">IF(ISERROR(B15-2),"",C15+D15-F15-G15+I15+J15-SUM($K$14:K15))</f>
        <v>4041.0584420038399</v>
      </c>
      <c r="N15" s="4">
        <v>45938.625</v>
      </c>
      <c r="O15" s="5">
        <v>51.826999999999998</v>
      </c>
      <c r="P15" s="4">
        <v>45903.625</v>
      </c>
      <c r="Q15" s="5">
        <v>83.2</v>
      </c>
      <c r="R15" s="4">
        <v>46035.625</v>
      </c>
      <c r="S15" s="5">
        <v>99.578125</v>
      </c>
      <c r="T15" s="4" t="str">
        <f t="shared" si="1"/>
        <v/>
      </c>
      <c r="U15" s="4" t="str">
        <f t="shared" si="0"/>
        <v/>
      </c>
      <c r="V15" s="4">
        <v>46043.625</v>
      </c>
    </row>
    <row r="16" spans="1:22" x14ac:dyDescent="0.25">
      <c r="A16" s="50">
        <f t="shared" ref="A16:A79" ca="1" si="2">IF(AND(ISBLANK(V5), A15 = $V$1),NOW(),IF(ISBLANK(V5),"",V5))</f>
        <v>46028.625</v>
      </c>
      <c r="B16" s="51">
        <f ca="1">IF(COUNTIF($V$2:V1001,A16)=1,VLOOKUP(A16,N:O,2), IF(COUNTIF($V$2:V1001,A16)=0,$B$9,""))</f>
        <v>49.069000000000003</v>
      </c>
      <c r="C16" s="2">
        <f t="shared" ref="C16:C79" ca="1" si="3">IF(ISERROR(B16-2),"",-1*(B16-$B$14)*10^(-4)*$B$8*$B$5)</f>
        <v>4887.2479999999805</v>
      </c>
      <c r="D16" s="54">
        <f t="shared" ref="D16:D79" ca="1" si="4">IF(ISERROR(B16-2),"",(INT(A16)-INT($A$14))/360*$B$5*$B$6)</f>
        <v>1111.1111111111111</v>
      </c>
      <c r="E16" s="51">
        <f ca="1">IF(COUNTIF($V$2:V1001,A16)=1,VLOOKUP(A16,P:Q,2), IF(COUNTIF($V$2:V1001,A16)=0,$C$9,""))</f>
        <v>83.94</v>
      </c>
      <c r="F16" s="2">
        <f t="shared" ref="F16:F79" ca="1" si="5">IF(ISERROR(B16-2),"",(E16/$E$14-1)*$C$5)</f>
        <v>8120.3725818011826</v>
      </c>
      <c r="G16" s="54">
        <f t="shared" ref="G16:G79" ca="1" si="6">IF(ISERROR(B16-2),"",(INT(A16)-INT($A$14))/360*$C$6*$C$5-(INT(A16)-INT($A$14))/360*$C$7*$C$5)</f>
        <v>-1499.7777777777778</v>
      </c>
      <c r="H16" s="51">
        <f ca="1">IF(COUNTIF($V$2:V1001,A16)=1,VLOOKUP(A16,R:S,2), IF(COUNTIF($V$2:V1001,A16)=0,$D$9,""))</f>
        <v>99.71875</v>
      </c>
      <c r="I16" s="2">
        <f t="shared" ref="I16:I79" ca="1" si="7">IF(ISERROR(B16-2),"",(H16-$H$14)/100*$D$5)</f>
        <v>5281.25</v>
      </c>
      <c r="J16" s="54">
        <f t="shared" ref="J16:J79" ca="1" si="8">IF(ISERROR(B16-2),"",(INT(A16)-INT($A$14))/360*$D$6*$D$5 - (INT(A16)-INT($A$14))/360*$D$7*$D$5*$H$14/100)</f>
        <v>-21.889201388888978</v>
      </c>
      <c r="K16" s="52"/>
      <c r="L16" s="55">
        <f ca="1">IF(ISERROR(B16-2),"",C16+D16-F16-G16+I16+J16-SUM($K$14:K16))</f>
        <v>4637.1251056987985</v>
      </c>
      <c r="N16" s="4">
        <v>45939.625</v>
      </c>
      <c r="O16" s="5">
        <v>52.374000000000002</v>
      </c>
      <c r="P16" s="4">
        <v>45904.625</v>
      </c>
      <c r="Q16" s="5">
        <v>83.66</v>
      </c>
      <c r="R16" s="4">
        <v>46036.625</v>
      </c>
      <c r="S16" s="5">
        <v>99.734375</v>
      </c>
      <c r="T16" s="4" t="str">
        <f t="shared" si="1"/>
        <v/>
      </c>
      <c r="U16" s="4" t="str">
        <f t="shared" si="0"/>
        <v/>
      </c>
      <c r="V16" s="4">
        <v>46044.625</v>
      </c>
    </row>
    <row r="17" spans="1:22" x14ac:dyDescent="0.25">
      <c r="A17" s="50">
        <f t="shared" ca="1" si="2"/>
        <v>46029.625</v>
      </c>
      <c r="B17" s="51">
        <f ca="1">IF(COUNTIF($V$2:V1002,A17)=1,VLOOKUP(A17,N:O,2), IF(COUNTIF($V$2:V1002,A17)=0,$B$9,""))</f>
        <v>49.633000000000003</v>
      </c>
      <c r="C17" s="2">
        <f t="shared" ca="1" si="3"/>
        <v>2315.9719999999802</v>
      </c>
      <c r="D17" s="54">
        <f t="shared" ca="1" si="4"/>
        <v>1388.8888888888887</v>
      </c>
      <c r="E17" s="51">
        <f ca="1">IF(COUNTIF($V$2:V1002,A17)=1,VLOOKUP(A17,P:Q,2), IF(COUNTIF($V$2:V1002,A17)=0,$C$9,""))</f>
        <v>83.95</v>
      </c>
      <c r="F17" s="2">
        <f t="shared" ca="1" si="5"/>
        <v>8526.3912108908262</v>
      </c>
      <c r="G17" s="54">
        <f t="shared" ca="1" si="6"/>
        <v>-1874.7222222222219</v>
      </c>
      <c r="H17" s="51">
        <f ca="1">IF(COUNTIF($V$2:V1002,A17)=1,VLOOKUP(A17,R:S,2), IF(COUNTIF($V$2:V1002,A17)=0,$D$9,""))</f>
        <v>99.84375</v>
      </c>
      <c r="I17" s="2">
        <f t="shared" ca="1" si="7"/>
        <v>8531.25</v>
      </c>
      <c r="J17" s="54">
        <f t="shared" ca="1" si="8"/>
        <v>-27.36150173611054</v>
      </c>
      <c r="K17" s="52"/>
      <c r="L17" s="55">
        <f ca="1">IF(ISERROR(B17-2),"",C17+D17-F17-G17+I17+J17-SUM($K$14:K17))</f>
        <v>5557.0803984841532</v>
      </c>
      <c r="N17" s="4">
        <v>45940.625</v>
      </c>
      <c r="O17" s="5">
        <v>55.298999999999999</v>
      </c>
      <c r="P17" s="4">
        <v>45905.625</v>
      </c>
      <c r="Q17" s="5">
        <v>83.99</v>
      </c>
      <c r="R17" s="4">
        <v>46037.625</v>
      </c>
      <c r="S17" s="5">
        <v>99.484375</v>
      </c>
      <c r="T17" s="4" t="str">
        <f t="shared" si="1"/>
        <v/>
      </c>
      <c r="U17" s="4" t="str">
        <f t="shared" si="0"/>
        <v/>
      </c>
      <c r="V17" s="4">
        <v>46045.625</v>
      </c>
    </row>
    <row r="18" spans="1:22" x14ac:dyDescent="0.25">
      <c r="A18" s="50">
        <f t="shared" ca="1" si="2"/>
        <v>46030.625</v>
      </c>
      <c r="B18" s="51">
        <f ca="1">IF(COUNTIF($V$2:V1003,A18)=1,VLOOKUP(A18,N:O,2), IF(COUNTIF($V$2:V1003,A18)=0,$B$9,""))</f>
        <v>49.271999999999998</v>
      </c>
      <c r="C18" s="2">
        <f t="shared" ca="1" si="3"/>
        <v>3961.7709999999993</v>
      </c>
      <c r="D18" s="54">
        <f t="shared" ca="1" si="4"/>
        <v>1666.6666666666665</v>
      </c>
      <c r="E18" s="51">
        <f ca="1">IF(COUNTIF($V$2:V1003,A18)=1,VLOOKUP(A18,P:Q,2), IF(COUNTIF($V$2:V1003,A18)=0,$C$9,""))</f>
        <v>83.78</v>
      </c>
      <c r="F18" s="2">
        <f t="shared" ca="1" si="5"/>
        <v>1624.0745163600857</v>
      </c>
      <c r="G18" s="54">
        <f t="shared" ca="1" si="6"/>
        <v>-2249.6666666666665</v>
      </c>
      <c r="H18" s="51">
        <f ca="1">IF(COUNTIF($V$2:V1003,A18)=1,VLOOKUP(A18,R:S,2), IF(COUNTIF($V$2:V1003,A18)=0,$D$9,""))</f>
        <v>99.546875</v>
      </c>
      <c r="I18" s="2">
        <f t="shared" ca="1" si="7"/>
        <v>812.5</v>
      </c>
      <c r="J18" s="54">
        <f t="shared" ca="1" si="8"/>
        <v>-32.833802083333239</v>
      </c>
      <c r="K18" s="52"/>
      <c r="L18" s="55">
        <f ca="1">IF(ISERROR(B18-2),"",C18+D18-F18-G18+I18+J18-SUM($K$14:K18))</f>
        <v>7033.6960148899134</v>
      </c>
      <c r="N18" s="4">
        <v>45944.625</v>
      </c>
      <c r="O18" s="5">
        <v>53.183</v>
      </c>
      <c r="P18" s="4">
        <v>45908.625</v>
      </c>
      <c r="Q18" s="5">
        <v>84.15</v>
      </c>
      <c r="R18" s="4">
        <v>46038.625</v>
      </c>
      <c r="S18" s="5">
        <v>99.15625</v>
      </c>
      <c r="T18" s="4" t="str">
        <f t="shared" si="1"/>
        <v/>
      </c>
      <c r="U18" s="4" t="str">
        <f t="shared" si="0"/>
        <v/>
      </c>
      <c r="V18" s="4">
        <v>46048.625</v>
      </c>
    </row>
    <row r="19" spans="1:22" x14ac:dyDescent="0.25">
      <c r="A19" s="50">
        <f t="shared" ca="1" si="2"/>
        <v>46031.625</v>
      </c>
      <c r="B19" s="51">
        <f ca="1">IF(COUNTIF($V$2:V1004,A19)=1,VLOOKUP(A19,N:O,2), IF(COUNTIF($V$2:V1004,A19)=0,$B$9,""))</f>
        <v>49.093000000000004</v>
      </c>
      <c r="C19" s="2">
        <f t="shared" ca="1" si="3"/>
        <v>4777.8319999999758</v>
      </c>
      <c r="D19" s="54">
        <f t="shared" ca="1" si="4"/>
        <v>1944.4444444444443</v>
      </c>
      <c r="E19" s="51">
        <f ca="1">IF(COUNTIF($V$2:V1004,A19)=1,VLOOKUP(A19,P:Q,2), IF(COUNTIF($V$2:V1004,A19)=0,$C$9,""))</f>
        <v>83.91</v>
      </c>
      <c r="F19" s="2">
        <f t="shared" ca="1" si="5"/>
        <v>6902.3166945307412</v>
      </c>
      <c r="G19" s="54">
        <f t="shared" ca="1" si="6"/>
        <v>-2624.6111111111113</v>
      </c>
      <c r="H19" s="51">
        <f ca="1">IF(COUNTIF($V$2:V1004,A19)=1,VLOOKUP(A19,R:S,2), IF(COUNTIF($V$2:V1004,A19)=0,$D$9,""))</f>
        <v>99.5625</v>
      </c>
      <c r="I19" s="2">
        <f t="shared" ca="1" si="7"/>
        <v>1218.75</v>
      </c>
      <c r="J19" s="54">
        <f t="shared" ca="1" si="8"/>
        <v>-38.306102430555711</v>
      </c>
      <c r="K19" s="52"/>
      <c r="L19" s="55">
        <f ca="1">IF(ISERROR(B19-2),"",C19+D19-F19-G19+I19+J19-SUM($K$14:K19))</f>
        <v>3625.0147585942345</v>
      </c>
      <c r="N19" s="4">
        <v>45945.625</v>
      </c>
      <c r="O19" s="5">
        <v>52.875</v>
      </c>
      <c r="P19" s="4">
        <v>45909.625</v>
      </c>
      <c r="Q19" s="5">
        <v>84.04</v>
      </c>
      <c r="R19" s="4">
        <v>46041.625</v>
      </c>
      <c r="S19" s="5">
        <v>99.171875</v>
      </c>
      <c r="T19" s="4" t="str">
        <f t="shared" si="1"/>
        <v/>
      </c>
      <c r="U19" s="4" t="str">
        <f t="shared" si="0"/>
        <v/>
      </c>
      <c r="V19" s="4">
        <v>46049.625</v>
      </c>
    </row>
    <row r="20" spans="1:22" x14ac:dyDescent="0.25">
      <c r="A20" s="50">
        <f t="shared" ca="1" si="2"/>
        <v>46034.625</v>
      </c>
      <c r="B20" s="51">
        <f ca="1">IF(COUNTIF($V$2:V1005,A20)=1,VLOOKUP(A20,N:O,2), IF(COUNTIF($V$2:V1005,A20)=0,$B$9,""))</f>
        <v>48.982999999999997</v>
      </c>
      <c r="C20" s="2">
        <f t="shared" ca="1" si="3"/>
        <v>5279.3220000000065</v>
      </c>
      <c r="D20" s="54">
        <f t="shared" ca="1" si="4"/>
        <v>2777.7777777777774</v>
      </c>
      <c r="E20" s="51">
        <f ca="1">IF(COUNTIF($V$2:V1005,A20)=1,VLOOKUP(A20,P:Q,2), IF(COUNTIF($V$2:V1005,A20)=0,$C$9,""))</f>
        <v>83.83</v>
      </c>
      <c r="F20" s="2">
        <f t="shared" ca="1" si="5"/>
        <v>3654.1676618105703</v>
      </c>
      <c r="G20" s="54">
        <f t="shared" ca="1" si="6"/>
        <v>-3749.4444444444439</v>
      </c>
      <c r="H20" s="51">
        <f ca="1">IF(COUNTIF($V$2:V1005,A20)=1,VLOOKUP(A20,R:S,2), IF(COUNTIF($V$2:V1005,A20)=0,$D$9,""))</f>
        <v>99.46875</v>
      </c>
      <c r="I20" s="2">
        <f t="shared" ca="1" si="7"/>
        <v>-1218.75</v>
      </c>
      <c r="J20" s="54">
        <f t="shared" ca="1" si="8"/>
        <v>-54.72300347222108</v>
      </c>
      <c r="K20" s="52"/>
      <c r="L20" s="55">
        <f ca="1">IF(ISERROR(B20-2),"",C20+D20-F20-G20+I20+J20-SUM($K$14:K20))</f>
        <v>6878.9035569394364</v>
      </c>
      <c r="N20" s="4">
        <v>45946.625</v>
      </c>
      <c r="O20" s="5">
        <v>54.484000000000002</v>
      </c>
      <c r="P20" s="4">
        <v>45910.625</v>
      </c>
      <c r="Q20" s="5">
        <v>84.24</v>
      </c>
      <c r="R20" s="4">
        <v>46042.625</v>
      </c>
      <c r="S20" s="5">
        <v>98.84375</v>
      </c>
      <c r="T20" s="4" t="str">
        <f t="shared" si="1"/>
        <v/>
      </c>
      <c r="U20" s="4" t="str">
        <f t="shared" si="0"/>
        <v/>
      </c>
      <c r="V20" s="4">
        <v>46050.625</v>
      </c>
    </row>
    <row r="21" spans="1:22" x14ac:dyDescent="0.25">
      <c r="A21" s="50">
        <f t="shared" ca="1" si="2"/>
        <v>46035.625</v>
      </c>
      <c r="B21" s="51">
        <f ca="1">IF(COUNTIF($V$2:V1006,A21)=1,VLOOKUP(A21,N:O,2), IF(COUNTIF($V$2:V1006,A21)=0,$B$9,""))</f>
        <v>49.198999999999998</v>
      </c>
      <c r="C21" s="2">
        <f t="shared" ca="1" si="3"/>
        <v>4294.5780000000013</v>
      </c>
      <c r="D21" s="54">
        <f t="shared" ca="1" si="4"/>
        <v>3055.5555555555557</v>
      </c>
      <c r="E21" s="51">
        <f ca="1">IF(COUNTIF($V$2:V1006,A21)=1,VLOOKUP(A21,P:Q,2), IF(COUNTIF($V$2:V1006,A21)=0,$C$9,""))</f>
        <v>84</v>
      </c>
      <c r="F21" s="2">
        <f t="shared" ca="1" si="5"/>
        <v>10556.484356341311</v>
      </c>
      <c r="G21" s="54">
        <f t="shared" ca="1" si="6"/>
        <v>-4124.3888888888887</v>
      </c>
      <c r="H21" s="51">
        <f ca="1">IF(COUNTIF($V$2:V1006,A21)=1,VLOOKUP(A21,R:S,2), IF(COUNTIF($V$2:V1006,A21)=0,$D$9,""))</f>
        <v>99.578125</v>
      </c>
      <c r="I21" s="2">
        <f t="shared" ca="1" si="7"/>
        <v>1625</v>
      </c>
      <c r="J21" s="54">
        <f t="shared" ca="1" si="8"/>
        <v>-60.195303819444234</v>
      </c>
      <c r="K21" s="52"/>
      <c r="L21" s="55">
        <f ca="1">IF(ISERROR(B21-2),"",C21+D21-F21-G21+I21+J21-SUM($K$14:K21))</f>
        <v>2482.8427842836909</v>
      </c>
      <c r="N21" s="4">
        <v>45947.625</v>
      </c>
      <c r="O21" s="5">
        <v>53.92</v>
      </c>
      <c r="P21" s="4">
        <v>45911.625</v>
      </c>
      <c r="Q21" s="5">
        <v>84.49</v>
      </c>
      <c r="R21" s="4">
        <v>46043.625</v>
      </c>
      <c r="S21" s="5">
        <v>99.046875</v>
      </c>
      <c r="T21" s="4" t="str">
        <f t="shared" si="1"/>
        <v/>
      </c>
      <c r="U21" s="4" t="str">
        <f t="shared" si="0"/>
        <v/>
      </c>
      <c r="V21" s="4">
        <v>46051.625</v>
      </c>
    </row>
    <row r="22" spans="1:22" x14ac:dyDescent="0.25">
      <c r="A22" s="50">
        <f t="shared" ca="1" si="2"/>
        <v>46036.625</v>
      </c>
      <c r="B22" s="51">
        <f ca="1">IF(COUNTIF($V$2:V1007,A22)=1,VLOOKUP(A22,N:O,2), IF(COUNTIF($V$2:V1007,A22)=0,$B$9,""))</f>
        <v>49.423000000000002</v>
      </c>
      <c r="C22" s="2">
        <f t="shared" ca="1" si="3"/>
        <v>3273.3619999999842</v>
      </c>
      <c r="D22" s="54">
        <f t="shared" ca="1" si="4"/>
        <v>3333.333333333333</v>
      </c>
      <c r="E22" s="51">
        <f ca="1">IF(COUNTIF($V$2:V1007,A22)=1,VLOOKUP(A22,P:Q,2), IF(COUNTIF($V$2:V1007,A22)=0,$C$9,""))</f>
        <v>84.1</v>
      </c>
      <c r="F22" s="2">
        <f t="shared" ca="1" si="5"/>
        <v>14616.670647241524</v>
      </c>
      <c r="G22" s="54">
        <f t="shared" ca="1" si="6"/>
        <v>-4499.333333333333</v>
      </c>
      <c r="H22" s="51">
        <f ca="1">IF(COUNTIF($V$2:V1007,A22)=1,VLOOKUP(A22,R:S,2), IF(COUNTIF($V$2:V1007,A22)=0,$D$9,""))</f>
        <v>99.734375</v>
      </c>
      <c r="I22" s="2">
        <f t="shared" ca="1" si="7"/>
        <v>5687.5000000000009</v>
      </c>
      <c r="J22" s="54">
        <f t="shared" ca="1" si="8"/>
        <v>-65.667604166666479</v>
      </c>
      <c r="K22" s="52"/>
      <c r="L22" s="55">
        <f ca="1">IF(ISERROR(B22-2),"",C22+D22-F22-G22+I22+J22-SUM($K$14:K22))</f>
        <v>2111.1904152584598</v>
      </c>
      <c r="N22" s="4">
        <v>45950.625</v>
      </c>
      <c r="O22" s="5">
        <v>52.293999999999997</v>
      </c>
      <c r="P22" s="4">
        <v>45912.625</v>
      </c>
      <c r="Q22" s="5">
        <v>84.34</v>
      </c>
      <c r="R22" s="4">
        <v>46044.625</v>
      </c>
      <c r="S22" s="5">
        <v>98.984375</v>
      </c>
      <c r="T22" s="4" t="str">
        <f t="shared" si="1"/>
        <v/>
      </c>
      <c r="U22" s="4" t="str">
        <f t="shared" si="0"/>
        <v/>
      </c>
      <c r="V22" s="4">
        <v>46052.625</v>
      </c>
    </row>
    <row r="23" spans="1:22" ht="14.45" customHeight="1" x14ac:dyDescent="0.25">
      <c r="A23" s="50">
        <f t="shared" ca="1" si="2"/>
        <v>46037.625</v>
      </c>
      <c r="B23" s="51">
        <f ca="1">IF(COUNTIF($V$2:V1008,A23)=1,VLOOKUP(A23,N:O,2), IF(COUNTIF($V$2:V1008,A23)=0,$B$9,""))</f>
        <v>48.993000000000002</v>
      </c>
      <c r="C23" s="2">
        <f t="shared" ca="1" si="3"/>
        <v>5233.7319999999827</v>
      </c>
      <c r="D23" s="54">
        <f t="shared" ca="1" si="4"/>
        <v>3611.1111111111109</v>
      </c>
      <c r="E23" s="51">
        <f ca="1">IF(COUNTIF($V$2:V1008,A23)=1,VLOOKUP(A23,P:Q,2), IF(COUNTIF($V$2:V1008,A23)=0,$C$9,""))</f>
        <v>83.97</v>
      </c>
      <c r="F23" s="2">
        <f t="shared" ca="1" si="5"/>
        <v>9338.4284690708701</v>
      </c>
      <c r="G23" s="54">
        <f t="shared" ca="1" si="6"/>
        <v>-4874.2777777777774</v>
      </c>
      <c r="H23" s="51">
        <f ca="1">IF(COUNTIF($V$2:V1008,A23)=1,VLOOKUP(A23,R:S,2), IF(COUNTIF($V$2:V1008,A23)=0,$D$9,""))</f>
        <v>99.484375</v>
      </c>
      <c r="I23" s="2">
        <f t="shared" ca="1" si="7"/>
        <v>-812.5</v>
      </c>
      <c r="J23" s="54">
        <f t="shared" ca="1" si="8"/>
        <v>-71.139904513889178</v>
      </c>
      <c r="K23" s="52"/>
      <c r="L23" s="55">
        <f ca="1">IF(ISERROR(B23-2),"",C23+D23-F23-G23+I23+J23-SUM($K$14:K23))</f>
        <v>3497.0525153041112</v>
      </c>
      <c r="N23" s="4">
        <v>45951.625</v>
      </c>
      <c r="O23" s="5">
        <v>52.637</v>
      </c>
      <c r="P23" s="4">
        <v>45915.625</v>
      </c>
      <c r="Q23" s="5">
        <v>84.54</v>
      </c>
      <c r="R23" s="4">
        <v>46045.625</v>
      </c>
      <c r="S23" s="5">
        <v>99.09375</v>
      </c>
      <c r="T23" s="4" t="str">
        <f t="shared" si="1"/>
        <v/>
      </c>
      <c r="U23" s="4" t="str">
        <f t="shared" si="0"/>
        <v/>
      </c>
      <c r="V23" s="4">
        <v>46055.625</v>
      </c>
    </row>
    <row r="24" spans="1:22" ht="14.45" customHeight="1" x14ac:dyDescent="0.25">
      <c r="A24" s="50">
        <f t="shared" ca="1" si="2"/>
        <v>46038.625</v>
      </c>
      <c r="B24" s="51">
        <f ca="1">IF(COUNTIF($V$2:V1009,A24)=1,VLOOKUP(A24,N:O,2), IF(COUNTIF($V$2:V1009,A24)=0,$B$9,""))</f>
        <v>48.69</v>
      </c>
      <c r="C24" s="2">
        <f t="shared" ca="1" si="3"/>
        <v>6615.1090000000031</v>
      </c>
      <c r="D24" s="54">
        <f t="shared" ca="1" si="4"/>
        <v>3888.8888888888887</v>
      </c>
      <c r="E24" s="51">
        <f ca="1">IF(COUNTIF($V$2:V1009,A24)=1,VLOOKUP(A24,P:Q,2), IF(COUNTIF($V$2:V1009,A24)=0,$C$9,""))</f>
        <v>83.78</v>
      </c>
      <c r="F24" s="2">
        <f t="shared" ca="1" si="5"/>
        <v>1624.0745163600857</v>
      </c>
      <c r="G24" s="54">
        <f t="shared" ca="1" si="6"/>
        <v>-5249.2222222222226</v>
      </c>
      <c r="H24" s="51">
        <f ca="1">IF(COUNTIF($V$2:V1009,A24)=1,VLOOKUP(A24,R:S,2), IF(COUNTIF($V$2:V1009,A24)=0,$D$9,""))</f>
        <v>99.15625</v>
      </c>
      <c r="I24" s="2">
        <f t="shared" ca="1" si="7"/>
        <v>-9343.75</v>
      </c>
      <c r="J24" s="54">
        <f t="shared" ca="1" si="8"/>
        <v>-76.612204861111422</v>
      </c>
      <c r="K24" s="52"/>
      <c r="L24" s="55">
        <f ca="1">IF(ISERROR(B24-2),"",C24+D24-F24-G24+I24+J24-SUM($K$14:K24))</f>
        <v>4708.7833898899162</v>
      </c>
      <c r="N24" s="4">
        <v>45952.625</v>
      </c>
      <c r="O24" s="5">
        <v>53.167999999999999</v>
      </c>
      <c r="P24" s="4">
        <v>45916.625</v>
      </c>
      <c r="Q24" s="5">
        <v>84.53</v>
      </c>
      <c r="R24" s="4">
        <v>46048.625</v>
      </c>
      <c r="S24" s="5">
        <v>99.1875</v>
      </c>
      <c r="T24" s="4" t="str">
        <f t="shared" si="1"/>
        <v/>
      </c>
      <c r="U24" s="4" t="str">
        <f t="shared" si="0"/>
        <v/>
      </c>
      <c r="V24" s="4">
        <v>46056.625</v>
      </c>
    </row>
    <row r="25" spans="1:22" ht="14.45" customHeight="1" x14ac:dyDescent="0.25">
      <c r="A25" s="50">
        <f t="shared" ca="1" si="2"/>
        <v>46042.625</v>
      </c>
      <c r="B25" s="51">
        <f ca="1">IF(COUNTIF($V$2:V1010,A25)=1,VLOOKUP(A25,N:O,2), IF(COUNTIF($V$2:V1010,A25)=0,$B$9,""))</f>
        <v>50.305</v>
      </c>
      <c r="C25" s="2">
        <f t="shared" ca="1" si="3"/>
        <v>-747.67600000000675</v>
      </c>
      <c r="D25" s="54">
        <f t="shared" ca="1" si="4"/>
        <v>5000</v>
      </c>
      <c r="E25" s="51">
        <f ca="1">IF(COUNTIF($V$2:V1010,A25)=1,VLOOKUP(A25,P:Q,2), IF(COUNTIF($V$2:V1010,A25)=0,$C$9,""))</f>
        <v>83.48</v>
      </c>
      <c r="F25" s="2">
        <f t="shared" ca="1" si="5"/>
        <v>-10556.484356340556</v>
      </c>
      <c r="G25" s="54">
        <f t="shared" ca="1" si="6"/>
        <v>-6749.0000000000009</v>
      </c>
      <c r="H25" s="51">
        <f ca="1">IF(COUNTIF($V$2:V1010,A25)=1,VLOOKUP(A25,R:S,2), IF(COUNTIF($V$2:V1010,A25)=0,$D$9,""))</f>
        <v>98.84375</v>
      </c>
      <c r="I25" s="2">
        <f t="shared" ca="1" si="7"/>
        <v>-17468.75</v>
      </c>
      <c r="J25" s="54">
        <f t="shared" ca="1" si="8"/>
        <v>-98.50140625000131</v>
      </c>
      <c r="K25" s="52"/>
      <c r="L25" s="55">
        <f ca="1">IF(ISERROR(B25-2),"",C25+D25-F25-G25+I25+J25-SUM($K$14:K25))</f>
        <v>3990.5569500905476</v>
      </c>
      <c r="N25" s="4">
        <v>45953.625</v>
      </c>
      <c r="O25" s="5">
        <v>52.180999999999997</v>
      </c>
      <c r="P25" s="4">
        <v>45917.625</v>
      </c>
      <c r="Q25" s="5">
        <v>84.37</v>
      </c>
      <c r="R25" s="4">
        <v>46049.625</v>
      </c>
      <c r="S25" s="5">
        <v>99.109375</v>
      </c>
      <c r="T25" s="4" t="str">
        <f t="shared" si="1"/>
        <v/>
      </c>
      <c r="U25" s="4" t="str">
        <f t="shared" si="0"/>
        <v/>
      </c>
      <c r="V25" s="4">
        <v>46057.625</v>
      </c>
    </row>
    <row r="26" spans="1:22" ht="14.45" customHeight="1" x14ac:dyDescent="0.25">
      <c r="A26" s="50">
        <f t="shared" ca="1" si="2"/>
        <v>46043.625</v>
      </c>
      <c r="B26" s="51">
        <f ca="1">IF(COUNTIF($V$2:V1011,A26)=1,VLOOKUP(A26,N:O,2), IF(COUNTIF($V$2:V1011,A26)=0,$B$9,""))</f>
        <v>48.877000000000002</v>
      </c>
      <c r="C26" s="2">
        <f t="shared" ca="1" si="3"/>
        <v>5762.5759999999809</v>
      </c>
      <c r="D26" s="54">
        <f t="shared" ca="1" si="4"/>
        <v>5277.7777777777774</v>
      </c>
      <c r="E26" s="51">
        <f ca="1">IF(COUNTIF($V$2:V1011,A26)=1,VLOOKUP(A26,P:Q,2), IF(COUNTIF($V$2:V1011,A26)=0,$C$9,""))</f>
        <v>83.81</v>
      </c>
      <c r="F26" s="2">
        <f t="shared" ca="1" si="5"/>
        <v>2842.1304036305273</v>
      </c>
      <c r="G26" s="54">
        <f t="shared" ca="1" si="6"/>
        <v>-7123.9444444444453</v>
      </c>
      <c r="H26" s="51">
        <f ca="1">IF(COUNTIF($V$2:V1011,A26)=1,VLOOKUP(A26,R:S,2), IF(COUNTIF($V$2:V1011,A26)=0,$D$9,""))</f>
        <v>99.046875</v>
      </c>
      <c r="I26" s="2">
        <f t="shared" ca="1" si="7"/>
        <v>-12187.5</v>
      </c>
      <c r="J26" s="54">
        <f t="shared" ca="1" si="8"/>
        <v>-103.97370659722219</v>
      </c>
      <c r="K26" s="52"/>
      <c r="L26" s="55">
        <f ca="1">IF(ISERROR(B26-2),"",C26+D26-F26-G26+I26+J26-SUM($K$14:K26))</f>
        <v>3030.6941119944531</v>
      </c>
      <c r="N26" s="4">
        <v>45954.625</v>
      </c>
      <c r="O26" s="5">
        <v>51.527000000000001</v>
      </c>
      <c r="P26" s="4">
        <v>45918.625</v>
      </c>
      <c r="Q26" s="5">
        <v>84.295000000000002</v>
      </c>
      <c r="R26" s="4">
        <v>46050.625</v>
      </c>
      <c r="S26" s="5">
        <v>99.046875</v>
      </c>
      <c r="T26" s="4" t="str">
        <f t="shared" si="1"/>
        <v/>
      </c>
      <c r="U26" s="4" t="str">
        <f t="shared" si="0"/>
        <v/>
      </c>
      <c r="V26" s="4">
        <v>46058.625</v>
      </c>
    </row>
    <row r="27" spans="1:22" ht="14.45" customHeight="1" x14ac:dyDescent="0.25">
      <c r="A27" s="50">
        <f t="shared" ca="1" si="2"/>
        <v>46044.625</v>
      </c>
      <c r="B27" s="51">
        <f ca="1">IF(COUNTIF($V$2:V1012,A27)=1,VLOOKUP(A27,N:O,2), IF(COUNTIF($V$2:V1012,A27)=0,$B$9,""))</f>
        <v>48.487000000000002</v>
      </c>
      <c r="C27" s="2">
        <f t="shared" ca="1" si="3"/>
        <v>7540.5859999999839</v>
      </c>
      <c r="D27" s="54">
        <f t="shared" ca="1" si="4"/>
        <v>5555.5555555555547</v>
      </c>
      <c r="E27" s="51">
        <f ca="1">IF(COUNTIF($V$2:V1012,A27)=1,VLOOKUP(A27,P:Q,2), IF(COUNTIF($V$2:V1012,A27)=0,$C$9,""))</f>
        <v>83.83</v>
      </c>
      <c r="F27" s="2">
        <f t="shared" ca="1" si="5"/>
        <v>3654.1676618105703</v>
      </c>
      <c r="G27" s="54">
        <f t="shared" ca="1" si="6"/>
        <v>-7498.8888888888878</v>
      </c>
      <c r="H27" s="51">
        <f ca="1">IF(COUNTIF($V$2:V1012,A27)=1,VLOOKUP(A27,R:S,2), IF(COUNTIF($V$2:V1012,A27)=0,$D$9,""))</f>
        <v>98.984375</v>
      </c>
      <c r="I27" s="2">
        <f t="shared" ca="1" si="7"/>
        <v>-13812.500000000002</v>
      </c>
      <c r="J27" s="54">
        <f t="shared" ca="1" si="8"/>
        <v>-109.44600694444216</v>
      </c>
      <c r="K27" s="52"/>
      <c r="L27" s="55">
        <f ca="1">IF(ISERROR(B27-2),"",C27+D27-F27-G27+I27+J27-SUM($K$14:K27))</f>
        <v>3018.9167756894121</v>
      </c>
      <c r="N27" s="4">
        <v>45957.625</v>
      </c>
      <c r="O27" s="5">
        <v>50.18</v>
      </c>
      <c r="P27" s="4">
        <v>45919.625</v>
      </c>
      <c r="Q27" s="5">
        <v>84.29</v>
      </c>
      <c r="R27" s="4">
        <v>46051.625</v>
      </c>
      <c r="S27" s="5">
        <v>99.15625</v>
      </c>
      <c r="T27" s="4" t="str">
        <f t="shared" si="1"/>
        <v/>
      </c>
      <c r="U27" s="4" t="str">
        <f t="shared" si="0"/>
        <v/>
      </c>
      <c r="V27" s="4">
        <v>46059.625</v>
      </c>
    </row>
    <row r="28" spans="1:22" ht="14.45" customHeight="1" x14ac:dyDescent="0.25">
      <c r="A28" s="50">
        <f t="shared" ca="1" si="2"/>
        <v>46045.625</v>
      </c>
      <c r="B28" s="51">
        <f ca="1">IF(COUNTIF($V$2:V1013,A28)=1,VLOOKUP(A28,N:O,2), IF(COUNTIF($V$2:V1013,A28)=0,$B$9,""))</f>
        <v>48.872999999999998</v>
      </c>
      <c r="C28" s="2">
        <f t="shared" ca="1" si="3"/>
        <v>5780.8120000000035</v>
      </c>
      <c r="D28" s="54">
        <f t="shared" ca="1" si="4"/>
        <v>5833.3333333333339</v>
      </c>
      <c r="E28" s="51">
        <f ca="1">IF(COUNTIF($V$2:V1013,A28)=1,VLOOKUP(A28,P:Q,2), IF(COUNTIF($V$2:V1013,A28)=0,$C$9,""))</f>
        <v>83.89</v>
      </c>
      <c r="F28" s="2">
        <f t="shared" ca="1" si="5"/>
        <v>6090.2794363506982</v>
      </c>
      <c r="G28" s="54">
        <f t="shared" ca="1" si="6"/>
        <v>-7873.833333333333</v>
      </c>
      <c r="H28" s="51">
        <f ca="1">IF(COUNTIF($V$2:V1013,A28)=1,VLOOKUP(A28,R:S,2), IF(COUNTIF($V$2:V1013,A28)=0,$D$9,""))</f>
        <v>99.09375</v>
      </c>
      <c r="I28" s="2">
        <f t="shared" ca="1" si="7"/>
        <v>-10968.75</v>
      </c>
      <c r="J28" s="54">
        <f t="shared" ca="1" si="8"/>
        <v>-114.91830729166668</v>
      </c>
      <c r="K28" s="52"/>
      <c r="L28" s="55">
        <f ca="1">IF(ISERROR(B28-2),"",C28+D28-F28-G28+I28+J28-SUM($K$14:K28))</f>
        <v>2314.0309230243047</v>
      </c>
      <c r="N28" s="4">
        <v>45958.625</v>
      </c>
      <c r="O28" s="5">
        <v>50.65</v>
      </c>
      <c r="P28" s="4">
        <v>45922.625</v>
      </c>
      <c r="Q28" s="5">
        <v>84.154300000000006</v>
      </c>
      <c r="R28" s="4">
        <v>46052.625</v>
      </c>
      <c r="S28" s="5">
        <v>99.125</v>
      </c>
      <c r="T28" s="4" t="str">
        <f t="shared" si="1"/>
        <v/>
      </c>
      <c r="U28" s="4" t="str">
        <f t="shared" si="0"/>
        <v/>
      </c>
      <c r="V28" s="4">
        <v>46062.625</v>
      </c>
    </row>
    <row r="29" spans="1:22" ht="14.45" customHeight="1" x14ac:dyDescent="0.25">
      <c r="A29" s="50">
        <f t="shared" ca="1" si="2"/>
        <v>46048.625</v>
      </c>
      <c r="B29" s="51">
        <f ca="1">IF(COUNTIF($V$2:V1014,A29)=1,VLOOKUP(A29,N:O,2), IF(COUNTIF($V$2:V1014,A29)=0,$B$9,""))</f>
        <v>48.905999999999999</v>
      </c>
      <c r="C29" s="2">
        <f t="shared" ca="1" si="3"/>
        <v>5630.364999999998</v>
      </c>
      <c r="D29" s="54">
        <f t="shared" ca="1" si="4"/>
        <v>6666.6666666666661</v>
      </c>
      <c r="E29" s="51">
        <f ca="1">IF(COUNTIF($V$2:V1014,A29)=1,VLOOKUP(A29,P:Q,2), IF(COUNTIF($V$2:V1014,A29)=0,$C$9,""))</f>
        <v>83.97</v>
      </c>
      <c r="F29" s="2">
        <f t="shared" ca="1" si="5"/>
        <v>9338.4284690708701</v>
      </c>
      <c r="G29" s="54">
        <f t="shared" ca="1" si="6"/>
        <v>-8998.6666666666661</v>
      </c>
      <c r="H29" s="51">
        <f ca="1">IF(COUNTIF($V$2:V1014,A29)=1,VLOOKUP(A29,R:S,2), IF(COUNTIF($V$2:V1014,A29)=0,$D$9,""))</f>
        <v>99.1875</v>
      </c>
      <c r="I29" s="2">
        <f t="shared" ca="1" si="7"/>
        <v>-8531.25</v>
      </c>
      <c r="J29" s="54">
        <f t="shared" ca="1" si="8"/>
        <v>-131.33520833333296</v>
      </c>
      <c r="K29" s="52"/>
      <c r="L29" s="55">
        <f ca="1">IF(ISERROR(B29-2),"",C29+D29-F29-G29+I29+J29-SUM($K$14:K29))</f>
        <v>3294.6846559291271</v>
      </c>
      <c r="N29" s="4">
        <v>45959.625</v>
      </c>
      <c r="O29" s="5">
        <v>51.055</v>
      </c>
      <c r="P29" s="4">
        <v>45923.625</v>
      </c>
      <c r="Q29" s="5">
        <v>84.29</v>
      </c>
      <c r="R29" s="4">
        <v>46055.625</v>
      </c>
      <c r="S29" s="5">
        <v>98.96875</v>
      </c>
      <c r="T29" s="4" t="str">
        <f t="shared" si="1"/>
        <v/>
      </c>
      <c r="U29" s="4" t="str">
        <f t="shared" si="0"/>
        <v/>
      </c>
      <c r="V29" s="4">
        <v>46063.625</v>
      </c>
    </row>
    <row r="30" spans="1:22" ht="14.45" customHeight="1" x14ac:dyDescent="0.25">
      <c r="A30" s="50">
        <f t="shared" ca="1" si="2"/>
        <v>46049.625</v>
      </c>
      <c r="B30" s="51">
        <f ca="1">IF(COUNTIF($V$2:V1015,A30)=1,VLOOKUP(A30,N:O,2), IF(COUNTIF($V$2:V1015,A30)=0,$B$9,""))</f>
        <v>49.045999999999999</v>
      </c>
      <c r="C30" s="2">
        <f t="shared" ca="1" si="3"/>
        <v>4992.1049999999959</v>
      </c>
      <c r="D30" s="54">
        <f t="shared" ca="1" si="4"/>
        <v>6944.4444444444453</v>
      </c>
      <c r="E30" s="51">
        <f ca="1">IF(COUNTIF($V$2:V1015,A30)=1,VLOOKUP(A30,P:Q,2), IF(COUNTIF($V$2:V1015,A30)=0,$C$9,""))</f>
        <v>83.96</v>
      </c>
      <c r="F30" s="2">
        <f t="shared" ca="1" si="5"/>
        <v>8932.4098399804716</v>
      </c>
      <c r="G30" s="54">
        <f t="shared" ca="1" si="6"/>
        <v>-9373.6111111111113</v>
      </c>
      <c r="H30" s="51">
        <f ca="1">IF(COUNTIF($V$2:V1015,A30)=1,VLOOKUP(A30,R:S,2), IF(COUNTIF($V$2:V1015,A30)=0,$D$9,""))</f>
        <v>99.109375</v>
      </c>
      <c r="I30" s="2">
        <f t="shared" ca="1" si="7"/>
        <v>-10562.5</v>
      </c>
      <c r="J30" s="54">
        <f t="shared" ca="1" si="8"/>
        <v>-136.80750868055748</v>
      </c>
      <c r="K30" s="52"/>
      <c r="L30" s="55">
        <f ca="1">IF(ISERROR(B30-2),"",C30+D30-F30-G30+I30+J30-SUM($K$14:K30))</f>
        <v>1678.4432068945234</v>
      </c>
      <c r="N30" s="4">
        <v>45960.625</v>
      </c>
      <c r="O30" s="5">
        <v>52.241999999999997</v>
      </c>
      <c r="P30" s="4">
        <v>45924.625</v>
      </c>
      <c r="Q30" s="5">
        <v>84.05</v>
      </c>
      <c r="R30" s="4">
        <v>46056.625</v>
      </c>
      <c r="S30" s="5">
        <v>99.03125</v>
      </c>
      <c r="T30" s="4" t="str">
        <f t="shared" si="1"/>
        <v/>
      </c>
      <c r="U30" s="4" t="str">
        <f t="shared" si="0"/>
        <v/>
      </c>
      <c r="V30" s="4">
        <v>46064.625</v>
      </c>
    </row>
    <row r="31" spans="1:22" ht="14.45" customHeight="1" x14ac:dyDescent="0.25">
      <c r="A31" s="50">
        <f t="shared" ca="1" si="2"/>
        <v>46050.625</v>
      </c>
      <c r="B31" s="51">
        <f ca="1">IF(COUNTIF($V$2:V1016,A31)=1,VLOOKUP(A31,N:O,2), IF(COUNTIF($V$2:V1016,A31)=0,$B$9,""))</f>
        <v>48.957999999999998</v>
      </c>
      <c r="C31" s="2">
        <f t="shared" ca="1" si="3"/>
        <v>5393.2969999999996</v>
      </c>
      <c r="D31" s="54">
        <f t="shared" ca="1" si="4"/>
        <v>7222.2222222222217</v>
      </c>
      <c r="E31" s="51">
        <f ca="1">IF(COUNTIF($V$2:V1016,A31)=1,VLOOKUP(A31,P:Q,2), IF(COUNTIF($V$2:V1016,A31)=0,$C$9,""))</f>
        <v>83.91</v>
      </c>
      <c r="F31" s="2">
        <f t="shared" ca="1" si="5"/>
        <v>6902.3166945307412</v>
      </c>
      <c r="G31" s="54">
        <f t="shared" ca="1" si="6"/>
        <v>-9748.5555555555547</v>
      </c>
      <c r="H31" s="51">
        <f ca="1">IF(COUNTIF($V$2:V1016,A31)=1,VLOOKUP(A31,R:S,2), IF(COUNTIF($V$2:V1016,A31)=0,$D$9,""))</f>
        <v>99.046875</v>
      </c>
      <c r="I31" s="2">
        <f t="shared" ca="1" si="7"/>
        <v>-12187.5</v>
      </c>
      <c r="J31" s="54">
        <f t="shared" ca="1" si="8"/>
        <v>-142.27980902777836</v>
      </c>
      <c r="K31" s="52"/>
      <c r="L31" s="55">
        <f ca="1">IF(ISERROR(B31-2),"",C31+D31-F31-G31+I31+J31-SUM($K$14:K31))</f>
        <v>3131.9782742192556</v>
      </c>
      <c r="N31" s="4">
        <v>45961.625</v>
      </c>
      <c r="O31" s="5">
        <v>52.654000000000003</v>
      </c>
      <c r="P31" s="4">
        <v>45925.625</v>
      </c>
      <c r="Q31" s="5">
        <v>83.87</v>
      </c>
      <c r="R31" s="4">
        <v>46057.625</v>
      </c>
      <c r="S31" s="5">
        <v>99</v>
      </c>
      <c r="T31" s="4" t="str">
        <f t="shared" si="1"/>
        <v/>
      </c>
      <c r="U31" s="4" t="str">
        <f t="shared" si="0"/>
        <v/>
      </c>
      <c r="V31" s="4">
        <v>46065.625</v>
      </c>
    </row>
    <row r="32" spans="1:22" ht="14.45" customHeight="1" x14ac:dyDescent="0.25">
      <c r="A32" s="50">
        <f t="shared" ca="1" si="2"/>
        <v>46051.625</v>
      </c>
      <c r="B32" s="51">
        <f ca="1">IF(COUNTIF($V$2:V1017,A32)=1,VLOOKUP(A32,N:O,2), IF(COUNTIF($V$2:V1017,A32)=0,$B$9,""))</f>
        <v>49.212000000000003</v>
      </c>
      <c r="C32" s="2">
        <f t="shared" ca="1" si="3"/>
        <v>4235.310999999977</v>
      </c>
      <c r="D32" s="54">
        <f t="shared" ca="1" si="4"/>
        <v>7500</v>
      </c>
      <c r="E32" s="51">
        <f ca="1">IF(COUNTIF($V$2:V1017,A32)=1,VLOOKUP(A32,P:Q,2), IF(COUNTIF($V$2:V1017,A32)=0,$C$9,""))</f>
        <v>83.96</v>
      </c>
      <c r="F32" s="2">
        <f t="shared" ca="1" si="5"/>
        <v>8932.4098399804716</v>
      </c>
      <c r="G32" s="54">
        <f t="shared" ca="1" si="6"/>
        <v>-10123.499999999998</v>
      </c>
      <c r="H32" s="51">
        <f ca="1">IF(COUNTIF($V$2:V1017,A32)=1,VLOOKUP(A32,R:S,2), IF(COUNTIF($V$2:V1017,A32)=0,$D$9,""))</f>
        <v>99.15625</v>
      </c>
      <c r="I32" s="2">
        <f t="shared" ca="1" si="7"/>
        <v>-9343.75</v>
      </c>
      <c r="J32" s="54">
        <f t="shared" ca="1" si="8"/>
        <v>-147.75210937499924</v>
      </c>
      <c r="K32" s="52"/>
      <c r="L32" s="55">
        <f ca="1">IF(ISERROR(B32-2),"",C32+D32-F32-G32+I32+J32-SUM($K$14:K32))</f>
        <v>3434.8990506445034</v>
      </c>
      <c r="N32" s="4">
        <v>45964.625</v>
      </c>
      <c r="O32" s="5">
        <v>53.234000000000002</v>
      </c>
      <c r="P32" s="4">
        <v>45926.625</v>
      </c>
      <c r="Q32" s="5">
        <v>83.93</v>
      </c>
      <c r="R32" s="4">
        <v>46058.625</v>
      </c>
      <c r="S32" s="5">
        <v>99.546875</v>
      </c>
      <c r="T32" s="4" t="str">
        <f t="shared" si="1"/>
        <v/>
      </c>
      <c r="U32" s="4" t="str">
        <f t="shared" si="0"/>
        <v/>
      </c>
      <c r="V32" s="4">
        <v>46066.625</v>
      </c>
    </row>
    <row r="33" spans="1:22" ht="14.45" customHeight="1" x14ac:dyDescent="0.25">
      <c r="A33" s="50">
        <f t="shared" ca="1" si="2"/>
        <v>46052.625</v>
      </c>
      <c r="B33" s="51">
        <f ca="1">IF(COUNTIF($V$2:V1018,A33)=1,VLOOKUP(A33,N:O,2), IF(COUNTIF($V$2:V1018,A33)=0,$B$9,""))</f>
        <v>49.435000000000002</v>
      </c>
      <c r="C33" s="2">
        <f t="shared" ca="1" si="3"/>
        <v>3218.6539999999818</v>
      </c>
      <c r="D33" s="54">
        <f t="shared" ca="1" si="4"/>
        <v>7777.7777777777774</v>
      </c>
      <c r="E33" s="51">
        <f ca="1">IF(COUNTIF($V$2:V1018,A33)=1,VLOOKUP(A33,P:Q,2), IF(COUNTIF($V$2:V1018,A33)=0,$C$9,""))</f>
        <v>83.95</v>
      </c>
      <c r="F33" s="2">
        <f t="shared" ca="1" si="5"/>
        <v>8526.3912108908262</v>
      </c>
      <c r="G33" s="54">
        <f t="shared" ca="1" si="6"/>
        <v>-10498.444444444445</v>
      </c>
      <c r="H33" s="51">
        <f ca="1">IF(COUNTIF($V$2:V1018,A33)=1,VLOOKUP(A33,R:S,2), IF(COUNTIF($V$2:V1018,A33)=0,$D$9,""))</f>
        <v>99.125</v>
      </c>
      <c r="I33" s="2">
        <f t="shared" ca="1" si="7"/>
        <v>-10156.25</v>
      </c>
      <c r="J33" s="54">
        <f t="shared" ca="1" si="8"/>
        <v>-153.22440972222284</v>
      </c>
      <c r="K33" s="52"/>
      <c r="L33" s="55">
        <f ca="1">IF(ISERROR(B33-2),"",C33+D33-F33-G33+I33+J33-SUM($K$14:K33))</f>
        <v>2659.0106016091559</v>
      </c>
      <c r="N33" s="4">
        <v>45965.625</v>
      </c>
      <c r="O33" s="5">
        <v>53.936</v>
      </c>
      <c r="P33" s="4">
        <v>45929.625</v>
      </c>
      <c r="Q33" s="5">
        <v>84.11</v>
      </c>
      <c r="R33" s="4">
        <v>46059.625</v>
      </c>
      <c r="S33" s="5">
        <v>99.46875</v>
      </c>
      <c r="T33" s="4" t="str">
        <f t="shared" si="1"/>
        <v/>
      </c>
      <c r="U33" s="4" t="str">
        <f t="shared" si="0"/>
        <v/>
      </c>
      <c r="V33" s="4">
        <v>46070.625</v>
      </c>
    </row>
    <row r="34" spans="1:22" ht="14.45" customHeight="1" x14ac:dyDescent="0.25">
      <c r="A34" s="50">
        <f t="shared" ca="1" si="2"/>
        <v>46055.625</v>
      </c>
      <c r="B34" s="51">
        <f ca="1">IF(COUNTIF($V$2:V1019,A34)=1,VLOOKUP(A34,N:O,2), IF(COUNTIF($V$2:V1019,A34)=0,$B$9,""))</f>
        <v>48.841000000000001</v>
      </c>
      <c r="C34" s="2">
        <f t="shared" ca="1" si="3"/>
        <v>5926.6999999999871</v>
      </c>
      <c r="D34" s="54">
        <f t="shared" ca="1" si="4"/>
        <v>8611.1111111111113</v>
      </c>
      <c r="E34" s="51">
        <f ca="1">IF(COUNTIF($V$2:V1019,A34)=1,VLOOKUP(A34,P:Q,2), IF(COUNTIF($V$2:V1019,A34)=0,$C$9,""))</f>
        <v>83.52</v>
      </c>
      <c r="F34" s="2">
        <f t="shared" ca="1" si="5"/>
        <v>-8932.4098399808481</v>
      </c>
      <c r="G34" s="54">
        <f t="shared" ca="1" si="6"/>
        <v>-11623.277777777777</v>
      </c>
      <c r="H34" s="51">
        <f ca="1">IF(COUNTIF($V$2:V1019,A34)=1,VLOOKUP(A34,R:S,2), IF(COUNTIF($V$2:V1019,A34)=0,$D$9,""))</f>
        <v>98.96875</v>
      </c>
      <c r="I34" s="2">
        <f t="shared" ca="1" si="7"/>
        <v>-14218.75</v>
      </c>
      <c r="J34" s="54">
        <f t="shared" ca="1" si="8"/>
        <v>-169.6413107638873</v>
      </c>
      <c r="K34" s="52">
        <f>G6*G7</f>
        <v>13398.614759971342</v>
      </c>
      <c r="L34" s="55">
        <f ca="1">IF(ISERROR(B34-2),"",C34+D34-F34-G34+I34+J34-SUM($K$14:K34))</f>
        <v>7306.4926581345007</v>
      </c>
      <c r="N34" s="4">
        <v>45966.625</v>
      </c>
      <c r="O34" s="5">
        <v>52.872</v>
      </c>
      <c r="P34" s="4">
        <v>45930.625</v>
      </c>
      <c r="Q34" s="5">
        <v>84.11</v>
      </c>
      <c r="R34" s="4">
        <v>46062.625</v>
      </c>
      <c r="S34" s="5">
        <v>99.5</v>
      </c>
      <c r="T34" s="4" t="str">
        <f t="shared" si="1"/>
        <v/>
      </c>
      <c r="U34" s="4" t="str">
        <f t="shared" si="0"/>
        <v/>
      </c>
      <c r="V34" s="4">
        <v>46071.625</v>
      </c>
    </row>
    <row r="35" spans="1:22" ht="14.45" customHeight="1" x14ac:dyDescent="0.25">
      <c r="A35" s="50">
        <f t="shared" ca="1" si="2"/>
        <v>46056.625</v>
      </c>
      <c r="B35" s="51">
        <f ca="1">IF(COUNTIF($V$2:V1020,A35)=1,VLOOKUP(A35,N:O,2), IF(COUNTIF($V$2:V1020,A35)=0,$B$9,""))</f>
        <v>49.676000000000002</v>
      </c>
      <c r="C35" s="2">
        <f t="shared" ca="1" si="3"/>
        <v>2119.9349999999831</v>
      </c>
      <c r="D35" s="54">
        <f t="shared" ca="1" si="4"/>
        <v>8888.8888888888887</v>
      </c>
      <c r="E35" s="51">
        <f ca="1">IF(COUNTIF($V$2:V1020,A35)=1,VLOOKUP(A35,P:Q,2), IF(COUNTIF($V$2:V1020,A35)=0,$C$9,""))</f>
        <v>83.54</v>
      </c>
      <c r="F35" s="2">
        <f t="shared" ca="1" si="5"/>
        <v>-8120.3725818004277</v>
      </c>
      <c r="G35" s="54">
        <f t="shared" ca="1" si="6"/>
        <v>-11998.222222222223</v>
      </c>
      <c r="H35" s="51">
        <f ca="1">IF(COUNTIF($V$2:V1020,A35)=1,VLOOKUP(A35,R:S,2), IF(COUNTIF($V$2:V1020,A35)=0,$D$9,""))</f>
        <v>99.03125</v>
      </c>
      <c r="I35" s="2">
        <f t="shared" ca="1" si="7"/>
        <v>-12593.75</v>
      </c>
      <c r="J35" s="54">
        <f t="shared" ca="1" si="8"/>
        <v>-175.11361111111182</v>
      </c>
      <c r="K35" s="52"/>
      <c r="L35" s="55">
        <f ca="1">IF(ISERROR(B35-2),"",C35+D35-F35-G35+I35+J35-SUM($K$14:K35))</f>
        <v>4959.9403218290663</v>
      </c>
      <c r="N35" s="4">
        <v>45967.625</v>
      </c>
      <c r="O35" s="5">
        <v>53.744999999999997</v>
      </c>
      <c r="P35" s="4">
        <v>45931.625</v>
      </c>
      <c r="Q35" s="5">
        <v>84.07</v>
      </c>
      <c r="R35" s="4">
        <v>46063.625</v>
      </c>
      <c r="S35" s="5">
        <v>99.828125</v>
      </c>
      <c r="T35" s="4" t="str">
        <f t="shared" si="1"/>
        <v/>
      </c>
      <c r="U35" s="4" t="str">
        <f t="shared" si="0"/>
        <v/>
      </c>
      <c r="V35" s="4">
        <v>46072.625</v>
      </c>
    </row>
    <row r="36" spans="1:22" ht="14.45" customHeight="1" x14ac:dyDescent="0.25">
      <c r="A36" s="50">
        <f t="shared" ca="1" si="2"/>
        <v>46057.625</v>
      </c>
      <c r="B36" s="51">
        <f ca="1">IF(COUNTIF($V$2:V1021,A36)=1,VLOOKUP(A36,N:O,2), IF(COUNTIF($V$2:V1021,A36)=0,$B$9,""))</f>
        <v>50.027999999999999</v>
      </c>
      <c r="C36" s="2">
        <f t="shared" ca="1" si="3"/>
        <v>515.16699999999798</v>
      </c>
      <c r="D36" s="54">
        <f t="shared" ca="1" si="4"/>
        <v>9166.6666666666661</v>
      </c>
      <c r="E36" s="51">
        <f ca="1">IF(COUNTIF($V$2:V1021,A36)=1,VLOOKUP(A36,P:Q,2), IF(COUNTIF($V$2:V1021,A36)=0,$C$9,""))</f>
        <v>83.51</v>
      </c>
      <c r="F36" s="2">
        <f t="shared" ca="1" si="5"/>
        <v>-9338.4284690704917</v>
      </c>
      <c r="G36" s="54">
        <f t="shared" ca="1" si="6"/>
        <v>-12373.166666666666</v>
      </c>
      <c r="H36" s="51">
        <f ca="1">IF(COUNTIF($V$2:V1021,A36)=1,VLOOKUP(A36,R:S,2), IF(COUNTIF($V$2:V1021,A36)=0,$D$9,""))</f>
        <v>99</v>
      </c>
      <c r="I36" s="2">
        <f t="shared" ca="1" si="7"/>
        <v>-13406.25</v>
      </c>
      <c r="J36" s="54">
        <f t="shared" ca="1" si="8"/>
        <v>-180.5859114583327</v>
      </c>
      <c r="K36" s="52"/>
      <c r="L36" s="55">
        <f ca="1">IF(ISERROR(B36-2),"",C36+D36-F36-G36+I36+J36-SUM($K$14:K36))</f>
        <v>4407.9781309741429</v>
      </c>
      <c r="N36" s="4">
        <v>45968.625</v>
      </c>
      <c r="O36" s="5">
        <v>53.613999999999997</v>
      </c>
      <c r="P36" s="4">
        <v>45932.625</v>
      </c>
      <c r="Q36" s="5">
        <v>84.16</v>
      </c>
      <c r="R36" s="4">
        <v>46064.625</v>
      </c>
      <c r="S36" s="5">
        <v>99.578125</v>
      </c>
      <c r="T36" s="4" t="str">
        <f t="shared" si="1"/>
        <v/>
      </c>
      <c r="U36" s="4" t="str">
        <f t="shared" si="0"/>
        <v/>
      </c>
      <c r="V36" s="4">
        <v>46073.625</v>
      </c>
    </row>
    <row r="37" spans="1:22" x14ac:dyDescent="0.25">
      <c r="A37" s="50">
        <f t="shared" ca="1" si="2"/>
        <v>46058.625</v>
      </c>
      <c r="B37" s="51">
        <f ca="1">IF(COUNTIF($V$2:V1022,A37)=1,VLOOKUP(A37,N:O,2), IF(COUNTIF($V$2:V1022,A37)=0,$B$9,""))</f>
        <v>51.73</v>
      </c>
      <c r="C37" s="2">
        <f t="shared" ca="1" si="3"/>
        <v>-7244.2509999999947</v>
      </c>
      <c r="D37" s="54">
        <f t="shared" ca="1" si="4"/>
        <v>9444.4444444444434</v>
      </c>
      <c r="E37" s="51">
        <f ca="1">IF(COUNTIF($V$2:V1022,A37)=1,VLOOKUP(A37,P:Q,2), IF(COUNTIF($V$2:V1022,A37)=0,$C$9,""))</f>
        <v>83.84</v>
      </c>
      <c r="F37" s="2">
        <f t="shared" ca="1" si="5"/>
        <v>4060.1862909009687</v>
      </c>
      <c r="G37" s="54">
        <f t="shared" ca="1" si="6"/>
        <v>-12748.111111111109</v>
      </c>
      <c r="H37" s="51">
        <f ca="1">IF(COUNTIF($V$2:V1022,A37)=1,VLOOKUP(A37,R:S,2), IF(COUNTIF($V$2:V1022,A37)=0,$D$9,""))</f>
        <v>99.546875</v>
      </c>
      <c r="I37" s="2">
        <f t="shared" ca="1" si="7"/>
        <v>812.5</v>
      </c>
      <c r="J37" s="54">
        <f t="shared" ca="1" si="8"/>
        <v>-186.0582118055554</v>
      </c>
      <c r="K37" s="52"/>
      <c r="L37" s="55">
        <f ca="1">IF(ISERROR(B37-2),"",C37+D37-F37-G37+I37+J37-SUM($K$14:K37))</f>
        <v>-1884.0547071223082</v>
      </c>
      <c r="N37" s="4">
        <v>45971.625</v>
      </c>
      <c r="O37" s="5">
        <v>51.887</v>
      </c>
      <c r="P37" s="4">
        <v>45933.625</v>
      </c>
      <c r="Q37" s="5">
        <v>84.06</v>
      </c>
      <c r="R37" s="4">
        <v>46065.625</v>
      </c>
      <c r="S37" s="5">
        <v>100.09375</v>
      </c>
      <c r="T37" s="4" t="str">
        <f t="shared" si="1"/>
        <v/>
      </c>
      <c r="U37" s="4" t="str">
        <f t="shared" si="0"/>
        <v/>
      </c>
      <c r="V37" s="4">
        <v>46076.625</v>
      </c>
    </row>
    <row r="38" spans="1:22" x14ac:dyDescent="0.25">
      <c r="A38" s="50">
        <f t="shared" ca="1" si="2"/>
        <v>46059.625</v>
      </c>
      <c r="B38" s="51">
        <f ca="1">IF(COUNTIF($V$2:V1023,A38)=1,VLOOKUP(A38,N:O,2), IF(COUNTIF($V$2:V1023,A38)=0,$B$9,""))</f>
        <v>50.292999999999999</v>
      </c>
      <c r="C38" s="2">
        <f t="shared" ca="1" si="3"/>
        <v>-692.96800000000474</v>
      </c>
      <c r="D38" s="54">
        <f t="shared" ca="1" si="4"/>
        <v>9722.2222222222226</v>
      </c>
      <c r="E38" s="51">
        <f ca="1">IF(COUNTIF($V$2:V1023,A38)=1,VLOOKUP(A38,P:Q,2), IF(COUNTIF($V$2:V1023,A38)=0,$C$9,""))</f>
        <v>83.87</v>
      </c>
      <c r="F38" s="2">
        <f t="shared" ca="1" si="5"/>
        <v>5278.2421781706553</v>
      </c>
      <c r="G38" s="54">
        <f t="shared" ca="1" si="6"/>
        <v>-13123.055555555557</v>
      </c>
      <c r="H38" s="51">
        <f ca="1">IF(COUNTIF($V$2:V1023,A38)=1,VLOOKUP(A38,R:S,2), IF(COUNTIF($V$2:V1023,A38)=0,$D$9,""))</f>
        <v>99.46875</v>
      </c>
      <c r="I38" s="2">
        <f t="shared" ca="1" si="7"/>
        <v>-1218.75</v>
      </c>
      <c r="J38" s="54">
        <f t="shared" ca="1" si="8"/>
        <v>-191.5305121527781</v>
      </c>
      <c r="K38" s="52"/>
      <c r="L38" s="55">
        <f ca="1">IF(ISERROR(B38-2),"",C38+D38-F38-G38+I38+J38-SUM($K$14:K38))</f>
        <v>2065.1723274829983</v>
      </c>
      <c r="N38" s="4">
        <v>45973.625</v>
      </c>
      <c r="O38" s="5">
        <v>52.323</v>
      </c>
      <c r="P38" s="4">
        <v>45936.625</v>
      </c>
      <c r="Q38" s="5">
        <v>83.89</v>
      </c>
      <c r="R38" s="4">
        <v>46066.625</v>
      </c>
      <c r="S38" s="5">
        <v>100.40625</v>
      </c>
      <c r="T38" s="4" t="str">
        <f t="shared" si="1"/>
        <v/>
      </c>
      <c r="U38" s="4" t="str">
        <f t="shared" si="0"/>
        <v/>
      </c>
      <c r="V38" s="4">
        <v>46077.625</v>
      </c>
    </row>
    <row r="39" spans="1:22" x14ac:dyDescent="0.25">
      <c r="A39" s="50">
        <f t="shared" ca="1" si="2"/>
        <v>46062.625</v>
      </c>
      <c r="B39" s="51">
        <f ca="1">IF(COUNTIF($V$2:V1024,A39)=1,VLOOKUP(A39,N:O,2), IF(COUNTIF($V$2:V1024,A39)=0,$B$9,""))</f>
        <v>49.923999999999999</v>
      </c>
      <c r="C39" s="2">
        <f t="shared" ca="1" si="3"/>
        <v>989.30299999999443</v>
      </c>
      <c r="D39" s="54">
        <f t="shared" ca="1" si="4"/>
        <v>10555.555555555555</v>
      </c>
      <c r="E39" s="51">
        <f ca="1">IF(COUNTIF($V$2:V1024,A39)=1,VLOOKUP(A39,P:Q,2), IF(COUNTIF($V$2:V1024,A39)=0,$C$9,""))</f>
        <v>83.9</v>
      </c>
      <c r="F39" s="2">
        <f t="shared" ca="1" si="5"/>
        <v>6496.2980654410976</v>
      </c>
      <c r="G39" s="54">
        <f t="shared" ca="1" si="6"/>
        <v>-14247.888888888891</v>
      </c>
      <c r="H39" s="51">
        <f ca="1">IF(COUNTIF($V$2:V1024,A39)=1,VLOOKUP(A39,R:S,2), IF(COUNTIF($V$2:V1024,A39)=0,$D$9,""))</f>
        <v>99.5</v>
      </c>
      <c r="I39" s="2">
        <f t="shared" ca="1" si="7"/>
        <v>-406.25</v>
      </c>
      <c r="J39" s="54">
        <f t="shared" ca="1" si="8"/>
        <v>-207.94741319444438</v>
      </c>
      <c r="K39" s="52"/>
      <c r="L39" s="55">
        <f ca="1">IF(ISERROR(B39-2),"",C39+D39-F39-G39+I39+J39-SUM($K$14:K39))</f>
        <v>5283.6372058375546</v>
      </c>
      <c r="N39" s="4">
        <v>45974.625</v>
      </c>
      <c r="O39" s="5">
        <v>53.618000000000002</v>
      </c>
      <c r="P39" s="4">
        <v>45937.625</v>
      </c>
      <c r="Q39" s="5">
        <v>84</v>
      </c>
      <c r="R39" s="4">
        <v>46069.625</v>
      </c>
      <c r="S39" s="5">
        <v>100.421875</v>
      </c>
      <c r="T39" s="4" t="str">
        <f t="shared" si="1"/>
        <v/>
      </c>
      <c r="U39" s="4" t="str">
        <f t="shared" si="0"/>
        <v/>
      </c>
      <c r="V39" s="4">
        <v>46078.625</v>
      </c>
    </row>
    <row r="40" spans="1:22" x14ac:dyDescent="0.25">
      <c r="A40" s="50">
        <f t="shared" ca="1" si="2"/>
        <v>46063.625</v>
      </c>
      <c r="B40" s="51">
        <f ca="1">IF(COUNTIF($V$2:V1025,A40)=1,VLOOKUP(A40,N:O,2), IF(COUNTIF($V$2:V1025,A40)=0,$B$9,""))</f>
        <v>50.57</v>
      </c>
      <c r="C40" s="2">
        <f t="shared" ca="1" si="3"/>
        <v>-1955.8110000000097</v>
      </c>
      <c r="D40" s="54">
        <f t="shared" ca="1" si="4"/>
        <v>10833.333333333332</v>
      </c>
      <c r="E40" s="51">
        <f ca="1">IF(COUNTIF($V$2:V1025,A40)=1,VLOOKUP(A40,P:Q,2), IF(COUNTIF($V$2:V1025,A40)=0,$C$9,""))</f>
        <v>84.03</v>
      </c>
      <c r="F40" s="2">
        <f t="shared" ca="1" si="5"/>
        <v>11774.540243611753</v>
      </c>
      <c r="G40" s="54">
        <f t="shared" ca="1" si="6"/>
        <v>-14622.833333333334</v>
      </c>
      <c r="H40" s="51">
        <f ca="1">IF(COUNTIF($V$2:V1025,A40)=1,VLOOKUP(A40,R:S,2), IF(COUNTIF($V$2:V1025,A40)=0,$D$9,""))</f>
        <v>99.828125</v>
      </c>
      <c r="I40" s="2">
        <f t="shared" ca="1" si="7"/>
        <v>8125</v>
      </c>
      <c r="J40" s="54">
        <f t="shared" ca="1" si="8"/>
        <v>-213.4197135416689</v>
      </c>
      <c r="K40" s="52"/>
      <c r="L40" s="55">
        <f ca="1">IF(ISERROR(B40-2),"",C40+D40-F40-G40+I40+J40-SUM($K$14:K40))</f>
        <v>6238.7809495418933</v>
      </c>
      <c r="N40" s="4">
        <v>45975.625</v>
      </c>
      <c r="O40" s="5">
        <v>53.448</v>
      </c>
      <c r="P40" s="4">
        <v>45938.625</v>
      </c>
      <c r="Q40" s="5">
        <v>83.91</v>
      </c>
      <c r="R40" s="4">
        <v>46070.625</v>
      </c>
      <c r="S40" s="5">
        <v>100.359375</v>
      </c>
      <c r="T40" s="4" t="str">
        <f t="shared" si="1"/>
        <v/>
      </c>
      <c r="U40" s="4" t="str">
        <f t="shared" si="0"/>
        <v/>
      </c>
      <c r="V40" s="4">
        <v>46079.625</v>
      </c>
    </row>
    <row r="41" spans="1:22" x14ac:dyDescent="0.25">
      <c r="A41" s="50">
        <f t="shared" ca="1" si="2"/>
        <v>46064.625</v>
      </c>
      <c r="B41" s="51">
        <f ca="1">IF(COUNTIF($V$2:V1026,A41)=1,VLOOKUP(A41,N:O,2), IF(COUNTIF($V$2:V1026,A41)=0,$B$9,""))</f>
        <v>50.381999999999998</v>
      </c>
      <c r="C41" s="2">
        <f t="shared" ca="1" si="3"/>
        <v>-1098.7189999999985</v>
      </c>
      <c r="D41" s="54">
        <f t="shared" ca="1" si="4"/>
        <v>11111.111111111109</v>
      </c>
      <c r="E41" s="51">
        <f ca="1">IF(COUNTIF($V$2:V1026,A41)=1,VLOOKUP(A41,P:Q,2), IF(COUNTIF($V$2:V1026,A41)=0,$C$9,""))</f>
        <v>83.96</v>
      </c>
      <c r="F41" s="2">
        <f t="shared" ca="1" si="5"/>
        <v>8932.4098399804716</v>
      </c>
      <c r="G41" s="54">
        <f t="shared" ca="1" si="6"/>
        <v>-14997.777777777776</v>
      </c>
      <c r="H41" s="51">
        <f ca="1">IF(COUNTIF($V$2:V1026,A41)=1,VLOOKUP(A41,R:S,2), IF(COUNTIF($V$2:V1026,A41)=0,$D$9,""))</f>
        <v>99.578125</v>
      </c>
      <c r="I41" s="2">
        <f t="shared" ca="1" si="7"/>
        <v>1625</v>
      </c>
      <c r="J41" s="54">
        <f t="shared" ca="1" si="8"/>
        <v>-218.89201388888432</v>
      </c>
      <c r="K41" s="52"/>
      <c r="L41" s="55">
        <f ca="1">IF(ISERROR(B41-2),"",C41+D41-F41-G41+I41+J41-SUM($K$14:K41))</f>
        <v>4085.253275048186</v>
      </c>
      <c r="N41" s="4">
        <v>45978.625</v>
      </c>
      <c r="O41" s="5">
        <v>54.393999999999998</v>
      </c>
      <c r="P41" s="4">
        <v>45939.625</v>
      </c>
      <c r="Q41" s="5">
        <v>83.78</v>
      </c>
      <c r="R41" s="4">
        <v>46071.625</v>
      </c>
      <c r="S41" s="5">
        <v>100.15625</v>
      </c>
      <c r="T41" s="4" t="str">
        <f t="shared" si="1"/>
        <v/>
      </c>
      <c r="U41" s="4" t="str">
        <f t="shared" si="0"/>
        <v/>
      </c>
      <c r="V41" s="4">
        <v>46080.625</v>
      </c>
    </row>
    <row r="42" spans="1:22" x14ac:dyDescent="0.25">
      <c r="A42" s="50">
        <f t="shared" ca="1" si="2"/>
        <v>46065.625</v>
      </c>
      <c r="B42" s="51">
        <f ca="1">IF(COUNTIF($V$2:V1027,A42)=1,VLOOKUP(A42,N:O,2), IF(COUNTIF($V$2:V1027,A42)=0,$B$9,""))</f>
        <v>51.848999999999997</v>
      </c>
      <c r="C42" s="2">
        <f t="shared" ca="1" si="3"/>
        <v>-7786.7719999999927</v>
      </c>
      <c r="D42" s="54">
        <f t="shared" ca="1" si="4"/>
        <v>11388.888888888889</v>
      </c>
      <c r="E42" s="51">
        <f ca="1">IF(COUNTIF($V$2:V1027,A42)=1,VLOOKUP(A42,P:Q,2), IF(COUNTIF($V$2:V1027,A42)=0,$C$9,""))</f>
        <v>84.22</v>
      </c>
      <c r="F42" s="2">
        <f t="shared" ca="1" si="5"/>
        <v>19488.89419632178</v>
      </c>
      <c r="G42" s="54">
        <f t="shared" ca="1" si="6"/>
        <v>-15372.722222222223</v>
      </c>
      <c r="H42" s="51">
        <f ca="1">IF(COUNTIF($V$2:V1027,A42)=1,VLOOKUP(A42,R:S,2), IF(COUNTIF($V$2:V1027,A42)=0,$D$9,""))</f>
        <v>100.09375</v>
      </c>
      <c r="I42" s="2">
        <f t="shared" ca="1" si="7"/>
        <v>15031.25</v>
      </c>
      <c r="J42" s="54">
        <f t="shared" ca="1" si="8"/>
        <v>-224.36431423611248</v>
      </c>
      <c r="K42" s="52"/>
      <c r="L42" s="55">
        <f ca="1">IF(ISERROR(B42-2),"",C42+D42-F42-G42+I42+J42-SUM($K$14:K42))</f>
        <v>894.21584058188455</v>
      </c>
      <c r="N42" s="4">
        <v>45979.625</v>
      </c>
      <c r="O42" s="5">
        <v>55.21</v>
      </c>
      <c r="P42" s="4">
        <v>45940.625</v>
      </c>
      <c r="Q42" s="5">
        <v>83.94</v>
      </c>
      <c r="R42" s="4">
        <v>46072.625</v>
      </c>
      <c r="S42" s="5">
        <v>100.21875</v>
      </c>
      <c r="T42" s="4" t="str">
        <f t="shared" si="1"/>
        <v/>
      </c>
      <c r="U42" s="4" t="str">
        <f t="shared" si="0"/>
        <v/>
      </c>
    </row>
    <row r="43" spans="1:22" x14ac:dyDescent="0.25">
      <c r="A43" s="50">
        <f t="shared" ca="1" si="2"/>
        <v>46066.625</v>
      </c>
      <c r="B43" s="51">
        <f ca="1">IF(COUNTIF($V$2:V1028,A43)=1,VLOOKUP(A43,N:O,2), IF(COUNTIF($V$2:V1028,A43)=0,$B$9,""))</f>
        <v>52.088000000000001</v>
      </c>
      <c r="C43" s="2">
        <f t="shared" ca="1" si="3"/>
        <v>-8876.3730000000141</v>
      </c>
      <c r="D43" s="54">
        <f t="shared" ca="1" si="4"/>
        <v>11666.666666666668</v>
      </c>
      <c r="E43" s="51">
        <f ca="1">IF(COUNTIF($V$2:V1028,A43)=1,VLOOKUP(A43,P:Q,2), IF(COUNTIF($V$2:V1028,A43)=0,$C$9,""))</f>
        <v>84.49</v>
      </c>
      <c r="F43" s="2">
        <f t="shared" ca="1" si="5"/>
        <v>30451.397181752738</v>
      </c>
      <c r="G43" s="54">
        <f t="shared" ca="1" si="6"/>
        <v>-15747.666666666666</v>
      </c>
      <c r="H43" s="51">
        <f ca="1">IF(COUNTIF($V$2:V1028,A43)=1,VLOOKUP(A43,R:S,2), IF(COUNTIF($V$2:V1028,A43)=0,$D$9,""))</f>
        <v>100.40625</v>
      </c>
      <c r="I43" s="2">
        <f t="shared" ca="1" si="7"/>
        <v>23156.249999999996</v>
      </c>
      <c r="J43" s="54">
        <f t="shared" ca="1" si="8"/>
        <v>-229.83661458333336</v>
      </c>
      <c r="K43" s="52"/>
      <c r="L43" s="55">
        <f ca="1">IF(ISERROR(B43-2),"",C43+D43-F43-G43+I43+J43-SUM($K$14:K43))</f>
        <v>-2385.6382229740975</v>
      </c>
      <c r="N43" s="4">
        <v>45980.625</v>
      </c>
      <c r="O43" s="5">
        <v>54.734999999999999</v>
      </c>
      <c r="P43" s="4">
        <v>45943.625</v>
      </c>
      <c r="Q43" s="5">
        <v>84.18</v>
      </c>
      <c r="R43" s="4">
        <v>46073.625</v>
      </c>
      <c r="S43" s="5">
        <v>100.203125</v>
      </c>
      <c r="T43" s="4" t="str">
        <f t="shared" si="1"/>
        <v/>
      </c>
      <c r="U43" s="4" t="str">
        <f t="shared" si="0"/>
        <v/>
      </c>
    </row>
    <row r="44" spans="1:22" x14ac:dyDescent="0.25">
      <c r="A44" s="50">
        <f t="shared" ca="1" si="2"/>
        <v>46070.625</v>
      </c>
      <c r="B44" s="51">
        <f ca="1">IF(COUNTIF($V$2:V1029,A44)=1,VLOOKUP(A44,N:O,2), IF(COUNTIF($V$2:V1029,A44)=0,$B$9,""))</f>
        <v>52.552999999999997</v>
      </c>
      <c r="C44" s="2">
        <f t="shared" ca="1" si="3"/>
        <v>-10996.307999999997</v>
      </c>
      <c r="D44" s="54">
        <f t="shared" ca="1" si="4"/>
        <v>12777.777777777777</v>
      </c>
      <c r="E44" s="51">
        <f ca="1">IF(COUNTIF($V$2:V1029,A44)=1,VLOOKUP(A44,P:Q,2), IF(COUNTIF($V$2:V1029,A44)=0,$C$9,""))</f>
        <v>84.53</v>
      </c>
      <c r="F44" s="2">
        <f t="shared" ca="1" si="5"/>
        <v>32075.471698113579</v>
      </c>
      <c r="G44" s="54">
        <f t="shared" ca="1" si="6"/>
        <v>-17247.444444444445</v>
      </c>
      <c r="H44" s="51">
        <f ca="1">IF(COUNTIF($V$2:V1029,A44)=1,VLOOKUP(A44,R:S,2), IF(COUNTIF($V$2:V1029,A44)=0,$D$9,""))</f>
        <v>100.359375</v>
      </c>
      <c r="I44" s="2">
        <f t="shared" ca="1" si="7"/>
        <v>21937.5</v>
      </c>
      <c r="J44" s="54">
        <f t="shared" ca="1" si="8"/>
        <v>-251.72581597222415</v>
      </c>
      <c r="K44" s="52"/>
      <c r="L44" s="55">
        <f ca="1">IF(ISERROR(B44-2),"",C44+D44-F44-G44+I44+J44-SUM($K$14:K44))</f>
        <v>-4759.3980518349199</v>
      </c>
      <c r="N44" s="4">
        <v>45981.625</v>
      </c>
      <c r="O44" s="5">
        <v>55.808999999999997</v>
      </c>
      <c r="P44" s="4">
        <v>45944.625</v>
      </c>
      <c r="Q44" s="5">
        <v>84.33</v>
      </c>
      <c r="R44" s="4">
        <v>46076.625</v>
      </c>
      <c r="S44" s="5">
        <v>100.578125</v>
      </c>
      <c r="T44" s="4" t="str">
        <f t="shared" si="1"/>
        <v/>
      </c>
      <c r="U44" s="4" t="str">
        <f t="shared" si="0"/>
        <v/>
      </c>
    </row>
    <row r="45" spans="1:22" x14ac:dyDescent="0.25">
      <c r="A45" s="50">
        <f t="shared" ca="1" si="2"/>
        <v>46071.625</v>
      </c>
      <c r="B45" s="51">
        <f ca="1">IF(COUNTIF($V$2:V1030,A45)=1,VLOOKUP(A45,N:O,2), IF(COUNTIF($V$2:V1030,A45)=0,$B$9,""))</f>
        <v>51.68</v>
      </c>
      <c r="C45" s="2">
        <f t="shared" ca="1" si="3"/>
        <v>-7016.3010000000077</v>
      </c>
      <c r="D45" s="54">
        <f t="shared" ca="1" si="4"/>
        <v>13055.555555555558</v>
      </c>
      <c r="E45" s="51">
        <f ca="1">IF(COUNTIF($V$2:V1030,A45)=1,VLOOKUP(A45,P:Q,2), IF(COUNTIF($V$2:V1030,A45)=0,$C$9,""))</f>
        <v>84.46</v>
      </c>
      <c r="F45" s="2">
        <f t="shared" ca="1" si="5"/>
        <v>29233.341294483049</v>
      </c>
      <c r="G45" s="54">
        <f t="shared" ca="1" si="6"/>
        <v>-17622.388888888891</v>
      </c>
      <c r="H45" s="51">
        <f ca="1">IF(COUNTIF($V$2:V1030,A45)=1,VLOOKUP(A45,R:S,2), IF(COUNTIF($V$2:V1030,A45)=0,$D$9,""))</f>
        <v>100.15625</v>
      </c>
      <c r="I45" s="2">
        <f t="shared" ca="1" si="7"/>
        <v>16656.25</v>
      </c>
      <c r="J45" s="54">
        <f t="shared" ca="1" si="8"/>
        <v>-257.19811631944503</v>
      </c>
      <c r="K45" s="52"/>
      <c r="L45" s="55">
        <f ca="1">IF(ISERROR(B45-2),"",C45+D45-F45-G45+I45+J45-SUM($K$14:K45))</f>
        <v>-2571.2607263293939</v>
      </c>
      <c r="N45" s="4">
        <v>45982.625</v>
      </c>
      <c r="O45" s="5">
        <v>54.811</v>
      </c>
      <c r="P45" s="4">
        <v>45945.625</v>
      </c>
      <c r="Q45" s="5">
        <v>84.38</v>
      </c>
      <c r="R45" s="4">
        <v>46077.625</v>
      </c>
      <c r="S45" s="5">
        <v>100.515625</v>
      </c>
      <c r="T45" s="4" t="str">
        <f t="shared" si="1"/>
        <v/>
      </c>
      <c r="U45" s="4" t="str">
        <f t="shared" si="0"/>
        <v/>
      </c>
    </row>
    <row r="46" spans="1:22" x14ac:dyDescent="0.25">
      <c r="A46" s="50">
        <f t="shared" ca="1" si="2"/>
        <v>46072.625</v>
      </c>
      <c r="B46" s="51">
        <f ca="1">IF(COUNTIF($V$2:V1031,A46)=1,VLOOKUP(A46,N:O,2), IF(COUNTIF($V$2:V1031,A46)=0,$B$9,""))</f>
        <v>51.887999999999998</v>
      </c>
      <c r="C46" s="2">
        <f t="shared" ca="1" si="3"/>
        <v>-7964.5729999999994</v>
      </c>
      <c r="D46" s="54">
        <f t="shared" ca="1" si="4"/>
        <v>13333.333333333332</v>
      </c>
      <c r="E46" s="51">
        <f ca="1">IF(COUNTIF($V$2:V1031,A46)=1,VLOOKUP(A46,P:Q,2), IF(COUNTIF($V$2:V1031,A46)=0,$C$9,""))</f>
        <v>84.52</v>
      </c>
      <c r="F46" s="2">
        <f t="shared" ca="1" si="5"/>
        <v>31669.45306902318</v>
      </c>
      <c r="G46" s="54">
        <f t="shared" ca="1" si="6"/>
        <v>-17997.333333333332</v>
      </c>
      <c r="H46" s="51">
        <f ca="1">IF(COUNTIF($V$2:V1031,A46)=1,VLOOKUP(A46,R:S,2), IF(COUNTIF($V$2:V1031,A46)=0,$D$9,""))</f>
        <v>100.21875</v>
      </c>
      <c r="I46" s="2">
        <f t="shared" ca="1" si="7"/>
        <v>18281.25</v>
      </c>
      <c r="J46" s="54">
        <f t="shared" ca="1" si="8"/>
        <v>-262.67041666666591</v>
      </c>
      <c r="K46" s="52"/>
      <c r="L46" s="55">
        <f ca="1">IF(ISERROR(B46-2),"",C46+D46-F46-G46+I46+J46-SUM($K$14:K46))</f>
        <v>-3683.3945789945246</v>
      </c>
      <c r="N46" s="4">
        <v>45985.625</v>
      </c>
      <c r="O46" s="5">
        <v>53.137999999999998</v>
      </c>
      <c r="P46" s="4">
        <v>45946.625</v>
      </c>
      <c r="Q46" s="5">
        <v>84.594999999999999</v>
      </c>
      <c r="R46" s="4">
        <v>46078.625</v>
      </c>
      <c r="S46" s="5">
        <v>100.40625</v>
      </c>
      <c r="T46" s="4" t="str">
        <f t="shared" si="1"/>
        <v/>
      </c>
      <c r="U46" s="4" t="str">
        <f t="shared" si="0"/>
        <v/>
      </c>
    </row>
    <row r="47" spans="1:22" x14ac:dyDescent="0.25">
      <c r="A47" s="50">
        <f t="shared" ca="1" si="2"/>
        <v>46073.625</v>
      </c>
      <c r="B47" s="51">
        <f ca="1">IF(COUNTIF($V$2:V1032,A47)=1,VLOOKUP(A47,N:O,2), IF(COUNTIF($V$2:V1032,A47)=0,$B$9,""))</f>
        <v>51.508000000000003</v>
      </c>
      <c r="C47" s="2">
        <f t="shared" ca="1" si="3"/>
        <v>-6232.1530000000203</v>
      </c>
      <c r="D47" s="54">
        <f t="shared" ca="1" si="4"/>
        <v>13611.111111111109</v>
      </c>
      <c r="E47" s="51">
        <f ca="1">IF(COUNTIF($V$2:V1032,A47)=1,VLOOKUP(A47,P:Q,2), IF(COUNTIF($V$2:V1032,A47)=0,$C$9,""))</f>
        <v>84.54</v>
      </c>
      <c r="F47" s="2">
        <f t="shared" ca="1" si="5"/>
        <v>32481.490327203977</v>
      </c>
      <c r="G47" s="54">
        <f t="shared" ca="1" si="6"/>
        <v>-18372.277777777777</v>
      </c>
      <c r="H47" s="51">
        <f ca="1">IF(COUNTIF($V$2:V1032,A47)=1,VLOOKUP(A47,R:S,2), IF(COUNTIF($V$2:V1032,A47)=0,$D$9,""))</f>
        <v>100.203125</v>
      </c>
      <c r="I47" s="2">
        <f t="shared" ca="1" si="7"/>
        <v>17875</v>
      </c>
      <c r="J47" s="54">
        <f t="shared" ca="1" si="8"/>
        <v>-268.14271701389043</v>
      </c>
      <c r="K47" s="52"/>
      <c r="L47" s="55">
        <f ca="1">IF(ISERROR(B47-2),"",C47+D47-F47-G47+I47+J47-SUM($K$14:K47))</f>
        <v>-2522.0119153003434</v>
      </c>
      <c r="N47" s="4">
        <v>45986.625</v>
      </c>
      <c r="O47" s="5">
        <v>52.378999999999998</v>
      </c>
      <c r="P47" s="4">
        <v>45947.625</v>
      </c>
      <c r="Q47" s="5">
        <v>84.47</v>
      </c>
      <c r="R47" s="4">
        <v>46079.625</v>
      </c>
      <c r="S47" s="5">
        <v>100.65625</v>
      </c>
      <c r="T47" s="4" t="str">
        <f t="shared" si="1"/>
        <v/>
      </c>
      <c r="U47" s="4" t="str">
        <f t="shared" si="0"/>
        <v/>
      </c>
    </row>
    <row r="48" spans="1:22" x14ac:dyDescent="0.25">
      <c r="A48" s="50">
        <f t="shared" ca="1" si="2"/>
        <v>46076.625</v>
      </c>
      <c r="B48" s="51">
        <f ca="1">IF(COUNTIF($V$2:V1033,A48)=1,VLOOKUP(A48,N:O,2), IF(COUNTIF($V$2:V1033,A48)=0,$B$9,""))</f>
        <v>52.526000000000003</v>
      </c>
      <c r="C48" s="2">
        <f t="shared" ca="1" si="3"/>
        <v>-10873.215000000024</v>
      </c>
      <c r="D48" s="54">
        <f t="shared" ca="1" si="4"/>
        <v>14444.444444444443</v>
      </c>
      <c r="E48" s="51">
        <f ca="1">IF(COUNTIF($V$2:V1033,A48)=1,VLOOKUP(A48,P:Q,2), IF(COUNTIF($V$2:V1033,A48)=0,$C$9,""))</f>
        <v>84.71</v>
      </c>
      <c r="F48" s="2">
        <f t="shared" ca="1" si="5"/>
        <v>39383.807021733963</v>
      </c>
      <c r="G48" s="54">
        <f t="shared" ca="1" si="6"/>
        <v>-19497.111111111109</v>
      </c>
      <c r="H48" s="51">
        <f ca="1">IF(COUNTIF($V$2:V1033,A48)=1,VLOOKUP(A48,R:S,2), IF(COUNTIF($V$2:V1033,A48)=0,$D$9,""))</f>
        <v>100.578125</v>
      </c>
      <c r="I48" s="2">
        <f t="shared" ca="1" si="7"/>
        <v>27625.000000000004</v>
      </c>
      <c r="J48" s="54">
        <f t="shared" ca="1" si="8"/>
        <v>-284.55961805555671</v>
      </c>
      <c r="K48" s="52"/>
      <c r="L48" s="55">
        <f ca="1">IF(ISERROR(B48-2),"",C48+D48-F48-G48+I48+J48-SUM($K$14:K48))</f>
        <v>-2373.6408442053289</v>
      </c>
      <c r="N48" s="4">
        <v>45987.625</v>
      </c>
      <c r="O48" s="5">
        <v>51.655999999999999</v>
      </c>
      <c r="P48" s="4">
        <v>45950.625</v>
      </c>
      <c r="Q48" s="5">
        <v>84.6</v>
      </c>
      <c r="R48" s="4">
        <v>46080.625</v>
      </c>
      <c r="S48" s="5">
        <v>101</v>
      </c>
      <c r="T48" s="4" t="str">
        <f t="shared" si="1"/>
        <v/>
      </c>
      <c r="U48" s="4" t="str">
        <f t="shared" si="0"/>
        <v/>
      </c>
    </row>
    <row r="49" spans="1:31" x14ac:dyDescent="0.25">
      <c r="A49" s="50">
        <f t="shared" ca="1" si="2"/>
        <v>46077.625</v>
      </c>
      <c r="B49" s="51">
        <f ca="1">IF(COUNTIF($V$2:V1034,A49)=1,VLOOKUP(A49,N:O,2), IF(COUNTIF($V$2:V1034,A49)=0,$B$9,""))</f>
        <v>52.838000000000001</v>
      </c>
      <c r="C49" s="2">
        <f t="shared" ca="1" si="3"/>
        <v>-12295.623000000012</v>
      </c>
      <c r="D49" s="54">
        <f t="shared" ca="1" si="4"/>
        <v>14722.222222222223</v>
      </c>
      <c r="E49" s="51">
        <f ca="1">IF(COUNTIF($V$2:V1034,A49)=1,VLOOKUP(A49,P:Q,2), IF(COUNTIF($V$2:V1034,A49)=0,$C$9,""))</f>
        <v>84.63</v>
      </c>
      <c r="F49" s="2">
        <f t="shared" ca="1" si="5"/>
        <v>36135.657989013795</v>
      </c>
      <c r="G49" s="54">
        <f t="shared" ca="1" si="6"/>
        <v>-19872.055555555555</v>
      </c>
      <c r="H49" s="51">
        <f ca="1">IF(COUNTIF($V$2:V1034,A49)=1,VLOOKUP(A49,R:S,2), IF(COUNTIF($V$2:V1034,A49)=0,$D$9,""))</f>
        <v>100.515625</v>
      </c>
      <c r="I49" s="2">
        <f t="shared" ca="1" si="7"/>
        <v>26000</v>
      </c>
      <c r="J49" s="54">
        <f t="shared" ca="1" si="8"/>
        <v>-290.03191840277941</v>
      </c>
      <c r="K49" s="52"/>
      <c r="L49" s="55">
        <f ca="1">IF(ISERROR(B49-2),"",C49+D49-F49-G49+I49+J49-SUM($K$14:K49))</f>
        <v>-1525.6498896101493</v>
      </c>
      <c r="N49" s="4">
        <v>45992.625</v>
      </c>
      <c r="O49" s="5">
        <v>51.323999999999998</v>
      </c>
      <c r="P49" s="4">
        <v>45951.625</v>
      </c>
      <c r="Q49" s="5">
        <v>84.65</v>
      </c>
      <c r="T49" s="4" t="str">
        <f t="shared" si="1"/>
        <v/>
      </c>
      <c r="U49" s="4" t="str">
        <f t="shared" si="0"/>
        <v/>
      </c>
    </row>
    <row r="50" spans="1:31" x14ac:dyDescent="0.25">
      <c r="A50" s="50">
        <f t="shared" ca="1" si="2"/>
        <v>46078.625</v>
      </c>
      <c r="B50" s="51">
        <f ca="1">IF(COUNTIF($V$2:V1035,A50)=1,VLOOKUP(A50,N:O,2), IF(COUNTIF($V$2:V1035,A50)=0,$B$9,""))</f>
        <v>52.494</v>
      </c>
      <c r="C50" s="2">
        <f t="shared" ca="1" si="3"/>
        <v>-10727.327000000007</v>
      </c>
      <c r="D50" s="54">
        <f t="shared" ca="1" si="4"/>
        <v>15000</v>
      </c>
      <c r="E50" s="51">
        <f ca="1">IF(COUNTIF($V$2:V1035,A50)=1,VLOOKUP(A50,P:Q,2), IF(COUNTIF($V$2:V1035,A50)=0,$C$9,""))</f>
        <v>84.59</v>
      </c>
      <c r="F50" s="2">
        <f t="shared" ca="1" si="5"/>
        <v>34511.583472653707</v>
      </c>
      <c r="G50" s="54">
        <f t="shared" ca="1" si="6"/>
        <v>-20246.999999999996</v>
      </c>
      <c r="H50" s="51">
        <f ca="1">IF(COUNTIF($V$2:V1035,A50)=1,VLOOKUP(A50,R:S,2), IF(COUNTIF($V$2:V1035,A50)=0,$D$9,""))</f>
        <v>100.40625</v>
      </c>
      <c r="I50" s="2">
        <f t="shared" ca="1" si="7"/>
        <v>23156.249999999996</v>
      </c>
      <c r="J50" s="54">
        <f t="shared" ca="1" si="8"/>
        <v>-295.50421874999847</v>
      </c>
      <c r="K50" s="52"/>
      <c r="L50" s="55">
        <f ca="1">IF(ISERROR(B50-2),"",C50+D50-F50-G50+I50+J50-SUM($K$14:K50))</f>
        <v>-529.77945137505958</v>
      </c>
      <c r="N50" s="4">
        <v>45993.625</v>
      </c>
      <c r="O50" s="5">
        <v>51.029000000000003</v>
      </c>
      <c r="P50" s="4">
        <v>45952.625</v>
      </c>
      <c r="Q50" s="5">
        <v>84.67</v>
      </c>
      <c r="T50" s="4" t="str">
        <f t="shared" si="1"/>
        <v/>
      </c>
      <c r="U50" s="4" t="str">
        <f t="shared" si="0"/>
        <v/>
      </c>
    </row>
    <row r="51" spans="1:31" x14ac:dyDescent="0.25">
      <c r="A51" s="50">
        <f t="shared" ca="1" si="2"/>
        <v>46079.625</v>
      </c>
      <c r="B51" s="51">
        <f ca="1">IF(COUNTIF($V$2:V1036,A51)=1,VLOOKUP(A51,N:O,2), IF(COUNTIF($V$2:V1036,A51)=0,$B$9,""))</f>
        <v>53.575000000000003</v>
      </c>
      <c r="C51" s="2">
        <f t="shared" ca="1" si="3"/>
        <v>-15655.606000000023</v>
      </c>
      <c r="D51" s="54">
        <f t="shared" ca="1" si="4"/>
        <v>15277.777777777781</v>
      </c>
      <c r="E51" s="51">
        <f ca="1">IF(COUNTIF($V$2:V1036,A51)=1,VLOOKUP(A51,P:Q,2), IF(COUNTIF($V$2:V1036,A51)=0,$C$9,""))</f>
        <v>84.68</v>
      </c>
      <c r="F51" s="2">
        <f t="shared" ca="1" si="5"/>
        <v>38165.751134464277</v>
      </c>
      <c r="G51" s="54">
        <f t="shared" ca="1" si="6"/>
        <v>-20621.944444444445</v>
      </c>
      <c r="H51" s="51">
        <f ca="1">IF(COUNTIF($V$2:V1036,A51)=1,VLOOKUP(A51,R:S,2), IF(COUNTIF($V$2:V1036,A51)=0,$D$9,""))</f>
        <v>100.65625</v>
      </c>
      <c r="I51" s="2">
        <f t="shared" ca="1" si="7"/>
        <v>29656.25</v>
      </c>
      <c r="J51" s="54">
        <f t="shared" ca="1" si="8"/>
        <v>-300.97651909722117</v>
      </c>
      <c r="K51" s="52"/>
      <c r="L51" s="55">
        <f ca="1">IF(ISERROR(B51-2),"",C51+D51-F51-G51+I51+J51-SUM($K$14:K51))</f>
        <v>-1964.9761913106358</v>
      </c>
      <c r="N51" s="4">
        <v>45994.625</v>
      </c>
      <c r="O51" s="5">
        <v>51.06</v>
      </c>
      <c r="P51" s="4">
        <v>45953.625</v>
      </c>
      <c r="Q51" s="5">
        <v>84.594999999999999</v>
      </c>
      <c r="T51" s="4" t="str">
        <f t="shared" si="1"/>
        <v/>
      </c>
      <c r="U51" s="4" t="str">
        <f t="shared" si="0"/>
        <v/>
      </c>
    </row>
    <row r="52" spans="1:31" x14ac:dyDescent="0.25">
      <c r="A52" s="50">
        <f t="shared" ca="1" si="2"/>
        <v>46080.625</v>
      </c>
      <c r="B52" s="51">
        <f ca="1">IF(COUNTIF($V$2:V1037,A52)=1,VLOOKUP(A52,N:O,2), IF(COUNTIF($V$2:V1037,A52)=0,$B$9,""))</f>
        <v>55.817999999999998</v>
      </c>
      <c r="C52" s="2">
        <f t="shared" ca="1" si="3"/>
        <v>-25881.442999999999</v>
      </c>
      <c r="D52" s="54">
        <f t="shared" ca="1" si="4"/>
        <v>15555.555555555555</v>
      </c>
      <c r="E52" s="51">
        <f ca="1">IF(COUNTIF($V$2:V1037,A52)=1,VLOOKUP(A52,P:Q,2), IF(COUNTIF($V$2:V1037,A52)=0,$C$9,""))</f>
        <v>84.72</v>
      </c>
      <c r="F52" s="2">
        <f t="shared" ca="1" si="5"/>
        <v>39789.825650824365</v>
      </c>
      <c r="G52" s="54">
        <f t="shared" ca="1" si="6"/>
        <v>-20996.888888888891</v>
      </c>
      <c r="H52" s="51">
        <f ca="1">IF(COUNTIF($V$2:V1037,A52)=1,VLOOKUP(A52,R:S,2), IF(COUNTIF($V$2:V1037,A52)=0,$D$9,""))</f>
        <v>101</v>
      </c>
      <c r="I52" s="2">
        <f t="shared" ca="1" si="7"/>
        <v>38593.75</v>
      </c>
      <c r="J52" s="54">
        <f t="shared" ca="1" si="8"/>
        <v>-306.44881944444569</v>
      </c>
      <c r="K52" s="52"/>
      <c r="L52" s="55">
        <f ca="1">IF(ISERROR(B52-2),"",C52+D52-F52-G52+I52+J52-SUM($K$14:K52))</f>
        <v>-4230.1377857957068</v>
      </c>
      <c r="N52" s="4">
        <v>45995.625</v>
      </c>
      <c r="O52" s="5">
        <v>50.872</v>
      </c>
      <c r="P52" s="4">
        <v>45954.625</v>
      </c>
      <c r="Q52" s="5">
        <v>84.76</v>
      </c>
      <c r="T52" s="4" t="str">
        <f t="shared" si="1"/>
        <v/>
      </c>
      <c r="U52" s="4" t="str">
        <f t="shared" si="0"/>
        <v/>
      </c>
    </row>
    <row r="53" spans="1:31" x14ac:dyDescent="0.25">
      <c r="A53" s="50">
        <f t="shared" ca="1" si="2"/>
        <v>46080.828635763886</v>
      </c>
      <c r="B53" s="51">
        <f ca="1">IF(COUNTIF($V$2:V1038,A53)=1,VLOOKUP(A53,N:O,2), IF(COUNTIF($V$2:V1038,A53)=0,$B$9,""))</f>
        <v>55.950740000000003</v>
      </c>
      <c r="C53" s="2">
        <f t="shared" ca="1" si="3"/>
        <v>-26486.604660000023</v>
      </c>
      <c r="D53" s="54">
        <f t="shared" ca="1" si="4"/>
        <v>15555.555555555555</v>
      </c>
      <c r="E53" s="51">
        <f ca="1">IF(COUNTIF($V$2:V1038,A53)=1,VLOOKUP(A53,P:Q,2), IF(COUNTIF($V$2:V1038,A53)=0,$C$9,""))</f>
        <v>84.72</v>
      </c>
      <c r="F53" s="2">
        <f t="shared" ca="1" si="5"/>
        <v>39789.825650824365</v>
      </c>
      <c r="G53" s="54">
        <f t="shared" ca="1" si="6"/>
        <v>-20996.888888888891</v>
      </c>
      <c r="H53" s="51">
        <f ca="1">IF(COUNTIF($V$2:V1038,A53)=1,VLOOKUP(A53,R:S,2), IF(COUNTIF($V$2:V1038,A53)=0,$D$9,""))</f>
        <v>101.140625</v>
      </c>
      <c r="I53" s="2">
        <f t="shared" ca="1" si="7"/>
        <v>42250</v>
      </c>
      <c r="J53" s="54">
        <f t="shared" ca="1" si="8"/>
        <v>-306.44881944444569</v>
      </c>
      <c r="K53" s="52"/>
      <c r="L53" s="55">
        <f ca="1">IF(ISERROR(B53-2),"",C53+D53-F53-G53+I53+J53-SUM($K$14:K53))</f>
        <v>-1179.0494457957266</v>
      </c>
      <c r="N53" s="4">
        <v>45996.625</v>
      </c>
      <c r="O53" s="5">
        <v>50.491</v>
      </c>
      <c r="P53" s="4">
        <v>45957.625</v>
      </c>
      <c r="Q53" s="5">
        <v>84.82</v>
      </c>
      <c r="T53" s="4" t="str">
        <f t="shared" si="1"/>
        <v/>
      </c>
      <c r="U53" s="4" t="str">
        <f t="shared" si="0"/>
        <v/>
      </c>
    </row>
    <row r="54" spans="1:31" x14ac:dyDescent="0.25">
      <c r="A54" s="50" t="str">
        <f t="shared" ca="1" si="2"/>
        <v/>
      </c>
      <c r="B54" s="51" t="str">
        <f ca="1">IF(COUNTIF($V$2:V1039,A54)=1,VLOOKUP(A54,N:O,2), IF(COUNTIF($V$2:V1039,A54)=0,$B$9,""))</f>
        <v/>
      </c>
      <c r="C54" s="2" t="str">
        <f t="shared" ca="1" si="3"/>
        <v/>
      </c>
      <c r="D54" s="54" t="str">
        <f t="shared" ca="1" si="4"/>
        <v/>
      </c>
      <c r="E54" s="51" t="str">
        <f ca="1">IF(COUNTIF($V$2:V1039,A54)=1,VLOOKUP(A54,P:Q,2), IF(COUNTIF($V$2:V1039,A54)=0,$C$9,""))</f>
        <v/>
      </c>
      <c r="F54" s="2" t="str">
        <f t="shared" ca="1" si="5"/>
        <v/>
      </c>
      <c r="G54" s="54" t="str">
        <f t="shared" ca="1" si="6"/>
        <v/>
      </c>
      <c r="H54" s="51" t="str">
        <f ca="1">IF(COUNTIF($V$2:V1039,A54)=1,VLOOKUP(A54,R:S,2), IF(COUNTIF($V$2:V1039,A54)=0,$D$9,""))</f>
        <v/>
      </c>
      <c r="I54" s="2" t="str">
        <f t="shared" ca="1" si="7"/>
        <v/>
      </c>
      <c r="J54" s="54" t="str">
        <f t="shared" ca="1" si="8"/>
        <v/>
      </c>
      <c r="K54" s="52"/>
      <c r="L54" s="55" t="str">
        <f ca="1">IF(ISERROR(B54-2),"",C54+D54-F54-G54+I54+J54-SUM($K$14:K54))</f>
        <v/>
      </c>
      <c r="N54" s="4">
        <v>45999.625</v>
      </c>
      <c r="O54" s="5">
        <v>50.97</v>
      </c>
      <c r="P54" s="4">
        <v>45958.625</v>
      </c>
      <c r="Q54" s="5">
        <v>84.81</v>
      </c>
      <c r="T54" s="4" t="str">
        <f t="shared" si="1"/>
        <v/>
      </c>
      <c r="U54" s="4" t="str">
        <f t="shared" si="0"/>
        <v/>
      </c>
    </row>
    <row r="55" spans="1:31" x14ac:dyDescent="0.25">
      <c r="A55" s="50" t="str">
        <f t="shared" ca="1" si="2"/>
        <v/>
      </c>
      <c r="B55" s="51" t="str">
        <f ca="1">IF(COUNTIF($V$2:V1040,A55)=1,VLOOKUP(A55,N:O,2), IF(COUNTIF($V$2:V1040,A55)=0,$B$9,""))</f>
        <v/>
      </c>
      <c r="C55" s="2" t="str">
        <f t="shared" ca="1" si="3"/>
        <v/>
      </c>
      <c r="D55" s="54" t="str">
        <f t="shared" ca="1" si="4"/>
        <v/>
      </c>
      <c r="E55" s="51" t="str">
        <f ca="1">IF(COUNTIF($V$2:V1040,A55)=1,VLOOKUP(A55,P:Q,2), IF(COUNTIF($V$2:V1040,A55)=0,$C$9,""))</f>
        <v/>
      </c>
      <c r="F55" s="2" t="str">
        <f t="shared" ca="1" si="5"/>
        <v/>
      </c>
      <c r="G55" s="54" t="str">
        <f t="shared" ca="1" si="6"/>
        <v/>
      </c>
      <c r="H55" s="51" t="str">
        <f ca="1">IF(COUNTIF($V$2:V1040,A55)=1,VLOOKUP(A55,R:S,2), IF(COUNTIF($V$2:V1040,A55)=0,$D$9,""))</f>
        <v/>
      </c>
      <c r="I55" s="2" t="str">
        <f t="shared" ca="1" si="7"/>
        <v/>
      </c>
      <c r="J55" s="54" t="str">
        <f t="shared" ca="1" si="8"/>
        <v/>
      </c>
      <c r="K55" s="52"/>
      <c r="L55" s="55" t="str">
        <f ca="1">IF(ISERROR(B55-2),"",C55+D55-F55-G55+I55+J55-SUM($K$14:K55))</f>
        <v/>
      </c>
      <c r="N55" s="4">
        <v>46000.625</v>
      </c>
      <c r="O55" s="5">
        <v>51.034999999999997</v>
      </c>
      <c r="P55" s="4">
        <v>45959.625</v>
      </c>
      <c r="Q55" s="5">
        <v>84.4</v>
      </c>
      <c r="T55" s="4" t="str">
        <f t="shared" si="1"/>
        <v/>
      </c>
      <c r="U55" s="4" t="str">
        <f t="shared" si="0"/>
        <v/>
      </c>
    </row>
    <row r="56" spans="1:31" x14ac:dyDescent="0.25">
      <c r="A56" s="50" t="str">
        <f t="shared" ca="1" si="2"/>
        <v/>
      </c>
      <c r="B56" s="51" t="str">
        <f ca="1">IF(COUNTIF($V$2:V1041,A56)=1,VLOOKUP(A56,N:O,2), IF(COUNTIF($V$2:V1041,A56)=0,$B$9,""))</f>
        <v/>
      </c>
      <c r="C56" s="2" t="str">
        <f t="shared" ca="1" si="3"/>
        <v/>
      </c>
      <c r="D56" s="54" t="str">
        <f t="shared" ca="1" si="4"/>
        <v/>
      </c>
      <c r="E56" s="51" t="str">
        <f ca="1">IF(COUNTIF($V$2:V1041,A56)=1,VLOOKUP(A56,P:Q,2), IF(COUNTIF($V$2:V1041,A56)=0,$C$9,""))</f>
        <v/>
      </c>
      <c r="F56" s="2" t="str">
        <f t="shared" ca="1" si="5"/>
        <v/>
      </c>
      <c r="G56" s="54" t="str">
        <f t="shared" ca="1" si="6"/>
        <v/>
      </c>
      <c r="H56" s="51" t="str">
        <f ca="1">IF(COUNTIF($V$2:V1041,A56)=1,VLOOKUP(A56,R:S,2), IF(COUNTIF($V$2:V1041,A56)=0,$D$9,""))</f>
        <v/>
      </c>
      <c r="I56" s="2" t="str">
        <f t="shared" ca="1" si="7"/>
        <v/>
      </c>
      <c r="J56" s="54" t="str">
        <f t="shared" ca="1" si="8"/>
        <v/>
      </c>
      <c r="K56" s="52"/>
      <c r="L56" s="55" t="str">
        <f ca="1">IF(ISERROR(B56-2),"",C56+D56-F56-G56+I56+J56-SUM($K$14:K56))</f>
        <v/>
      </c>
      <c r="N56" s="4">
        <v>46001.625</v>
      </c>
      <c r="O56" s="5">
        <v>49.942</v>
      </c>
      <c r="P56" s="4">
        <v>45960.625</v>
      </c>
      <c r="Q56" s="5">
        <v>84.17</v>
      </c>
      <c r="T56" s="4" t="str">
        <f t="shared" si="1"/>
        <v/>
      </c>
      <c r="U56" s="4" t="str">
        <f t="shared" si="0"/>
        <v/>
      </c>
    </row>
    <row r="57" spans="1:31" x14ac:dyDescent="0.25">
      <c r="A57" s="50" t="str">
        <f t="shared" ca="1" si="2"/>
        <v/>
      </c>
      <c r="B57" s="51" t="str">
        <f ca="1">IF(COUNTIF($V$2:V1042,A57)=1,VLOOKUP(A57,N:O,2), IF(COUNTIF($V$2:V1042,A57)=0,$B$9,""))</f>
        <v/>
      </c>
      <c r="C57" s="2" t="str">
        <f t="shared" ca="1" si="3"/>
        <v/>
      </c>
      <c r="D57" s="54" t="str">
        <f t="shared" ca="1" si="4"/>
        <v/>
      </c>
      <c r="E57" s="51" t="str">
        <f ca="1">IF(COUNTIF($V$2:V1042,A57)=1,VLOOKUP(A57,P:Q,2), IF(COUNTIF($V$2:V1042,A57)=0,$C$9,""))</f>
        <v/>
      </c>
      <c r="F57" s="2" t="str">
        <f t="shared" ca="1" si="5"/>
        <v/>
      </c>
      <c r="G57" s="54" t="str">
        <f t="shared" ca="1" si="6"/>
        <v/>
      </c>
      <c r="H57" s="51" t="str">
        <f ca="1">IF(COUNTIF($V$2:V1042,A57)=1,VLOOKUP(A57,R:S,2), IF(COUNTIF($V$2:V1042,A57)=0,$D$9,""))</f>
        <v/>
      </c>
      <c r="I57" s="2" t="str">
        <f t="shared" ca="1" si="7"/>
        <v/>
      </c>
      <c r="J57" s="54" t="str">
        <f t="shared" ca="1" si="8"/>
        <v/>
      </c>
      <c r="K57" s="52"/>
      <c r="L57" s="55" t="str">
        <f ca="1">IF(ISERROR(B57-2),"",C57+D57-F57-G57+I57+J57-SUM($K$14:K57))</f>
        <v/>
      </c>
      <c r="N57" s="4">
        <v>46002.625</v>
      </c>
      <c r="O57" s="5">
        <v>50.048000000000002</v>
      </c>
      <c r="P57" s="4">
        <v>45961.625</v>
      </c>
      <c r="Q57" s="5">
        <v>84.05</v>
      </c>
      <c r="T57" s="4" t="str">
        <f t="shared" si="1"/>
        <v/>
      </c>
      <c r="U57" s="4" t="str">
        <f t="shared" si="0"/>
        <v/>
      </c>
    </row>
    <row r="58" spans="1:31" x14ac:dyDescent="0.25">
      <c r="A58" s="50" t="str">
        <f t="shared" ca="1" si="2"/>
        <v/>
      </c>
      <c r="B58" s="51" t="str">
        <f ca="1">IF(COUNTIF($V$2:V1043,A58)=1,VLOOKUP(A58,N:O,2), IF(COUNTIF($V$2:V1043,A58)=0,$B$9,""))</f>
        <v/>
      </c>
      <c r="C58" s="2" t="str">
        <f t="shared" ca="1" si="3"/>
        <v/>
      </c>
      <c r="D58" s="54" t="str">
        <f t="shared" ca="1" si="4"/>
        <v/>
      </c>
      <c r="E58" s="51" t="str">
        <f ca="1">IF(COUNTIF($V$2:V1043,A58)=1,VLOOKUP(A58,P:Q,2), IF(COUNTIF($V$2:V1043,A58)=0,$C$9,""))</f>
        <v/>
      </c>
      <c r="F58" s="2" t="str">
        <f t="shared" ca="1" si="5"/>
        <v/>
      </c>
      <c r="G58" s="54" t="str">
        <f t="shared" ca="1" si="6"/>
        <v/>
      </c>
      <c r="H58" s="51" t="str">
        <f ca="1">IF(COUNTIF($V$2:V1043,A58)=1,VLOOKUP(A58,R:S,2), IF(COUNTIF($V$2:V1043,A58)=0,$D$9,""))</f>
        <v/>
      </c>
      <c r="I58" s="2" t="str">
        <f t="shared" ca="1" si="7"/>
        <v/>
      </c>
      <c r="J58" s="54" t="str">
        <f t="shared" ca="1" si="8"/>
        <v/>
      </c>
      <c r="K58" s="52"/>
      <c r="L58" s="55" t="str">
        <f ca="1">IF(ISERROR(B58-2),"",C58+D58-F58-G58+I58+J58-SUM($K$14:K58))</f>
        <v/>
      </c>
      <c r="N58" s="4">
        <v>46003.625</v>
      </c>
      <c r="O58" s="5">
        <v>50.905000000000001</v>
      </c>
      <c r="P58" s="4">
        <v>45964.625</v>
      </c>
      <c r="Q58" s="5">
        <v>83.59</v>
      </c>
      <c r="T58" s="4" t="str">
        <f t="shared" si="1"/>
        <v/>
      </c>
      <c r="U58" s="4" t="str">
        <f t="shared" si="0"/>
        <v/>
      </c>
    </row>
    <row r="59" spans="1:31" x14ac:dyDescent="0.25">
      <c r="A59" s="50" t="str">
        <f t="shared" ca="1" si="2"/>
        <v/>
      </c>
      <c r="B59" s="51" t="str">
        <f ca="1">IF(COUNTIF($V$2:V1044,A59)=1,VLOOKUP(A59,N:O,2), IF(COUNTIF($V$2:V1044,A59)=0,$B$9,""))</f>
        <v/>
      </c>
      <c r="C59" s="2" t="str">
        <f t="shared" ca="1" si="3"/>
        <v/>
      </c>
      <c r="D59" s="54" t="str">
        <f t="shared" ca="1" si="4"/>
        <v/>
      </c>
      <c r="E59" s="51" t="str">
        <f ca="1">IF(COUNTIF($V$2:V1044,A59)=1,VLOOKUP(A59,P:Q,2), IF(COUNTIF($V$2:V1044,A59)=0,$C$9,""))</f>
        <v/>
      </c>
      <c r="F59" s="2" t="str">
        <f t="shared" ca="1" si="5"/>
        <v/>
      </c>
      <c r="G59" s="54" t="str">
        <f t="shared" ca="1" si="6"/>
        <v/>
      </c>
      <c r="H59" s="51" t="str">
        <f ca="1">IF(COUNTIF($V$2:V1044,A59)=1,VLOOKUP(A59,R:S,2), IF(COUNTIF($V$2:V1044,A59)=0,$D$9,""))</f>
        <v/>
      </c>
      <c r="I59" s="2" t="str">
        <f t="shared" ca="1" si="7"/>
        <v/>
      </c>
      <c r="J59" s="54" t="str">
        <f t="shared" ca="1" si="8"/>
        <v/>
      </c>
      <c r="K59" s="52"/>
      <c r="L59" s="55" t="str">
        <f ca="1">IF(ISERROR(B59-2),"",C59+D59-F59-G59+I59+J59-SUM($K$14:K59))</f>
        <v/>
      </c>
      <c r="N59" s="4">
        <v>46006.625</v>
      </c>
      <c r="O59" s="5">
        <v>50.838999999999999</v>
      </c>
      <c r="P59" s="4">
        <v>45965.625</v>
      </c>
      <c r="Q59" s="5">
        <v>83.66</v>
      </c>
      <c r="T59" s="4" t="str">
        <f t="shared" si="1"/>
        <v/>
      </c>
      <c r="U59" s="4" t="str">
        <f t="shared" si="0"/>
        <v/>
      </c>
    </row>
    <row r="60" spans="1:31" x14ac:dyDescent="0.25">
      <c r="A60" s="50" t="str">
        <f t="shared" ca="1" si="2"/>
        <v/>
      </c>
      <c r="B60" s="51" t="str">
        <f ca="1">IF(COUNTIF($V$2:V1045,A60)=1,VLOOKUP(A60,N:O,2), IF(COUNTIF($V$2:V1045,A60)=0,$B$9,""))</f>
        <v/>
      </c>
      <c r="C60" s="2" t="str">
        <f t="shared" ca="1" si="3"/>
        <v/>
      </c>
      <c r="D60" s="54" t="str">
        <f t="shared" ca="1" si="4"/>
        <v/>
      </c>
      <c r="E60" s="51" t="str">
        <f ca="1">IF(COUNTIF($V$2:V1045,A60)=1,VLOOKUP(A60,P:Q,2), IF(COUNTIF($V$2:V1045,A60)=0,$C$9,""))</f>
        <v/>
      </c>
      <c r="F60" s="2" t="str">
        <f t="shared" ca="1" si="5"/>
        <v/>
      </c>
      <c r="G60" s="54" t="str">
        <f t="shared" ca="1" si="6"/>
        <v/>
      </c>
      <c r="H60" s="51" t="str">
        <f ca="1">IF(COUNTIF($V$2:V1045,A60)=1,VLOOKUP(A60,R:S,2), IF(COUNTIF($V$2:V1045,A60)=0,$D$9,""))</f>
        <v/>
      </c>
      <c r="I60" s="2" t="str">
        <f t="shared" ca="1" si="7"/>
        <v/>
      </c>
      <c r="J60" s="54" t="str">
        <f t="shared" ca="1" si="8"/>
        <v/>
      </c>
      <c r="K60" s="52"/>
      <c r="L60" s="55" t="str">
        <f ca="1">IF(ISERROR(B60-2),"",C60+D60-F60-G60+I60+J60-SUM($K$14:K60))</f>
        <v/>
      </c>
      <c r="N60" s="4">
        <v>46007.625</v>
      </c>
      <c r="O60" s="5">
        <v>51.031999999999996</v>
      </c>
      <c r="P60" s="4">
        <v>45966.625</v>
      </c>
      <c r="Q60" s="5">
        <v>83.48</v>
      </c>
      <c r="T60" s="4" t="str">
        <f t="shared" si="1"/>
        <v/>
      </c>
      <c r="U60" s="4" t="str">
        <f t="shared" si="0"/>
        <v/>
      </c>
    </row>
    <row r="61" spans="1:31" x14ac:dyDescent="0.25">
      <c r="A61" s="50" t="str">
        <f t="shared" ca="1" si="2"/>
        <v/>
      </c>
      <c r="B61" s="51" t="str">
        <f ca="1">IF(COUNTIF($V$2:V1046,A61)=1,VLOOKUP(A61,N:O,2), IF(COUNTIF($V$2:V1046,A61)=0,$B$9,""))</f>
        <v/>
      </c>
      <c r="C61" s="2" t="str">
        <f t="shared" ca="1" si="3"/>
        <v/>
      </c>
      <c r="D61" s="54" t="str">
        <f t="shared" ca="1" si="4"/>
        <v/>
      </c>
      <c r="E61" s="51" t="str">
        <f ca="1">IF(COUNTIF($V$2:V1046,A61)=1,VLOOKUP(A61,P:Q,2), IF(COUNTIF($V$2:V1046,A61)=0,$C$9,""))</f>
        <v/>
      </c>
      <c r="F61" s="2" t="str">
        <f t="shared" ca="1" si="5"/>
        <v/>
      </c>
      <c r="G61" s="54" t="str">
        <f t="shared" ca="1" si="6"/>
        <v/>
      </c>
      <c r="H61" s="51" t="str">
        <f ca="1">IF(COUNTIF($V$2:V1046,A61)=1,VLOOKUP(A61,R:S,2), IF(COUNTIF($V$2:V1046,A61)=0,$D$9,""))</f>
        <v/>
      </c>
      <c r="I61" s="2" t="str">
        <f t="shared" ca="1" si="7"/>
        <v/>
      </c>
      <c r="J61" s="54" t="str">
        <f t="shared" ca="1" si="8"/>
        <v/>
      </c>
      <c r="K61" s="52"/>
      <c r="L61" s="55" t="str">
        <f ca="1">IF(ISERROR(B61-2),"",C61+D61-F61-G61+I61+J61-SUM($K$14:K61))</f>
        <v/>
      </c>
      <c r="N61" s="4">
        <v>46008.625</v>
      </c>
      <c r="O61" s="5">
        <v>51.988999999999997</v>
      </c>
      <c r="P61" s="4">
        <v>45967.625</v>
      </c>
      <c r="Q61" s="5">
        <v>83.79</v>
      </c>
      <c r="T61" s="4" t="str">
        <f t="shared" si="1"/>
        <v/>
      </c>
      <c r="U61" s="4" t="str">
        <f t="shared" si="0"/>
        <v/>
      </c>
    </row>
    <row r="62" spans="1:31" x14ac:dyDescent="0.25">
      <c r="A62" s="50" t="str">
        <f t="shared" ca="1" si="2"/>
        <v/>
      </c>
      <c r="B62" s="51" t="str">
        <f ca="1">IF(COUNTIF($V$2:V1047,A62)=1,VLOOKUP(A62,N:O,2), IF(COUNTIF($V$2:V1047,A62)=0,$B$9,""))</f>
        <v/>
      </c>
      <c r="C62" s="2" t="str">
        <f t="shared" ca="1" si="3"/>
        <v/>
      </c>
      <c r="D62" s="54" t="str">
        <f t="shared" ca="1" si="4"/>
        <v/>
      </c>
      <c r="E62" s="51" t="str">
        <f ca="1">IF(COUNTIF($V$2:V1047,A62)=1,VLOOKUP(A62,P:Q,2), IF(COUNTIF($V$2:V1047,A62)=0,$C$9,""))</f>
        <v/>
      </c>
      <c r="F62" s="2" t="str">
        <f t="shared" ca="1" si="5"/>
        <v/>
      </c>
      <c r="G62" s="54" t="str">
        <f t="shared" ca="1" si="6"/>
        <v/>
      </c>
      <c r="H62" s="51" t="str">
        <f ca="1">IF(COUNTIF($V$2:V1047,A62)=1,VLOOKUP(A62,R:S,2), IF(COUNTIF($V$2:V1047,A62)=0,$D$9,""))</f>
        <v/>
      </c>
      <c r="I62" s="2" t="str">
        <f t="shared" ca="1" si="7"/>
        <v/>
      </c>
      <c r="J62" s="54" t="str">
        <f t="shared" ca="1" si="8"/>
        <v/>
      </c>
      <c r="K62" s="52"/>
      <c r="L62" s="55" t="str">
        <f ca="1">IF(ISERROR(B62-2),"",C62+D62-F62-G62+I62+J62-SUM($K$14:K62))</f>
        <v/>
      </c>
      <c r="N62" s="4">
        <v>46009.625</v>
      </c>
      <c r="O62" s="5">
        <v>50.912999999999997</v>
      </c>
      <c r="P62" s="4">
        <v>45968.625</v>
      </c>
      <c r="Q62" s="5">
        <v>83.75</v>
      </c>
      <c r="T62" s="4" t="str">
        <f t="shared" si="1"/>
        <v/>
      </c>
      <c r="U62" s="4" t="str">
        <f t="shared" si="0"/>
        <v/>
      </c>
    </row>
    <row r="63" spans="1:31" x14ac:dyDescent="0.25">
      <c r="A63" s="50" t="str">
        <f t="shared" ca="1" si="2"/>
        <v/>
      </c>
      <c r="B63" s="51" t="str">
        <f ca="1">IF(COUNTIF($V$2:V1048,A63)=1,VLOOKUP(A63,N:O,2), IF(COUNTIF($V$2:V1048,A63)=0,$B$9,""))</f>
        <v/>
      </c>
      <c r="C63" s="2" t="str">
        <f t="shared" ca="1" si="3"/>
        <v/>
      </c>
      <c r="D63" s="54" t="str">
        <f t="shared" ca="1" si="4"/>
        <v/>
      </c>
      <c r="E63" s="51" t="str">
        <f ca="1">IF(COUNTIF($V$2:V1048,A63)=1,VLOOKUP(A63,P:Q,2), IF(COUNTIF($V$2:V1048,A63)=0,$C$9,""))</f>
        <v/>
      </c>
      <c r="F63" s="2" t="str">
        <f t="shared" ca="1" si="5"/>
        <v/>
      </c>
      <c r="G63" s="54" t="str">
        <f t="shared" ca="1" si="6"/>
        <v/>
      </c>
      <c r="H63" s="51" t="str">
        <f ca="1">IF(COUNTIF($V$2:V1048,A63)=1,VLOOKUP(A63,R:S,2), IF(COUNTIF($V$2:V1048,A63)=0,$D$9,""))</f>
        <v/>
      </c>
      <c r="I63" s="2" t="str">
        <f t="shared" ca="1" si="7"/>
        <v/>
      </c>
      <c r="J63" s="54" t="str">
        <f t="shared" ca="1" si="8"/>
        <v/>
      </c>
      <c r="K63" s="52"/>
      <c r="L63" s="55" t="str">
        <f ca="1">IF(ISERROR(B63-2),"",C63+D63-F63-G63+I63+J63-SUM($K$14:K63))</f>
        <v/>
      </c>
      <c r="N63" s="4">
        <v>46010.625</v>
      </c>
      <c r="O63" s="5">
        <v>50.798999999999999</v>
      </c>
      <c r="P63" s="4">
        <v>45971.625</v>
      </c>
      <c r="Q63" s="5">
        <v>83.73</v>
      </c>
      <c r="T63" s="4" t="str">
        <f t="shared" si="1"/>
        <v/>
      </c>
      <c r="U63" s="4" t="str">
        <f t="shared" si="0"/>
        <v/>
      </c>
      <c r="AE63" s="12"/>
    </row>
    <row r="64" spans="1:31" x14ac:dyDescent="0.25">
      <c r="A64" s="50" t="str">
        <f t="shared" ca="1" si="2"/>
        <v/>
      </c>
      <c r="B64" s="51" t="str">
        <f ca="1">IF(COUNTIF($V$2:V1049,A64)=1,VLOOKUP(A64,N:O,2), IF(COUNTIF($V$2:V1049,A64)=0,$B$9,""))</f>
        <v/>
      </c>
      <c r="C64" s="2" t="str">
        <f t="shared" ca="1" si="3"/>
        <v/>
      </c>
      <c r="D64" s="54" t="str">
        <f t="shared" ca="1" si="4"/>
        <v/>
      </c>
      <c r="E64" s="51" t="str">
        <f ca="1">IF(COUNTIF($V$2:V1049,A64)=1,VLOOKUP(A64,P:Q,2), IF(COUNTIF($V$2:V1049,A64)=0,$C$9,""))</f>
        <v/>
      </c>
      <c r="F64" s="2" t="str">
        <f t="shared" ca="1" si="5"/>
        <v/>
      </c>
      <c r="G64" s="54" t="str">
        <f t="shared" ca="1" si="6"/>
        <v/>
      </c>
      <c r="H64" s="51" t="str">
        <f ca="1">IF(COUNTIF($V$2:V1049,A64)=1,VLOOKUP(A64,R:S,2), IF(COUNTIF($V$2:V1049,A64)=0,$D$9,""))</f>
        <v/>
      </c>
      <c r="I64" s="2" t="str">
        <f t="shared" ca="1" si="7"/>
        <v/>
      </c>
      <c r="J64" s="54" t="str">
        <f t="shared" ca="1" si="8"/>
        <v/>
      </c>
      <c r="K64" s="52"/>
      <c r="L64" s="55" t="str">
        <f ca="1">IF(ISERROR(B64-2),"",C64+D64-F64-G64+I64+J64-SUM($K$14:K64))</f>
        <v/>
      </c>
      <c r="N64" s="4">
        <v>46013.625</v>
      </c>
      <c r="O64" s="5">
        <v>50.158999999999999</v>
      </c>
      <c r="P64" s="4">
        <v>45972.625</v>
      </c>
      <c r="Q64" s="5">
        <v>84.04</v>
      </c>
      <c r="T64" s="4" t="str">
        <f t="shared" si="1"/>
        <v/>
      </c>
      <c r="U64" s="4" t="str">
        <f t="shared" si="0"/>
        <v/>
      </c>
      <c r="X64" s="57"/>
      <c r="Y64" s="65"/>
      <c r="Z64" s="68"/>
      <c r="AA64" s="57"/>
      <c r="AC64" s="57"/>
      <c r="AD64" s="58"/>
      <c r="AE64" s="12"/>
    </row>
    <row r="65" spans="1:31" x14ac:dyDescent="0.25">
      <c r="A65" s="50" t="str">
        <f t="shared" ca="1" si="2"/>
        <v/>
      </c>
      <c r="B65" s="51" t="str">
        <f ca="1">IF(COUNTIF($V$2:V1050,A65)=1,VLOOKUP(A65,N:O,2), IF(COUNTIF($V$2:V1050,A65)=0,$B$9,""))</f>
        <v/>
      </c>
      <c r="C65" s="2" t="str">
        <f t="shared" ca="1" si="3"/>
        <v/>
      </c>
      <c r="D65" s="54" t="str">
        <f t="shared" ca="1" si="4"/>
        <v/>
      </c>
      <c r="E65" s="51" t="str">
        <f ca="1">IF(COUNTIF($V$2:V1050,A65)=1,VLOOKUP(A65,P:Q,2), IF(COUNTIF($V$2:V1050,A65)=0,$C$9,""))</f>
        <v/>
      </c>
      <c r="F65" s="2" t="str">
        <f t="shared" ca="1" si="5"/>
        <v/>
      </c>
      <c r="G65" s="54" t="str">
        <f t="shared" ca="1" si="6"/>
        <v/>
      </c>
      <c r="H65" s="51" t="str">
        <f ca="1">IF(COUNTIF($V$2:V1050,A65)=1,VLOOKUP(A65,R:S,2), IF(COUNTIF($V$2:V1050,A65)=0,$D$9,""))</f>
        <v/>
      </c>
      <c r="I65" s="2" t="str">
        <f t="shared" ca="1" si="7"/>
        <v/>
      </c>
      <c r="J65" s="54" t="str">
        <f t="shared" ca="1" si="8"/>
        <v/>
      </c>
      <c r="K65" s="52"/>
      <c r="L65" s="55" t="str">
        <f ca="1">IF(ISERROR(B65-2),"",C65+D65-F65-G65+I65+J65-SUM($K$14:K65))</f>
        <v/>
      </c>
      <c r="N65" s="4">
        <v>46014.625</v>
      </c>
      <c r="O65" s="5">
        <v>50.011000000000003</v>
      </c>
      <c r="P65" s="4">
        <v>45973.625</v>
      </c>
      <c r="Q65" s="5">
        <v>83.93</v>
      </c>
      <c r="T65" s="4" t="str">
        <f t="shared" si="1"/>
        <v/>
      </c>
      <c r="U65" s="4" t="str">
        <f t="shared" si="0"/>
        <v/>
      </c>
      <c r="X65" s="60"/>
      <c r="Y65" s="66"/>
      <c r="Z65" s="59"/>
      <c r="AA65" s="60"/>
      <c r="AC65" s="60"/>
      <c r="AD65" s="60"/>
      <c r="AE65" s="12"/>
    </row>
    <row r="66" spans="1:31" x14ac:dyDescent="0.25">
      <c r="A66" s="50" t="str">
        <f t="shared" ca="1" si="2"/>
        <v/>
      </c>
      <c r="B66" s="51" t="str">
        <f ca="1">IF(COUNTIF($V$2:V1051,A66)=1,VLOOKUP(A66,N:O,2), IF(COUNTIF($V$2:V1051,A66)=0,$B$9,""))</f>
        <v/>
      </c>
      <c r="C66" s="2" t="str">
        <f t="shared" ca="1" si="3"/>
        <v/>
      </c>
      <c r="D66" s="54" t="str">
        <f t="shared" ca="1" si="4"/>
        <v/>
      </c>
      <c r="E66" s="51" t="str">
        <f ca="1">IF(COUNTIF($V$2:V1051,A66)=1,VLOOKUP(A66,P:Q,2), IF(COUNTIF($V$2:V1051,A66)=0,$C$9,""))</f>
        <v/>
      </c>
      <c r="F66" s="2" t="str">
        <f t="shared" ca="1" si="5"/>
        <v/>
      </c>
      <c r="G66" s="54" t="str">
        <f t="shared" ca="1" si="6"/>
        <v/>
      </c>
      <c r="H66" s="51" t="str">
        <f ca="1">IF(COUNTIF($V$2:V1051,A66)=1,VLOOKUP(A66,R:S,2), IF(COUNTIF($V$2:V1051,A66)=0,$D$9,""))</f>
        <v/>
      </c>
      <c r="I66" s="2" t="str">
        <f t="shared" ca="1" si="7"/>
        <v/>
      </c>
      <c r="J66" s="54" t="str">
        <f t="shared" ca="1" si="8"/>
        <v/>
      </c>
      <c r="K66" s="52"/>
      <c r="L66" s="55" t="str">
        <f ca="1">IF(ISERROR(B66-2),"",C66+D66-F66-G66+I66+J66-SUM($K$14:K66))</f>
        <v/>
      </c>
      <c r="N66" s="4">
        <v>46017.625</v>
      </c>
      <c r="O66" s="5">
        <v>50.113999999999997</v>
      </c>
      <c r="P66" s="4">
        <v>45974.625</v>
      </c>
      <c r="Q66" s="5">
        <v>83.7</v>
      </c>
      <c r="T66" s="4">
        <f t="shared" si="1"/>
        <v>46017.625</v>
      </c>
      <c r="U66" s="4" t="str">
        <f t="shared" si="0"/>
        <v/>
      </c>
      <c r="X66" s="60"/>
      <c r="Y66" s="66"/>
      <c r="Z66" s="59"/>
      <c r="AA66" s="60"/>
      <c r="AC66" s="60"/>
      <c r="AD66" s="60"/>
      <c r="AE66" s="12"/>
    </row>
    <row r="67" spans="1:31" x14ac:dyDescent="0.25">
      <c r="A67" s="50" t="str">
        <f t="shared" ca="1" si="2"/>
        <v/>
      </c>
      <c r="B67" s="51" t="str">
        <f ca="1">IF(COUNTIF($V$2:V1052,A67)=1,VLOOKUP(A67,N:O,2), IF(COUNTIF($V$2:V1052,A67)=0,$B$9,""))</f>
        <v/>
      </c>
      <c r="C67" s="2" t="str">
        <f t="shared" ca="1" si="3"/>
        <v/>
      </c>
      <c r="D67" s="54" t="str">
        <f t="shared" ca="1" si="4"/>
        <v/>
      </c>
      <c r="E67" s="51" t="str">
        <f ca="1">IF(COUNTIF($V$2:V1052,A67)=1,VLOOKUP(A67,P:Q,2), IF(COUNTIF($V$2:V1052,A67)=0,$C$9,""))</f>
        <v/>
      </c>
      <c r="F67" s="2" t="str">
        <f t="shared" ca="1" si="5"/>
        <v/>
      </c>
      <c r="G67" s="54" t="str">
        <f t="shared" ca="1" si="6"/>
        <v/>
      </c>
      <c r="H67" s="51" t="str">
        <f ca="1">IF(COUNTIF($V$2:V1052,A67)=1,VLOOKUP(A67,R:S,2), IF(COUNTIF($V$2:V1052,A67)=0,$D$9,""))</f>
        <v/>
      </c>
      <c r="I67" s="2" t="str">
        <f t="shared" ca="1" si="7"/>
        <v/>
      </c>
      <c r="J67" s="54" t="str">
        <f t="shared" ca="1" si="8"/>
        <v/>
      </c>
      <c r="K67" s="52"/>
      <c r="L67" s="55" t="str">
        <f ca="1">IF(ISERROR(B67-2),"",C67+D67-F67-G67+I67+J67-SUM($K$14:K67))</f>
        <v/>
      </c>
      <c r="N67" s="4">
        <v>46020.625</v>
      </c>
      <c r="O67" s="5">
        <v>50.405000000000001</v>
      </c>
      <c r="P67" s="4">
        <v>45975.625</v>
      </c>
      <c r="Q67" s="5">
        <v>83.56</v>
      </c>
      <c r="T67" s="4">
        <f t="shared" si="1"/>
        <v>46020.625</v>
      </c>
      <c r="U67" s="4" t="str">
        <f t="shared" ref="U67:U130" si="9">IF(T67&gt;$A$14,T67,"")</f>
        <v/>
      </c>
      <c r="X67" s="60"/>
      <c r="Y67" s="66"/>
      <c r="Z67" s="59"/>
      <c r="AA67" s="60"/>
      <c r="AC67" s="60"/>
      <c r="AD67" s="60"/>
      <c r="AE67" s="12"/>
    </row>
    <row r="68" spans="1:31" x14ac:dyDescent="0.25">
      <c r="A68" s="50" t="str">
        <f t="shared" ca="1" si="2"/>
        <v/>
      </c>
      <c r="B68" s="51" t="str">
        <f ca="1">IF(COUNTIF($V$2:V1053,A68)=1,VLOOKUP(A68,N:O,2), IF(COUNTIF($V$2:V1053,A68)=0,$B$9,""))</f>
        <v/>
      </c>
      <c r="C68" s="2" t="str">
        <f t="shared" ca="1" si="3"/>
        <v/>
      </c>
      <c r="D68" s="54" t="str">
        <f t="shared" ca="1" si="4"/>
        <v/>
      </c>
      <c r="E68" s="51" t="str">
        <f ca="1">IF(COUNTIF($V$2:V1053,A68)=1,VLOOKUP(A68,P:Q,2), IF(COUNTIF($V$2:V1053,A68)=0,$C$9,""))</f>
        <v/>
      </c>
      <c r="F68" s="2" t="str">
        <f t="shared" ca="1" si="5"/>
        <v/>
      </c>
      <c r="G68" s="54" t="str">
        <f t="shared" ca="1" si="6"/>
        <v/>
      </c>
      <c r="H68" s="51" t="str">
        <f ca="1">IF(COUNTIF($V$2:V1053,A68)=1,VLOOKUP(A68,R:S,2), IF(COUNTIF($V$2:V1053,A68)=0,$D$9,""))</f>
        <v/>
      </c>
      <c r="I68" s="2" t="str">
        <f t="shared" ca="1" si="7"/>
        <v/>
      </c>
      <c r="J68" s="54" t="str">
        <f t="shared" ca="1" si="8"/>
        <v/>
      </c>
      <c r="K68" s="52"/>
      <c r="L68" s="55" t="str">
        <f ca="1">IF(ISERROR(B68-2),"",C68+D68-F68-G68+I68+J68-SUM($K$14:K68))</f>
        <v/>
      </c>
      <c r="N68" s="4">
        <v>46021.625</v>
      </c>
      <c r="O68" s="5">
        <v>50.018000000000001</v>
      </c>
      <c r="P68" s="4">
        <v>45978.625</v>
      </c>
      <c r="Q68" s="5">
        <v>83.57</v>
      </c>
      <c r="T68" s="4">
        <f t="shared" ref="T68:T131" si="10">IF(COUNTIF(P:P,N68)*COUNTIF(R:R,N68),N68,"")</f>
        <v>46021.625</v>
      </c>
      <c r="U68" s="4" t="str">
        <f t="shared" si="9"/>
        <v/>
      </c>
      <c r="X68" s="60"/>
      <c r="Y68" s="66"/>
      <c r="Z68" s="59"/>
      <c r="AA68" s="60"/>
      <c r="AC68" s="60"/>
      <c r="AD68" s="60"/>
      <c r="AE68" s="12"/>
    </row>
    <row r="69" spans="1:31" x14ac:dyDescent="0.25">
      <c r="A69" s="50" t="str">
        <f t="shared" ca="1" si="2"/>
        <v/>
      </c>
      <c r="B69" s="51" t="str">
        <f ca="1">IF(COUNTIF($V$2:V1054,A69)=1,VLOOKUP(A69,N:O,2), IF(COUNTIF($V$2:V1054,A69)=0,$B$9,""))</f>
        <v/>
      </c>
      <c r="C69" s="2" t="str">
        <f t="shared" ca="1" si="3"/>
        <v/>
      </c>
      <c r="D69" s="54" t="str">
        <f t="shared" ca="1" si="4"/>
        <v/>
      </c>
      <c r="E69" s="51" t="str">
        <f ca="1">IF(COUNTIF($V$2:V1054,A69)=1,VLOOKUP(A69,P:Q,2), IF(COUNTIF($V$2:V1054,A69)=0,$C$9,""))</f>
        <v/>
      </c>
      <c r="F69" s="2" t="str">
        <f t="shared" ca="1" si="5"/>
        <v/>
      </c>
      <c r="G69" s="54" t="str">
        <f t="shared" ca="1" si="6"/>
        <v/>
      </c>
      <c r="H69" s="51" t="str">
        <f ca="1">IF(COUNTIF($V$2:V1054,A69)=1,VLOOKUP(A69,R:S,2), IF(COUNTIF($V$2:V1054,A69)=0,$D$9,""))</f>
        <v/>
      </c>
      <c r="I69" s="2" t="str">
        <f t="shared" ca="1" si="7"/>
        <v/>
      </c>
      <c r="J69" s="54" t="str">
        <f t="shared" ca="1" si="8"/>
        <v/>
      </c>
      <c r="K69" s="52"/>
      <c r="L69" s="55" t="str">
        <f ca="1">IF(ISERROR(B69-2),"",C69+D69-F69-G69+I69+J69-SUM($K$14:K69))</f>
        <v/>
      </c>
      <c r="N69" s="4">
        <v>46024.625</v>
      </c>
      <c r="O69" s="5">
        <v>50.140999999999998</v>
      </c>
      <c r="P69" s="4">
        <v>45979.625</v>
      </c>
      <c r="Q69" s="5">
        <v>83.66</v>
      </c>
      <c r="T69" s="4">
        <f t="shared" si="10"/>
        <v>46024.625</v>
      </c>
      <c r="U69" s="4" t="str">
        <f t="shared" si="9"/>
        <v/>
      </c>
      <c r="X69" s="60"/>
      <c r="Y69" s="66"/>
      <c r="Z69" s="59"/>
      <c r="AA69" s="60"/>
      <c r="AC69" s="60"/>
      <c r="AD69" s="60"/>
      <c r="AE69" s="12"/>
    </row>
    <row r="70" spans="1:31" x14ac:dyDescent="0.25">
      <c r="A70" s="50" t="str">
        <f t="shared" ca="1" si="2"/>
        <v/>
      </c>
      <c r="B70" s="51" t="str">
        <f ca="1">IF(COUNTIF($V$2:V1055,A70)=1,VLOOKUP(A70,N:O,2), IF(COUNTIF($V$2:V1055,A70)=0,$B$9,""))</f>
        <v/>
      </c>
      <c r="C70" s="2" t="str">
        <f t="shared" ca="1" si="3"/>
        <v/>
      </c>
      <c r="D70" s="54" t="str">
        <f t="shared" ca="1" si="4"/>
        <v/>
      </c>
      <c r="E70" s="51" t="str">
        <f ca="1">IF(COUNTIF($V$2:V1055,A70)=1,VLOOKUP(A70,P:Q,2), IF(COUNTIF($V$2:V1055,A70)=0,$C$9,""))</f>
        <v/>
      </c>
      <c r="F70" s="2" t="str">
        <f t="shared" ca="1" si="5"/>
        <v/>
      </c>
      <c r="G70" s="54" t="str">
        <f t="shared" ca="1" si="6"/>
        <v/>
      </c>
      <c r="H70" s="51" t="str">
        <f ca="1">IF(COUNTIF($V$2:V1055,A70)=1,VLOOKUP(A70,R:S,2), IF(COUNTIF($V$2:V1055,A70)=0,$D$9,""))</f>
        <v/>
      </c>
      <c r="I70" s="2" t="str">
        <f t="shared" ca="1" si="7"/>
        <v/>
      </c>
      <c r="J70" s="54" t="str">
        <f t="shared" ca="1" si="8"/>
        <v/>
      </c>
      <c r="K70" s="52"/>
      <c r="L70" s="55" t="str">
        <f ca="1">IF(ISERROR(B70-2),"",C70+D70-F70-G70+I70+J70-SUM($K$14:K70))</f>
        <v/>
      </c>
      <c r="N70" s="4">
        <v>46027.625</v>
      </c>
      <c r="O70" s="5">
        <v>49.325000000000003</v>
      </c>
      <c r="P70" s="4">
        <v>45980.625</v>
      </c>
      <c r="Q70" s="5">
        <v>83.62</v>
      </c>
      <c r="T70" s="4">
        <f t="shared" si="10"/>
        <v>46027.625</v>
      </c>
      <c r="U70" s="4">
        <f t="shared" si="9"/>
        <v>46027.625</v>
      </c>
      <c r="AE70" s="12"/>
    </row>
    <row r="71" spans="1:31" x14ac:dyDescent="0.25">
      <c r="A71" s="50" t="str">
        <f t="shared" ca="1" si="2"/>
        <v/>
      </c>
      <c r="B71" s="51" t="str">
        <f ca="1">IF(COUNTIF($V$2:V1056,A71)=1,VLOOKUP(A71,N:O,2), IF(COUNTIF($V$2:V1056,A71)=0,$B$9,""))</f>
        <v/>
      </c>
      <c r="C71" s="2" t="str">
        <f t="shared" ca="1" si="3"/>
        <v/>
      </c>
      <c r="D71" s="54" t="str">
        <f t="shared" ca="1" si="4"/>
        <v/>
      </c>
      <c r="E71" s="51" t="str">
        <f ca="1">IF(COUNTIF($V$2:V1056,A71)=1,VLOOKUP(A71,P:Q,2), IF(COUNTIF($V$2:V1056,A71)=0,$C$9,""))</f>
        <v/>
      </c>
      <c r="F71" s="2" t="str">
        <f t="shared" ca="1" si="5"/>
        <v/>
      </c>
      <c r="G71" s="54" t="str">
        <f t="shared" ca="1" si="6"/>
        <v/>
      </c>
      <c r="H71" s="51" t="str">
        <f ca="1">IF(COUNTIF($V$2:V1056,A71)=1,VLOOKUP(A71,R:S,2), IF(COUNTIF($V$2:V1056,A71)=0,$D$9,""))</f>
        <v/>
      </c>
      <c r="I71" s="2" t="str">
        <f t="shared" ca="1" si="7"/>
        <v/>
      </c>
      <c r="J71" s="54" t="str">
        <f t="shared" ca="1" si="8"/>
        <v/>
      </c>
      <c r="K71" s="52"/>
      <c r="L71" s="55" t="str">
        <f ca="1">IF(ISERROR(B71-2),"",C71+D71-F71-G71+I71+J71-SUM($K$14:K71))</f>
        <v/>
      </c>
      <c r="N71" s="4">
        <v>46028.625</v>
      </c>
      <c r="O71" s="5">
        <v>49.069000000000003</v>
      </c>
      <c r="P71" s="4">
        <v>45981.625</v>
      </c>
      <c r="Q71" s="5">
        <v>83.73</v>
      </c>
      <c r="T71" s="4">
        <f t="shared" si="10"/>
        <v>46028.625</v>
      </c>
      <c r="U71" s="4">
        <f t="shared" si="9"/>
        <v>46028.625</v>
      </c>
      <c r="AE71" s="12"/>
    </row>
    <row r="72" spans="1:31" x14ac:dyDescent="0.25">
      <c r="A72" s="50" t="str">
        <f t="shared" ca="1" si="2"/>
        <v/>
      </c>
      <c r="B72" s="51" t="str">
        <f ca="1">IF(COUNTIF($V$2:V1057,A72)=1,VLOOKUP(A72,N:O,2), IF(COUNTIF($V$2:V1057,A72)=0,$B$9,""))</f>
        <v/>
      </c>
      <c r="C72" s="2" t="str">
        <f t="shared" ca="1" si="3"/>
        <v/>
      </c>
      <c r="D72" s="54" t="str">
        <f t="shared" ca="1" si="4"/>
        <v/>
      </c>
      <c r="E72" s="51" t="str">
        <f ca="1">IF(COUNTIF($V$2:V1057,A72)=1,VLOOKUP(A72,P:Q,2), IF(COUNTIF($V$2:V1057,A72)=0,$C$9,""))</f>
        <v/>
      </c>
      <c r="F72" s="2" t="str">
        <f t="shared" ca="1" si="5"/>
        <v/>
      </c>
      <c r="G72" s="54" t="str">
        <f t="shared" ca="1" si="6"/>
        <v/>
      </c>
      <c r="H72" s="51" t="str">
        <f ca="1">IF(COUNTIF($V$2:V1057,A72)=1,VLOOKUP(A72,R:S,2), IF(COUNTIF($V$2:V1057,A72)=0,$D$9,""))</f>
        <v/>
      </c>
      <c r="I72" s="2" t="str">
        <f t="shared" ca="1" si="7"/>
        <v/>
      </c>
      <c r="J72" s="54" t="str">
        <f t="shared" ca="1" si="8"/>
        <v/>
      </c>
      <c r="K72" s="52"/>
      <c r="L72" s="55" t="str">
        <f ca="1">IF(ISERROR(B72-2),"",C72+D72-F72-G72+I72+J72-SUM($K$14:K72))</f>
        <v/>
      </c>
      <c r="N72" s="4">
        <v>46029.625</v>
      </c>
      <c r="O72" s="5">
        <v>49.633000000000003</v>
      </c>
      <c r="P72" s="4">
        <v>45982.625</v>
      </c>
      <c r="Q72" s="5">
        <v>84.03</v>
      </c>
      <c r="T72" s="4">
        <f t="shared" si="10"/>
        <v>46029.625</v>
      </c>
      <c r="U72" s="4">
        <f t="shared" si="9"/>
        <v>46029.625</v>
      </c>
      <c r="AE72" s="12"/>
    </row>
    <row r="73" spans="1:31" x14ac:dyDescent="0.25">
      <c r="A73" s="50" t="str">
        <f t="shared" ca="1" si="2"/>
        <v/>
      </c>
      <c r="B73" s="51" t="str">
        <f ca="1">IF(COUNTIF($V$2:V1058,A73)=1,VLOOKUP(A73,N:O,2), IF(COUNTIF($V$2:V1058,A73)=0,$B$9,""))</f>
        <v/>
      </c>
      <c r="C73" s="2" t="str">
        <f t="shared" ca="1" si="3"/>
        <v/>
      </c>
      <c r="D73" s="54" t="str">
        <f t="shared" ca="1" si="4"/>
        <v/>
      </c>
      <c r="E73" s="51" t="str">
        <f ca="1">IF(COUNTIF($V$2:V1058,A73)=1,VLOOKUP(A73,P:Q,2), IF(COUNTIF($V$2:V1058,A73)=0,$C$9,""))</f>
        <v/>
      </c>
      <c r="F73" s="2" t="str">
        <f t="shared" ca="1" si="5"/>
        <v/>
      </c>
      <c r="G73" s="54" t="str">
        <f t="shared" ca="1" si="6"/>
        <v/>
      </c>
      <c r="H73" s="51" t="str">
        <f ca="1">IF(COUNTIF($V$2:V1058,A73)=1,VLOOKUP(A73,R:S,2), IF(COUNTIF($V$2:V1058,A73)=0,$D$9,""))</f>
        <v/>
      </c>
      <c r="I73" s="2" t="str">
        <f t="shared" ca="1" si="7"/>
        <v/>
      </c>
      <c r="J73" s="54" t="str">
        <f t="shared" ca="1" si="8"/>
        <v/>
      </c>
      <c r="K73" s="52"/>
      <c r="L73" s="55" t="str">
        <f ca="1">IF(ISERROR(B73-2),"",C73+D73-F73-G73+I73+J73-SUM($K$14:K73))</f>
        <v/>
      </c>
      <c r="N73" s="4">
        <v>46030.625</v>
      </c>
      <c r="O73" s="5">
        <v>49.271999999999998</v>
      </c>
      <c r="P73" s="4">
        <v>45985.625</v>
      </c>
      <c r="Q73" s="5">
        <v>84.24</v>
      </c>
      <c r="T73" s="4">
        <f t="shared" si="10"/>
        <v>46030.625</v>
      </c>
      <c r="U73" s="4">
        <f t="shared" si="9"/>
        <v>46030.625</v>
      </c>
      <c r="AE73" s="12"/>
    </row>
    <row r="74" spans="1:31" x14ac:dyDescent="0.25">
      <c r="A74" s="50" t="str">
        <f t="shared" ca="1" si="2"/>
        <v/>
      </c>
      <c r="B74" s="51" t="str">
        <f ca="1">IF(COUNTIF($V$2:V1059,A74)=1,VLOOKUP(A74,N:O,2), IF(COUNTIF($V$2:V1059,A74)=0,$B$9,""))</f>
        <v/>
      </c>
      <c r="C74" s="2" t="str">
        <f t="shared" ca="1" si="3"/>
        <v/>
      </c>
      <c r="D74" s="54" t="str">
        <f t="shared" ca="1" si="4"/>
        <v/>
      </c>
      <c r="E74" s="51" t="str">
        <f ca="1">IF(COUNTIF($V$2:V1059,A74)=1,VLOOKUP(A74,P:Q,2), IF(COUNTIF($V$2:V1059,A74)=0,$C$9,""))</f>
        <v/>
      </c>
      <c r="F74" s="2" t="str">
        <f t="shared" ca="1" si="5"/>
        <v/>
      </c>
      <c r="G74" s="54" t="str">
        <f t="shared" ca="1" si="6"/>
        <v/>
      </c>
      <c r="H74" s="51" t="str">
        <f ca="1">IF(COUNTIF($V$2:V1059,A74)=1,VLOOKUP(A74,R:S,2), IF(COUNTIF($V$2:V1059,A74)=0,$D$9,""))</f>
        <v/>
      </c>
      <c r="I74" s="2" t="str">
        <f t="shared" ca="1" si="7"/>
        <v/>
      </c>
      <c r="J74" s="54" t="str">
        <f t="shared" ca="1" si="8"/>
        <v/>
      </c>
      <c r="K74" s="52"/>
      <c r="L74" s="55" t="str">
        <f ca="1">IF(ISERROR(B74-2),"",C74+D74-F74-G74+I74+J74-SUM($K$14:K74))</f>
        <v/>
      </c>
      <c r="N74" s="4">
        <v>46031.625</v>
      </c>
      <c r="O74" s="5">
        <v>49.093000000000004</v>
      </c>
      <c r="P74" s="4">
        <v>45986.625</v>
      </c>
      <c r="Q74" s="5">
        <v>84.46</v>
      </c>
      <c r="T74" s="4">
        <f t="shared" si="10"/>
        <v>46031.625</v>
      </c>
      <c r="U74" s="4">
        <f t="shared" si="9"/>
        <v>46031.625</v>
      </c>
      <c r="AE74" s="12"/>
    </row>
    <row r="75" spans="1:31" x14ac:dyDescent="0.25">
      <c r="A75" s="50" t="str">
        <f t="shared" ca="1" si="2"/>
        <v/>
      </c>
      <c r="B75" s="51" t="str">
        <f ca="1">IF(COUNTIF($V$2:V1060,A75)=1,VLOOKUP(A75,N:O,2), IF(COUNTIF($V$2:V1060,A75)=0,$B$9,""))</f>
        <v/>
      </c>
      <c r="C75" s="2" t="str">
        <f t="shared" ca="1" si="3"/>
        <v/>
      </c>
      <c r="D75" s="54" t="str">
        <f t="shared" ca="1" si="4"/>
        <v/>
      </c>
      <c r="E75" s="51" t="str">
        <f ca="1">IF(COUNTIF($V$2:V1060,A75)=1,VLOOKUP(A75,P:Q,2), IF(COUNTIF($V$2:V1060,A75)=0,$C$9,""))</f>
        <v/>
      </c>
      <c r="F75" s="2" t="str">
        <f t="shared" ca="1" si="5"/>
        <v/>
      </c>
      <c r="G75" s="54" t="str">
        <f t="shared" ca="1" si="6"/>
        <v/>
      </c>
      <c r="H75" s="51" t="str">
        <f ca="1">IF(COUNTIF($V$2:V1060,A75)=1,VLOOKUP(A75,R:S,2), IF(COUNTIF($V$2:V1060,A75)=0,$D$9,""))</f>
        <v/>
      </c>
      <c r="I75" s="2" t="str">
        <f t="shared" ca="1" si="7"/>
        <v/>
      </c>
      <c r="J75" s="54" t="str">
        <f t="shared" ca="1" si="8"/>
        <v/>
      </c>
      <c r="K75" s="52"/>
      <c r="L75" s="55" t="str">
        <f ca="1">IF(ISERROR(B75-2),"",C75+D75-F75-G75+I75+J75-SUM($K$14:K75))</f>
        <v/>
      </c>
      <c r="N75" s="4">
        <v>46034.625</v>
      </c>
      <c r="O75" s="5">
        <v>48.982999999999997</v>
      </c>
      <c r="P75" s="4">
        <v>45987.625</v>
      </c>
      <c r="Q75" s="5">
        <v>84.62</v>
      </c>
      <c r="T75" s="4">
        <f t="shared" si="10"/>
        <v>46034.625</v>
      </c>
      <c r="U75" s="4">
        <f t="shared" si="9"/>
        <v>46034.625</v>
      </c>
      <c r="AE75" s="12"/>
    </row>
    <row r="76" spans="1:31" x14ac:dyDescent="0.25">
      <c r="A76" s="50" t="str">
        <f t="shared" ca="1" si="2"/>
        <v/>
      </c>
      <c r="B76" s="51" t="str">
        <f ca="1">IF(COUNTIF($V$2:V1061,A76)=1,VLOOKUP(A76,N:O,2), IF(COUNTIF($V$2:V1061,A76)=0,$B$9,""))</f>
        <v/>
      </c>
      <c r="C76" s="2" t="str">
        <f t="shared" ca="1" si="3"/>
        <v/>
      </c>
      <c r="D76" s="54" t="str">
        <f t="shared" ca="1" si="4"/>
        <v/>
      </c>
      <c r="E76" s="51" t="str">
        <f ca="1">IF(COUNTIF($V$2:V1061,A76)=1,VLOOKUP(A76,P:Q,2), IF(COUNTIF($V$2:V1061,A76)=0,$C$9,""))</f>
        <v/>
      </c>
      <c r="F76" s="2" t="str">
        <f t="shared" ca="1" si="5"/>
        <v/>
      </c>
      <c r="G76" s="54" t="str">
        <f t="shared" ca="1" si="6"/>
        <v/>
      </c>
      <c r="H76" s="51" t="str">
        <f ca="1">IF(COUNTIF($V$2:V1061,A76)=1,VLOOKUP(A76,R:S,2), IF(COUNTIF($V$2:V1061,A76)=0,$D$9,""))</f>
        <v/>
      </c>
      <c r="I76" s="2" t="str">
        <f t="shared" ca="1" si="7"/>
        <v/>
      </c>
      <c r="J76" s="54" t="str">
        <f t="shared" ca="1" si="8"/>
        <v/>
      </c>
      <c r="K76" s="52"/>
      <c r="L76" s="55" t="str">
        <f ca="1">IF(ISERROR(B76-2),"",C76+D76-F76-G76+I76+J76-SUM($K$14:K76))</f>
        <v/>
      </c>
      <c r="N76" s="4">
        <v>46035.625</v>
      </c>
      <c r="O76" s="5">
        <v>49.198999999999998</v>
      </c>
      <c r="P76" s="4">
        <v>45992.625</v>
      </c>
      <c r="Q76" s="5">
        <v>83.94</v>
      </c>
      <c r="T76" s="4">
        <f t="shared" si="10"/>
        <v>46035.625</v>
      </c>
      <c r="U76" s="4">
        <f t="shared" si="9"/>
        <v>46035.625</v>
      </c>
      <c r="AE76" s="12"/>
    </row>
    <row r="77" spans="1:31" x14ac:dyDescent="0.25">
      <c r="A77" s="50" t="str">
        <f t="shared" ca="1" si="2"/>
        <v/>
      </c>
      <c r="B77" s="51" t="str">
        <f ca="1">IF(COUNTIF($V$2:V1062,A77)=1,VLOOKUP(A77,N:O,2), IF(COUNTIF($V$2:V1062,A77)=0,$B$9,""))</f>
        <v/>
      </c>
      <c r="C77" s="2" t="str">
        <f t="shared" ca="1" si="3"/>
        <v/>
      </c>
      <c r="D77" s="54" t="str">
        <f t="shared" ca="1" si="4"/>
        <v/>
      </c>
      <c r="E77" s="51" t="str">
        <f ca="1">IF(COUNTIF($V$2:V1062,A77)=1,VLOOKUP(A77,P:Q,2), IF(COUNTIF($V$2:V1062,A77)=0,$C$9,""))</f>
        <v/>
      </c>
      <c r="F77" s="2" t="str">
        <f t="shared" ca="1" si="5"/>
        <v/>
      </c>
      <c r="G77" s="54" t="str">
        <f t="shared" ca="1" si="6"/>
        <v/>
      </c>
      <c r="H77" s="51" t="str">
        <f ca="1">IF(COUNTIF($V$2:V1062,A77)=1,VLOOKUP(A77,R:S,2), IF(COUNTIF($V$2:V1062,A77)=0,$D$9,""))</f>
        <v/>
      </c>
      <c r="I77" s="2" t="str">
        <f t="shared" ca="1" si="7"/>
        <v/>
      </c>
      <c r="J77" s="54" t="str">
        <f t="shared" ca="1" si="8"/>
        <v/>
      </c>
      <c r="K77" s="52"/>
      <c r="L77" s="55" t="str">
        <f ca="1">IF(ISERROR(B77-2),"",C77+D77-F77-G77+I77+J77-SUM($K$14:K77))</f>
        <v/>
      </c>
      <c r="N77" s="4">
        <v>46036.625</v>
      </c>
      <c r="O77" s="5">
        <v>49.423000000000002</v>
      </c>
      <c r="P77" s="4">
        <v>45993.625</v>
      </c>
      <c r="Q77" s="5">
        <v>84</v>
      </c>
      <c r="T77" s="4">
        <f t="shared" si="10"/>
        <v>46036.625</v>
      </c>
      <c r="U77" s="4">
        <f t="shared" si="9"/>
        <v>46036.625</v>
      </c>
      <c r="AE77" s="12"/>
    </row>
    <row r="78" spans="1:31" x14ac:dyDescent="0.25">
      <c r="A78" s="50" t="str">
        <f t="shared" ca="1" si="2"/>
        <v/>
      </c>
      <c r="B78" s="51" t="str">
        <f ca="1">IF(COUNTIF($V$2:V1063,A78)=1,VLOOKUP(A78,N:O,2), IF(COUNTIF($V$2:V1063,A78)=0,$B$9,""))</f>
        <v/>
      </c>
      <c r="C78" s="2" t="str">
        <f t="shared" ca="1" si="3"/>
        <v/>
      </c>
      <c r="D78" s="54" t="str">
        <f t="shared" ca="1" si="4"/>
        <v/>
      </c>
      <c r="E78" s="51" t="str">
        <f ca="1">IF(COUNTIF($V$2:V1063,A78)=1,VLOOKUP(A78,P:Q,2), IF(COUNTIF($V$2:V1063,A78)=0,$C$9,""))</f>
        <v/>
      </c>
      <c r="F78" s="2" t="str">
        <f t="shared" ca="1" si="5"/>
        <v/>
      </c>
      <c r="G78" s="54" t="str">
        <f t="shared" ca="1" si="6"/>
        <v/>
      </c>
      <c r="H78" s="51" t="str">
        <f ca="1">IF(COUNTIF($V$2:V1063,A78)=1,VLOOKUP(A78,R:S,2), IF(COUNTIF($V$2:V1063,A78)=0,$D$9,""))</f>
        <v/>
      </c>
      <c r="I78" s="2" t="str">
        <f t="shared" ca="1" si="7"/>
        <v/>
      </c>
      <c r="J78" s="54" t="str">
        <f t="shared" ca="1" si="8"/>
        <v/>
      </c>
      <c r="K78" s="52"/>
      <c r="L78" s="55" t="str">
        <f ca="1">IF(ISERROR(B78-2),"",C78+D78-F78-G78+I78+J78-SUM($K$14:K78))</f>
        <v/>
      </c>
      <c r="N78" s="4">
        <v>46037.625</v>
      </c>
      <c r="O78" s="5">
        <v>48.993000000000002</v>
      </c>
      <c r="P78" s="4">
        <v>45994.625</v>
      </c>
      <c r="Q78" s="5">
        <v>84.18</v>
      </c>
      <c r="T78" s="4">
        <f t="shared" si="10"/>
        <v>46037.625</v>
      </c>
      <c r="U78" s="4">
        <f t="shared" si="9"/>
        <v>46037.625</v>
      </c>
    </row>
    <row r="79" spans="1:31" x14ac:dyDescent="0.25">
      <c r="A79" s="50" t="str">
        <f t="shared" ca="1" si="2"/>
        <v/>
      </c>
      <c r="B79" s="51" t="str">
        <f ca="1">IF(COUNTIF($V$2:V1064,A79)=1,VLOOKUP(A79,N:O,2), IF(COUNTIF($V$2:V1064,A79)=0,$B$9,""))</f>
        <v/>
      </c>
      <c r="C79" s="2" t="str">
        <f t="shared" ca="1" si="3"/>
        <v/>
      </c>
      <c r="D79" s="54" t="str">
        <f t="shared" ca="1" si="4"/>
        <v/>
      </c>
      <c r="E79" s="51" t="str">
        <f ca="1">IF(COUNTIF($V$2:V1064,A79)=1,VLOOKUP(A79,P:Q,2), IF(COUNTIF($V$2:V1064,A79)=0,$C$9,""))</f>
        <v/>
      </c>
      <c r="F79" s="2" t="str">
        <f t="shared" ca="1" si="5"/>
        <v/>
      </c>
      <c r="G79" s="54" t="str">
        <f t="shared" ca="1" si="6"/>
        <v/>
      </c>
      <c r="H79" s="51" t="str">
        <f ca="1">IF(COUNTIF($V$2:V1064,A79)=1,VLOOKUP(A79,R:S,2), IF(COUNTIF($V$2:V1064,A79)=0,$D$9,""))</f>
        <v/>
      </c>
      <c r="I79" s="2" t="str">
        <f t="shared" ca="1" si="7"/>
        <v/>
      </c>
      <c r="J79" s="54" t="str">
        <f t="shared" ca="1" si="8"/>
        <v/>
      </c>
      <c r="K79" s="52"/>
      <c r="L79" s="55" t="str">
        <f ca="1">IF(ISERROR(B79-2),"",C79+D79-F79-G79+I79+J79-SUM($K$14:K79))</f>
        <v/>
      </c>
      <c r="N79" s="4">
        <v>46038.625</v>
      </c>
      <c r="O79" s="5">
        <v>48.69</v>
      </c>
      <c r="P79" s="4">
        <v>45995.625</v>
      </c>
      <c r="Q79" s="5">
        <v>84.02</v>
      </c>
      <c r="T79" s="4">
        <f t="shared" si="10"/>
        <v>46038.625</v>
      </c>
      <c r="U79" s="4">
        <f t="shared" si="9"/>
        <v>46038.625</v>
      </c>
    </row>
    <row r="80" spans="1:31" x14ac:dyDescent="0.25">
      <c r="A80" s="50" t="str">
        <f t="shared" ref="A80:A124" ca="1" si="11">IF(AND(ISBLANK(V69), A79 = $V$1),NOW(),IF(ISBLANK(V69),"",V69))</f>
        <v/>
      </c>
      <c r="B80" s="51" t="str">
        <f ca="1">IF(COUNTIF($V$2:V1065,A80)=1,VLOOKUP(A80,N:O,2), IF(COUNTIF($V$2:V1065,A80)=0,$B$9,""))</f>
        <v/>
      </c>
      <c r="C80" s="2" t="str">
        <f t="shared" ref="C80:C124" ca="1" si="12">IF(ISERROR(B80-2),"",-1*(B80-$B$14)*10^(-4)*$B$8*$B$5)</f>
        <v/>
      </c>
      <c r="D80" s="54" t="str">
        <f t="shared" ref="D80:D124" ca="1" si="13">IF(ISERROR(B80-2),"",(INT(A80)-INT($A$14))/360*$B$5*$B$6)</f>
        <v/>
      </c>
      <c r="E80" s="51" t="str">
        <f ca="1">IF(COUNTIF($V$2:V1065,A80)=1,VLOOKUP(A80,P:Q,2), IF(COUNTIF($V$2:V1065,A80)=0,$C$9,""))</f>
        <v/>
      </c>
      <c r="F80" s="2" t="str">
        <f t="shared" ref="F80:F124" ca="1" si="14">IF(ISERROR(B80-2),"",(E80/$E$14-1)*$C$5)</f>
        <v/>
      </c>
      <c r="G80" s="54" t="str">
        <f t="shared" ref="G80:G124" ca="1" si="15">IF(ISERROR(B80-2),"",(INT(A80)-INT($A$14))/360*$C$6*$C$5-(INT(A80)-INT($A$14))/360*$C$7*$C$5)</f>
        <v/>
      </c>
      <c r="H80" s="51" t="str">
        <f ca="1">IF(COUNTIF($V$2:V1065,A80)=1,VLOOKUP(A80,R:S,2), IF(COUNTIF($V$2:V1065,A80)=0,$D$9,""))</f>
        <v/>
      </c>
      <c r="I80" s="2" t="str">
        <f t="shared" ref="I80:I124" ca="1" si="16">IF(ISERROR(B80-2),"",(H80-$H$14)/100*$D$5)</f>
        <v/>
      </c>
      <c r="J80" s="54" t="str">
        <f t="shared" ref="J80:J124" ca="1" si="17">IF(ISERROR(B80-2),"",(INT(A80)-INT($A$14))/360*$D$6*$D$5 - (INT(A80)-INT($A$14))/360*$D$7*$D$5*$H$14/100)</f>
        <v/>
      </c>
      <c r="K80" s="52"/>
      <c r="L80" s="55" t="str">
        <f ca="1">IF(ISERROR(B80-2),"",C80+D80-F80-G80+I80+J80-SUM($K$14:K80))</f>
        <v/>
      </c>
      <c r="N80" s="4">
        <v>46042.625</v>
      </c>
      <c r="O80" s="5">
        <v>50.305</v>
      </c>
      <c r="P80" s="4">
        <v>45996.625</v>
      </c>
      <c r="Q80" s="5">
        <v>83.94</v>
      </c>
      <c r="T80" s="4">
        <f t="shared" si="10"/>
        <v>46042.625</v>
      </c>
      <c r="U80" s="4">
        <f t="shared" si="9"/>
        <v>46042.625</v>
      </c>
    </row>
    <row r="81" spans="1:21" x14ac:dyDescent="0.25">
      <c r="A81" s="50" t="str">
        <f t="shared" ca="1" si="11"/>
        <v/>
      </c>
      <c r="B81" s="51" t="str">
        <f ca="1">IF(COUNTIF($V$2:V1066,A81)=1,VLOOKUP(A81,N:O,2), IF(COUNTIF($V$2:V1066,A81)=0,$B$9,""))</f>
        <v/>
      </c>
      <c r="C81" s="2" t="str">
        <f t="shared" ca="1" si="12"/>
        <v/>
      </c>
      <c r="D81" s="54" t="str">
        <f t="shared" ca="1" si="13"/>
        <v/>
      </c>
      <c r="E81" s="51" t="str">
        <f ca="1">IF(COUNTIF($V$2:V1066,A81)=1,VLOOKUP(A81,P:Q,2), IF(COUNTIF($V$2:V1066,A81)=0,$C$9,""))</f>
        <v/>
      </c>
      <c r="F81" s="2" t="str">
        <f t="shared" ca="1" si="14"/>
        <v/>
      </c>
      <c r="G81" s="54" t="str">
        <f t="shared" ca="1" si="15"/>
        <v/>
      </c>
      <c r="H81" s="51" t="str">
        <f ca="1">IF(COUNTIF($V$2:V1066,A81)=1,VLOOKUP(A81,R:S,2), IF(COUNTIF($V$2:V1066,A81)=0,$D$9,""))</f>
        <v/>
      </c>
      <c r="I81" s="2" t="str">
        <f t="shared" ca="1" si="16"/>
        <v/>
      </c>
      <c r="J81" s="54" t="str">
        <f t="shared" ca="1" si="17"/>
        <v/>
      </c>
      <c r="K81" s="52"/>
      <c r="L81" s="55" t="str">
        <f ca="1">IF(ISERROR(B81-2),"",C81+D81-F81-G81+I81+J81-SUM($K$14:K81))</f>
        <v/>
      </c>
      <c r="N81" s="4">
        <v>46043.625</v>
      </c>
      <c r="O81" s="5">
        <v>48.877000000000002</v>
      </c>
      <c r="P81" s="4">
        <v>45999.625</v>
      </c>
      <c r="Q81" s="5">
        <v>83.82</v>
      </c>
      <c r="T81" s="4">
        <f t="shared" si="10"/>
        <v>46043.625</v>
      </c>
      <c r="U81" s="4">
        <f t="shared" si="9"/>
        <v>46043.625</v>
      </c>
    </row>
    <row r="82" spans="1:21" x14ac:dyDescent="0.25">
      <c r="A82" s="50" t="str">
        <f t="shared" ca="1" si="11"/>
        <v/>
      </c>
      <c r="B82" s="51" t="str">
        <f ca="1">IF(COUNTIF($V$2:V1067,A82)=1,VLOOKUP(A82,N:O,2), IF(COUNTIF($V$2:V1067,A82)=0,$B$9,""))</f>
        <v/>
      </c>
      <c r="C82" s="2" t="str">
        <f t="shared" ca="1" si="12"/>
        <v/>
      </c>
      <c r="D82" s="54" t="str">
        <f t="shared" ca="1" si="13"/>
        <v/>
      </c>
      <c r="E82" s="51" t="str">
        <f ca="1">IF(COUNTIF($V$2:V1067,A82)=1,VLOOKUP(A82,P:Q,2), IF(COUNTIF($V$2:V1067,A82)=0,$C$9,""))</f>
        <v/>
      </c>
      <c r="F82" s="2" t="str">
        <f t="shared" ca="1" si="14"/>
        <v/>
      </c>
      <c r="G82" s="54" t="str">
        <f t="shared" ca="1" si="15"/>
        <v/>
      </c>
      <c r="H82" s="51" t="str">
        <f ca="1">IF(COUNTIF($V$2:V1067,A82)=1,VLOOKUP(A82,R:S,2), IF(COUNTIF($V$2:V1067,A82)=0,$D$9,""))</f>
        <v/>
      </c>
      <c r="I82" s="2" t="str">
        <f t="shared" ca="1" si="16"/>
        <v/>
      </c>
      <c r="J82" s="54" t="str">
        <f t="shared" ca="1" si="17"/>
        <v/>
      </c>
      <c r="K82" s="52"/>
      <c r="L82" s="55" t="str">
        <f ca="1">IF(ISERROR(B82-2),"",C82+D82-F82-G82+I82+J82-SUM($K$14:K82))</f>
        <v/>
      </c>
      <c r="N82" s="4">
        <v>46044.625</v>
      </c>
      <c r="O82" s="5">
        <v>48.487000000000002</v>
      </c>
      <c r="P82" s="4">
        <v>46000.625</v>
      </c>
      <c r="Q82" s="5">
        <v>83.7</v>
      </c>
      <c r="T82" s="4">
        <f t="shared" si="10"/>
        <v>46044.625</v>
      </c>
      <c r="U82" s="4">
        <f t="shared" si="9"/>
        <v>46044.625</v>
      </c>
    </row>
    <row r="83" spans="1:21" x14ac:dyDescent="0.25">
      <c r="A83" s="50" t="str">
        <f t="shared" ca="1" si="11"/>
        <v/>
      </c>
      <c r="B83" s="51" t="str">
        <f ca="1">IF(COUNTIF($V$2:V1068,A83)=1,VLOOKUP(A83,N:O,2), IF(COUNTIF($V$2:V1068,A83)=0,$B$9,""))</f>
        <v/>
      </c>
      <c r="C83" s="2" t="str">
        <f t="shared" ca="1" si="12"/>
        <v/>
      </c>
      <c r="D83" s="54" t="str">
        <f t="shared" ca="1" si="13"/>
        <v/>
      </c>
      <c r="E83" s="51" t="str">
        <f ca="1">IF(COUNTIF($V$2:V1068,A83)=1,VLOOKUP(A83,P:Q,2), IF(COUNTIF($V$2:V1068,A83)=0,$C$9,""))</f>
        <v/>
      </c>
      <c r="F83" s="2" t="str">
        <f t="shared" ca="1" si="14"/>
        <v/>
      </c>
      <c r="G83" s="54" t="str">
        <f t="shared" ca="1" si="15"/>
        <v/>
      </c>
      <c r="H83" s="51" t="str">
        <f ca="1">IF(COUNTIF($V$2:V1068,A83)=1,VLOOKUP(A83,R:S,2), IF(COUNTIF($V$2:V1068,A83)=0,$D$9,""))</f>
        <v/>
      </c>
      <c r="I83" s="2" t="str">
        <f t="shared" ca="1" si="16"/>
        <v/>
      </c>
      <c r="J83" s="54" t="str">
        <f t="shared" ca="1" si="17"/>
        <v/>
      </c>
      <c r="K83" s="52"/>
      <c r="L83" s="55" t="str">
        <f ca="1">IF(ISERROR(B83-2),"",C83+D83-F83-G83+I83+J83-SUM($K$14:K83))</f>
        <v/>
      </c>
      <c r="N83" s="4">
        <v>46045.625</v>
      </c>
      <c r="O83" s="5">
        <v>48.872999999999998</v>
      </c>
      <c r="P83" s="4">
        <v>46001.625</v>
      </c>
      <c r="Q83" s="5">
        <v>84.01</v>
      </c>
      <c r="T83" s="4">
        <f t="shared" si="10"/>
        <v>46045.625</v>
      </c>
      <c r="U83" s="4">
        <f t="shared" si="9"/>
        <v>46045.625</v>
      </c>
    </row>
    <row r="84" spans="1:21" x14ac:dyDescent="0.25">
      <c r="A84" s="50" t="str">
        <f t="shared" ca="1" si="11"/>
        <v/>
      </c>
      <c r="B84" s="51" t="str">
        <f ca="1">IF(COUNTIF($V$2:V1069,A84)=1,VLOOKUP(A84,N:O,2), IF(COUNTIF($V$2:V1069,A84)=0,$B$9,""))</f>
        <v/>
      </c>
      <c r="C84" s="2" t="str">
        <f t="shared" ca="1" si="12"/>
        <v/>
      </c>
      <c r="D84" s="54" t="str">
        <f t="shared" ca="1" si="13"/>
        <v/>
      </c>
      <c r="E84" s="51" t="str">
        <f ca="1">IF(COUNTIF($V$2:V1069,A84)=1,VLOOKUP(A84,P:Q,2), IF(COUNTIF($V$2:V1069,A84)=0,$C$9,""))</f>
        <v/>
      </c>
      <c r="F84" s="2" t="str">
        <f t="shared" ca="1" si="14"/>
        <v/>
      </c>
      <c r="G84" s="54" t="str">
        <f t="shared" ca="1" si="15"/>
        <v/>
      </c>
      <c r="H84" s="51" t="str">
        <f ca="1">IF(COUNTIF($V$2:V1069,A84)=1,VLOOKUP(A84,R:S,2), IF(COUNTIF($V$2:V1069,A84)=0,$D$9,""))</f>
        <v/>
      </c>
      <c r="I84" s="2" t="str">
        <f t="shared" ca="1" si="16"/>
        <v/>
      </c>
      <c r="J84" s="54" t="str">
        <f t="shared" ca="1" si="17"/>
        <v/>
      </c>
      <c r="K84" s="52"/>
      <c r="L84" s="55" t="str">
        <f ca="1">IF(ISERROR(B84-2),"",C84+D84-F84-G84+I84+J84-SUM($K$14:K84))</f>
        <v/>
      </c>
      <c r="N84" s="4">
        <v>46048.625</v>
      </c>
      <c r="O84" s="5">
        <v>48.905999999999999</v>
      </c>
      <c r="P84" s="4">
        <v>46002.625</v>
      </c>
      <c r="Q84" s="5">
        <v>84.01</v>
      </c>
      <c r="T84" s="4">
        <f t="shared" si="10"/>
        <v>46048.625</v>
      </c>
      <c r="U84" s="4">
        <f t="shared" si="9"/>
        <v>46048.625</v>
      </c>
    </row>
    <row r="85" spans="1:21" x14ac:dyDescent="0.25">
      <c r="A85" s="50" t="str">
        <f t="shared" ca="1" si="11"/>
        <v/>
      </c>
      <c r="B85" s="51" t="str">
        <f ca="1">IF(COUNTIF($V$2:V1070,A85)=1,VLOOKUP(A85,N:O,2), IF(COUNTIF($V$2:V1070,A85)=0,$B$9,""))</f>
        <v/>
      </c>
      <c r="C85" s="2" t="str">
        <f t="shared" ca="1" si="12"/>
        <v/>
      </c>
      <c r="D85" s="54" t="str">
        <f t="shared" ca="1" si="13"/>
        <v/>
      </c>
      <c r="E85" s="51" t="str">
        <f ca="1">IF(COUNTIF($V$2:V1070,A85)=1,VLOOKUP(A85,P:Q,2), IF(COUNTIF($V$2:V1070,A85)=0,$C$9,""))</f>
        <v/>
      </c>
      <c r="F85" s="2" t="str">
        <f t="shared" ca="1" si="14"/>
        <v/>
      </c>
      <c r="G85" s="54" t="str">
        <f t="shared" ca="1" si="15"/>
        <v/>
      </c>
      <c r="H85" s="51" t="str">
        <f ca="1">IF(COUNTIF($V$2:V1070,A85)=1,VLOOKUP(A85,R:S,2), IF(COUNTIF($V$2:V1070,A85)=0,$D$9,""))</f>
        <v/>
      </c>
      <c r="I85" s="2" t="str">
        <f t="shared" ca="1" si="16"/>
        <v/>
      </c>
      <c r="J85" s="54" t="str">
        <f t="shared" ca="1" si="17"/>
        <v/>
      </c>
      <c r="K85" s="52"/>
      <c r="L85" s="55" t="str">
        <f ca="1">IF(ISERROR(B85-2),"",C85+D85-F85-G85+I85+J85-SUM($K$14:K85))</f>
        <v/>
      </c>
      <c r="N85" s="4">
        <v>46049.625</v>
      </c>
      <c r="O85" s="5">
        <v>49.045999999999999</v>
      </c>
      <c r="P85" s="4">
        <v>46003.625</v>
      </c>
      <c r="Q85" s="5">
        <v>83.69</v>
      </c>
      <c r="T85" s="4">
        <f t="shared" si="10"/>
        <v>46049.625</v>
      </c>
      <c r="U85" s="4">
        <f t="shared" si="9"/>
        <v>46049.625</v>
      </c>
    </row>
    <row r="86" spans="1:21" x14ac:dyDescent="0.25">
      <c r="A86" s="50" t="str">
        <f t="shared" ca="1" si="11"/>
        <v/>
      </c>
      <c r="B86" s="51" t="str">
        <f ca="1">IF(COUNTIF($V$2:V1071,A86)=1,VLOOKUP(A86,N:O,2), IF(COUNTIF($V$2:V1071,A86)=0,$B$9,""))</f>
        <v/>
      </c>
      <c r="C86" s="2" t="str">
        <f t="shared" ca="1" si="12"/>
        <v/>
      </c>
      <c r="D86" s="54" t="str">
        <f t="shared" ca="1" si="13"/>
        <v/>
      </c>
      <c r="E86" s="51" t="str">
        <f ca="1">IF(COUNTIF($V$2:V1071,A86)=1,VLOOKUP(A86,P:Q,2), IF(COUNTIF($V$2:V1071,A86)=0,$C$9,""))</f>
        <v/>
      </c>
      <c r="F86" s="2" t="str">
        <f t="shared" ca="1" si="14"/>
        <v/>
      </c>
      <c r="G86" s="54" t="str">
        <f t="shared" ca="1" si="15"/>
        <v/>
      </c>
      <c r="H86" s="51" t="str">
        <f ca="1">IF(COUNTIF($V$2:V1071,A86)=1,VLOOKUP(A86,R:S,2), IF(COUNTIF($V$2:V1071,A86)=0,$D$9,""))</f>
        <v/>
      </c>
      <c r="I86" s="2" t="str">
        <f t="shared" ca="1" si="16"/>
        <v/>
      </c>
      <c r="J86" s="54" t="str">
        <f t="shared" ca="1" si="17"/>
        <v/>
      </c>
      <c r="K86" s="52"/>
      <c r="L86" s="55" t="str">
        <f ca="1">IF(ISERROR(B86-2),"",C86+D86-F86-G86+I86+J86-SUM($K$14:K86))</f>
        <v/>
      </c>
      <c r="N86" s="4">
        <v>46050.625</v>
      </c>
      <c r="O86" s="5">
        <v>48.957999999999998</v>
      </c>
      <c r="P86" s="4">
        <v>46006.625</v>
      </c>
      <c r="Q86" s="5">
        <v>83.79</v>
      </c>
      <c r="T86" s="4">
        <f t="shared" si="10"/>
        <v>46050.625</v>
      </c>
      <c r="U86" s="4">
        <f t="shared" si="9"/>
        <v>46050.625</v>
      </c>
    </row>
    <row r="87" spans="1:21" x14ac:dyDescent="0.25">
      <c r="A87" s="50" t="str">
        <f t="shared" ca="1" si="11"/>
        <v/>
      </c>
      <c r="B87" s="51" t="str">
        <f ca="1">IF(COUNTIF($V$2:V1072,A87)=1,VLOOKUP(A87,N:O,2), IF(COUNTIF($V$2:V1072,A87)=0,$B$9,""))</f>
        <v/>
      </c>
      <c r="C87" s="2" t="str">
        <f t="shared" ca="1" si="12"/>
        <v/>
      </c>
      <c r="D87" s="54" t="str">
        <f t="shared" ca="1" si="13"/>
        <v/>
      </c>
      <c r="E87" s="51" t="str">
        <f ca="1">IF(COUNTIF($V$2:V1072,A87)=1,VLOOKUP(A87,P:Q,2), IF(COUNTIF($V$2:V1072,A87)=0,$C$9,""))</f>
        <v/>
      </c>
      <c r="F87" s="2" t="str">
        <f t="shared" ca="1" si="14"/>
        <v/>
      </c>
      <c r="G87" s="54" t="str">
        <f t="shared" ca="1" si="15"/>
        <v/>
      </c>
      <c r="H87" s="51" t="str">
        <f ca="1">IF(COUNTIF($V$2:V1072,A87)=1,VLOOKUP(A87,R:S,2), IF(COUNTIF($V$2:V1072,A87)=0,$D$9,""))</f>
        <v/>
      </c>
      <c r="I87" s="2" t="str">
        <f t="shared" ca="1" si="16"/>
        <v/>
      </c>
      <c r="J87" s="54" t="str">
        <f t="shared" ca="1" si="17"/>
        <v/>
      </c>
      <c r="K87" s="52"/>
      <c r="L87" s="55" t="str">
        <f ca="1">IF(ISERROR(B87-2),"",C87+D87-F87-G87+I87+J87-SUM($K$14:K87))</f>
        <v/>
      </c>
      <c r="N87" s="4">
        <v>46051.625</v>
      </c>
      <c r="O87" s="5">
        <v>49.212000000000003</v>
      </c>
      <c r="P87" s="4">
        <v>46007.625</v>
      </c>
      <c r="Q87" s="5">
        <v>83.91</v>
      </c>
      <c r="T87" s="4">
        <f t="shared" si="10"/>
        <v>46051.625</v>
      </c>
      <c r="U87" s="4">
        <f t="shared" si="9"/>
        <v>46051.625</v>
      </c>
    </row>
    <row r="88" spans="1:21" x14ac:dyDescent="0.25">
      <c r="A88" s="50" t="str">
        <f t="shared" ca="1" si="11"/>
        <v/>
      </c>
      <c r="B88" s="51" t="str">
        <f ca="1">IF(COUNTIF($V$2:V1073,A88)=1,VLOOKUP(A88,N:O,2), IF(COUNTIF($V$2:V1073,A88)=0,$B$9,""))</f>
        <v/>
      </c>
      <c r="C88" s="2" t="str">
        <f t="shared" ca="1" si="12"/>
        <v/>
      </c>
      <c r="D88" s="54" t="str">
        <f t="shared" ca="1" si="13"/>
        <v/>
      </c>
      <c r="E88" s="51" t="str">
        <f ca="1">IF(COUNTIF($V$2:V1073,A88)=1,VLOOKUP(A88,P:Q,2), IF(COUNTIF($V$2:V1073,A88)=0,$C$9,""))</f>
        <v/>
      </c>
      <c r="F88" s="2" t="str">
        <f t="shared" ca="1" si="14"/>
        <v/>
      </c>
      <c r="G88" s="54" t="str">
        <f t="shared" ca="1" si="15"/>
        <v/>
      </c>
      <c r="H88" s="51" t="str">
        <f ca="1">IF(COUNTIF($V$2:V1073,A88)=1,VLOOKUP(A88,R:S,2), IF(COUNTIF($V$2:V1073,A88)=0,$D$9,""))</f>
        <v/>
      </c>
      <c r="I88" s="2" t="str">
        <f t="shared" ca="1" si="16"/>
        <v/>
      </c>
      <c r="J88" s="54" t="str">
        <f t="shared" ca="1" si="17"/>
        <v/>
      </c>
      <c r="K88" s="52"/>
      <c r="L88" s="55" t="str">
        <f ca="1">IF(ISERROR(B88-2),"",C88+D88-F88-G88+I88+J88-SUM($K$14:K88))</f>
        <v/>
      </c>
      <c r="N88" s="4">
        <v>46052.625</v>
      </c>
      <c r="O88" s="5">
        <v>49.435000000000002</v>
      </c>
      <c r="P88" s="4">
        <v>46008.625</v>
      </c>
      <c r="Q88" s="5">
        <v>83.88</v>
      </c>
      <c r="T88" s="4">
        <f t="shared" si="10"/>
        <v>46052.625</v>
      </c>
      <c r="U88" s="4">
        <f t="shared" si="9"/>
        <v>46052.625</v>
      </c>
    </row>
    <row r="89" spans="1:21" x14ac:dyDescent="0.25">
      <c r="A89" s="50" t="str">
        <f t="shared" ca="1" si="11"/>
        <v/>
      </c>
      <c r="B89" s="51" t="str">
        <f ca="1">IF(COUNTIF($V$2:V1074,A89)=1,VLOOKUP(A89,N:O,2), IF(COUNTIF($V$2:V1074,A89)=0,$B$9,""))</f>
        <v/>
      </c>
      <c r="C89" s="2" t="str">
        <f t="shared" ca="1" si="12"/>
        <v/>
      </c>
      <c r="D89" s="54" t="str">
        <f t="shared" ca="1" si="13"/>
        <v/>
      </c>
      <c r="E89" s="51" t="str">
        <f ca="1">IF(COUNTIF($V$2:V1074,A89)=1,VLOOKUP(A89,P:Q,2), IF(COUNTIF($V$2:V1074,A89)=0,$C$9,""))</f>
        <v/>
      </c>
      <c r="F89" s="2" t="str">
        <f t="shared" ca="1" si="14"/>
        <v/>
      </c>
      <c r="G89" s="54" t="str">
        <f t="shared" ca="1" si="15"/>
        <v/>
      </c>
      <c r="H89" s="51" t="str">
        <f ca="1">IF(COUNTIF($V$2:V1074,A89)=1,VLOOKUP(A89,R:S,2), IF(COUNTIF($V$2:V1074,A89)=0,$D$9,""))</f>
        <v/>
      </c>
      <c r="I89" s="2" t="str">
        <f t="shared" ca="1" si="16"/>
        <v/>
      </c>
      <c r="J89" s="54" t="str">
        <f t="shared" ca="1" si="17"/>
        <v/>
      </c>
      <c r="K89" s="52"/>
      <c r="L89" s="55" t="str">
        <f ca="1">IF(ISERROR(B89-2),"",C89+D89-F89-G89+I89+J89-SUM($K$14:K89))</f>
        <v/>
      </c>
      <c r="N89" s="4">
        <v>46055.625</v>
      </c>
      <c r="O89" s="5">
        <v>48.841000000000001</v>
      </c>
      <c r="P89" s="4">
        <v>46009.625</v>
      </c>
      <c r="Q89" s="5">
        <v>83.78</v>
      </c>
      <c r="T89" s="4">
        <f t="shared" si="10"/>
        <v>46055.625</v>
      </c>
      <c r="U89" s="4">
        <f t="shared" si="9"/>
        <v>46055.625</v>
      </c>
    </row>
    <row r="90" spans="1:21" x14ac:dyDescent="0.25">
      <c r="A90" s="50" t="str">
        <f t="shared" ca="1" si="11"/>
        <v/>
      </c>
      <c r="B90" s="51" t="str">
        <f ca="1">IF(COUNTIF($V$2:V1075,A90)=1,VLOOKUP(A90,N:O,2), IF(COUNTIF($V$2:V1075,A90)=0,$B$9,""))</f>
        <v/>
      </c>
      <c r="C90" s="2" t="str">
        <f t="shared" ca="1" si="12"/>
        <v/>
      </c>
      <c r="D90" s="54" t="str">
        <f t="shared" ca="1" si="13"/>
        <v/>
      </c>
      <c r="E90" s="51" t="str">
        <f ca="1">IF(COUNTIF($V$2:V1075,A90)=1,VLOOKUP(A90,P:Q,2), IF(COUNTIF($V$2:V1075,A90)=0,$C$9,""))</f>
        <v/>
      </c>
      <c r="F90" s="2" t="str">
        <f t="shared" ca="1" si="14"/>
        <v/>
      </c>
      <c r="G90" s="54" t="str">
        <f t="shared" ca="1" si="15"/>
        <v/>
      </c>
      <c r="H90" s="51" t="str">
        <f ca="1">IF(COUNTIF($V$2:V1075,A90)=1,VLOOKUP(A90,R:S,2), IF(COUNTIF($V$2:V1075,A90)=0,$D$9,""))</f>
        <v/>
      </c>
      <c r="I90" s="2" t="str">
        <f t="shared" ca="1" si="16"/>
        <v/>
      </c>
      <c r="J90" s="54" t="str">
        <f t="shared" ca="1" si="17"/>
        <v/>
      </c>
      <c r="K90" s="52"/>
      <c r="L90" s="55" t="str">
        <f ca="1">IF(ISERROR(B90-2),"",C90+D90-F90-G90+I90+J90-SUM($K$14:K90))</f>
        <v/>
      </c>
      <c r="N90" s="4">
        <v>46056.625</v>
      </c>
      <c r="O90" s="5">
        <v>49.676000000000002</v>
      </c>
      <c r="P90" s="4">
        <v>46010.625</v>
      </c>
      <c r="Q90" s="5">
        <v>83.64</v>
      </c>
      <c r="T90" s="4">
        <f t="shared" si="10"/>
        <v>46056.625</v>
      </c>
      <c r="U90" s="4">
        <f t="shared" si="9"/>
        <v>46056.625</v>
      </c>
    </row>
    <row r="91" spans="1:21" x14ac:dyDescent="0.25">
      <c r="A91" s="50" t="str">
        <f t="shared" ca="1" si="11"/>
        <v/>
      </c>
      <c r="B91" s="51" t="str">
        <f ca="1">IF(COUNTIF($V$2:V1076,A91)=1,VLOOKUP(A91,N:O,2), IF(COUNTIF($V$2:V1076,A91)=0,$B$9,""))</f>
        <v/>
      </c>
      <c r="C91" s="2" t="str">
        <f t="shared" ca="1" si="12"/>
        <v/>
      </c>
      <c r="D91" s="54" t="str">
        <f t="shared" ca="1" si="13"/>
        <v/>
      </c>
      <c r="E91" s="51" t="str">
        <f ca="1">IF(COUNTIF($V$2:V1076,A91)=1,VLOOKUP(A91,P:Q,2), IF(COUNTIF($V$2:V1076,A91)=0,$C$9,""))</f>
        <v/>
      </c>
      <c r="F91" s="2" t="str">
        <f t="shared" ca="1" si="14"/>
        <v/>
      </c>
      <c r="G91" s="54" t="str">
        <f t="shared" ca="1" si="15"/>
        <v/>
      </c>
      <c r="H91" s="51" t="str">
        <f ca="1">IF(COUNTIF($V$2:V1076,A91)=1,VLOOKUP(A91,R:S,2), IF(COUNTIF($V$2:V1076,A91)=0,$D$9,""))</f>
        <v/>
      </c>
      <c r="I91" s="2" t="str">
        <f t="shared" ca="1" si="16"/>
        <v/>
      </c>
      <c r="J91" s="54" t="str">
        <f t="shared" ca="1" si="17"/>
        <v/>
      </c>
      <c r="K91" s="52"/>
      <c r="L91" s="55" t="str">
        <f ca="1">IF(ISERROR(B91-2),"",C91+D91-F91-G91+I91+J91-SUM($K$14:K91))</f>
        <v/>
      </c>
      <c r="N91" s="4">
        <v>46057.625</v>
      </c>
      <c r="O91" s="5">
        <v>50.027999999999999</v>
      </c>
      <c r="P91" s="4">
        <v>46013.625</v>
      </c>
      <c r="Q91" s="5">
        <v>83.62</v>
      </c>
      <c r="T91" s="4">
        <f t="shared" si="10"/>
        <v>46057.625</v>
      </c>
      <c r="U91" s="4">
        <f t="shared" si="9"/>
        <v>46057.625</v>
      </c>
    </row>
    <row r="92" spans="1:21" x14ac:dyDescent="0.25">
      <c r="A92" s="50" t="str">
        <f t="shared" ca="1" si="11"/>
        <v/>
      </c>
      <c r="B92" s="51" t="str">
        <f ca="1">IF(COUNTIF($V$2:V1077,A92)=1,VLOOKUP(A92,N:O,2), IF(COUNTIF($V$2:V1077,A92)=0,$B$9,""))</f>
        <v/>
      </c>
      <c r="C92" s="2" t="str">
        <f t="shared" ca="1" si="12"/>
        <v/>
      </c>
      <c r="D92" s="54" t="str">
        <f t="shared" ca="1" si="13"/>
        <v/>
      </c>
      <c r="E92" s="51" t="str">
        <f ca="1">IF(COUNTIF($V$2:V1077,A92)=1,VLOOKUP(A92,P:Q,2), IF(COUNTIF($V$2:V1077,A92)=0,$C$9,""))</f>
        <v/>
      </c>
      <c r="F92" s="2" t="str">
        <f t="shared" ca="1" si="14"/>
        <v/>
      </c>
      <c r="G92" s="54" t="str">
        <f t="shared" ca="1" si="15"/>
        <v/>
      </c>
      <c r="H92" s="51" t="str">
        <f ca="1">IF(COUNTIF($V$2:V1077,A92)=1,VLOOKUP(A92,R:S,2), IF(COUNTIF($V$2:V1077,A92)=0,$D$9,""))</f>
        <v/>
      </c>
      <c r="I92" s="2" t="str">
        <f t="shared" ca="1" si="16"/>
        <v/>
      </c>
      <c r="J92" s="54" t="str">
        <f t="shared" ca="1" si="17"/>
        <v/>
      </c>
      <c r="K92" s="52"/>
      <c r="L92" s="55" t="str">
        <f ca="1">IF(ISERROR(B92-2),"",C92+D92-F92-G92+I92+J92-SUM($K$14:K92))</f>
        <v/>
      </c>
      <c r="N92" s="4">
        <v>46058.625</v>
      </c>
      <c r="O92" s="5">
        <v>51.73</v>
      </c>
      <c r="P92" s="4">
        <v>46014.625</v>
      </c>
      <c r="Q92" s="5">
        <v>83.62</v>
      </c>
      <c r="T92" s="4">
        <f t="shared" si="10"/>
        <v>46058.625</v>
      </c>
      <c r="U92" s="4">
        <f t="shared" si="9"/>
        <v>46058.625</v>
      </c>
    </row>
    <row r="93" spans="1:21" x14ac:dyDescent="0.25">
      <c r="A93" s="50" t="str">
        <f t="shared" ca="1" si="11"/>
        <v/>
      </c>
      <c r="B93" s="51" t="str">
        <f ca="1">IF(COUNTIF($V$2:V1078,A93)=1,VLOOKUP(A93,N:O,2), IF(COUNTIF($V$2:V1078,A93)=0,$B$9,""))</f>
        <v/>
      </c>
      <c r="C93" s="2" t="str">
        <f t="shared" ca="1" si="12"/>
        <v/>
      </c>
      <c r="D93" s="54" t="str">
        <f t="shared" ca="1" si="13"/>
        <v/>
      </c>
      <c r="E93" s="51" t="str">
        <f ca="1">IF(COUNTIF($V$2:V1078,A93)=1,VLOOKUP(A93,P:Q,2), IF(COUNTIF($V$2:V1078,A93)=0,$C$9,""))</f>
        <v/>
      </c>
      <c r="F93" s="2" t="str">
        <f t="shared" ca="1" si="14"/>
        <v/>
      </c>
      <c r="G93" s="54" t="str">
        <f t="shared" ca="1" si="15"/>
        <v/>
      </c>
      <c r="H93" s="51" t="str">
        <f ca="1">IF(COUNTIF($V$2:V1078,A93)=1,VLOOKUP(A93,R:S,2), IF(COUNTIF($V$2:V1078,A93)=0,$D$9,""))</f>
        <v/>
      </c>
      <c r="I93" s="2" t="str">
        <f t="shared" ca="1" si="16"/>
        <v/>
      </c>
      <c r="J93" s="54" t="str">
        <f t="shared" ca="1" si="17"/>
        <v/>
      </c>
      <c r="K93" s="52"/>
      <c r="L93" s="55" t="str">
        <f ca="1">IF(ISERROR(B93-2),"",C93+D93-F93-G93+I93+J93-SUM($K$14:K93))</f>
        <v/>
      </c>
      <c r="N93" s="4">
        <v>46059.625</v>
      </c>
      <c r="O93" s="5">
        <v>50.292999999999999</v>
      </c>
      <c r="P93" s="4">
        <v>46017.625</v>
      </c>
      <c r="Q93" s="5">
        <v>83.97</v>
      </c>
      <c r="T93" s="4">
        <f t="shared" si="10"/>
        <v>46059.625</v>
      </c>
      <c r="U93" s="4">
        <f t="shared" si="9"/>
        <v>46059.625</v>
      </c>
    </row>
    <row r="94" spans="1:21" x14ac:dyDescent="0.25">
      <c r="A94" s="50" t="str">
        <f t="shared" ca="1" si="11"/>
        <v/>
      </c>
      <c r="B94" s="51" t="str">
        <f ca="1">IF(COUNTIF($V$2:V1079,A94)=1,VLOOKUP(A94,N:O,2), IF(COUNTIF($V$2:V1079,A94)=0,$B$9,""))</f>
        <v/>
      </c>
      <c r="C94" s="2" t="str">
        <f t="shared" ca="1" si="12"/>
        <v/>
      </c>
      <c r="D94" s="54" t="str">
        <f t="shared" ca="1" si="13"/>
        <v/>
      </c>
      <c r="E94" s="51" t="str">
        <f ca="1">IF(COUNTIF($V$2:V1079,A94)=1,VLOOKUP(A94,P:Q,2), IF(COUNTIF($V$2:V1079,A94)=0,$C$9,""))</f>
        <v/>
      </c>
      <c r="F94" s="2" t="str">
        <f t="shared" ca="1" si="14"/>
        <v/>
      </c>
      <c r="G94" s="54" t="str">
        <f t="shared" ca="1" si="15"/>
        <v/>
      </c>
      <c r="H94" s="51" t="str">
        <f ca="1">IF(COUNTIF($V$2:V1079,A94)=1,VLOOKUP(A94,R:S,2), IF(COUNTIF($V$2:V1079,A94)=0,$D$9,""))</f>
        <v/>
      </c>
      <c r="I94" s="2" t="str">
        <f t="shared" ca="1" si="16"/>
        <v/>
      </c>
      <c r="J94" s="54" t="str">
        <f t="shared" ca="1" si="17"/>
        <v/>
      </c>
      <c r="K94" s="52"/>
      <c r="L94" s="55" t="str">
        <f ca="1">IF(ISERROR(B94-2),"",C94+D94-F94-G94+I94+J94-SUM($K$14:K94))</f>
        <v/>
      </c>
      <c r="N94" s="4">
        <v>46062.625</v>
      </c>
      <c r="O94" s="5">
        <v>49.923999999999999</v>
      </c>
      <c r="P94" s="4">
        <v>46020.625</v>
      </c>
      <c r="Q94" s="5">
        <v>84.06</v>
      </c>
      <c r="T94" s="4">
        <f t="shared" si="10"/>
        <v>46062.625</v>
      </c>
      <c r="U94" s="4">
        <f t="shared" si="9"/>
        <v>46062.625</v>
      </c>
    </row>
    <row r="95" spans="1:21" x14ac:dyDescent="0.25">
      <c r="A95" s="50" t="str">
        <f t="shared" ca="1" si="11"/>
        <v/>
      </c>
      <c r="B95" s="51" t="str">
        <f ca="1">IF(COUNTIF($V$2:V1080,A95)=1,VLOOKUP(A95,N:O,2), IF(COUNTIF($V$2:V1080,A95)=0,$B$9,""))</f>
        <v/>
      </c>
      <c r="C95" s="2" t="str">
        <f t="shared" ca="1" si="12"/>
        <v/>
      </c>
      <c r="D95" s="54" t="str">
        <f t="shared" ca="1" si="13"/>
        <v/>
      </c>
      <c r="E95" s="51" t="str">
        <f ca="1">IF(COUNTIF($V$2:V1080,A95)=1,VLOOKUP(A95,P:Q,2), IF(COUNTIF($V$2:V1080,A95)=0,$C$9,""))</f>
        <v/>
      </c>
      <c r="F95" s="2" t="str">
        <f t="shared" ca="1" si="14"/>
        <v/>
      </c>
      <c r="G95" s="54" t="str">
        <f t="shared" ca="1" si="15"/>
        <v/>
      </c>
      <c r="H95" s="51" t="str">
        <f ca="1">IF(COUNTIF($V$2:V1080,A95)=1,VLOOKUP(A95,R:S,2), IF(COUNTIF($V$2:V1080,A95)=0,$D$9,""))</f>
        <v/>
      </c>
      <c r="I95" s="2" t="str">
        <f t="shared" ca="1" si="16"/>
        <v/>
      </c>
      <c r="J95" s="54" t="str">
        <f t="shared" ca="1" si="17"/>
        <v/>
      </c>
      <c r="K95" s="52"/>
      <c r="L95" s="55" t="str">
        <f ca="1">IF(ISERROR(B95-2),"",C95+D95-F95-G95+I95+J95-SUM($K$14:K95))</f>
        <v/>
      </c>
      <c r="N95" s="4">
        <v>46063.625</v>
      </c>
      <c r="O95" s="5">
        <v>50.57</v>
      </c>
      <c r="P95" s="4">
        <v>46021.625</v>
      </c>
      <c r="Q95" s="5">
        <v>83.99</v>
      </c>
      <c r="T95" s="4">
        <f t="shared" si="10"/>
        <v>46063.625</v>
      </c>
      <c r="U95" s="4">
        <f t="shared" si="9"/>
        <v>46063.625</v>
      </c>
    </row>
    <row r="96" spans="1:21" x14ac:dyDescent="0.25">
      <c r="A96" s="50" t="str">
        <f t="shared" ca="1" si="11"/>
        <v/>
      </c>
      <c r="B96" s="51" t="str">
        <f ca="1">IF(COUNTIF($V$2:V1081,A96)=1,VLOOKUP(A96,N:O,2), IF(COUNTIF($V$2:V1081,A96)=0,$B$9,""))</f>
        <v/>
      </c>
      <c r="C96" s="2" t="str">
        <f t="shared" ca="1" si="12"/>
        <v/>
      </c>
      <c r="D96" s="54" t="str">
        <f t="shared" ca="1" si="13"/>
        <v/>
      </c>
      <c r="E96" s="51" t="str">
        <f ca="1">IF(COUNTIF($V$2:V1081,A96)=1,VLOOKUP(A96,P:Q,2), IF(COUNTIF($V$2:V1081,A96)=0,$C$9,""))</f>
        <v/>
      </c>
      <c r="F96" s="2" t="str">
        <f t="shared" ca="1" si="14"/>
        <v/>
      </c>
      <c r="G96" s="54" t="str">
        <f t="shared" ca="1" si="15"/>
        <v/>
      </c>
      <c r="H96" s="51" t="str">
        <f ca="1">IF(COUNTIF($V$2:V1081,A96)=1,VLOOKUP(A96,R:S,2), IF(COUNTIF($V$2:V1081,A96)=0,$D$9,""))</f>
        <v/>
      </c>
      <c r="I96" s="2" t="str">
        <f t="shared" ca="1" si="16"/>
        <v/>
      </c>
      <c r="J96" s="54" t="str">
        <f t="shared" ca="1" si="17"/>
        <v/>
      </c>
      <c r="K96" s="52"/>
      <c r="L96" s="55" t="str">
        <f ca="1">IF(ISERROR(B96-2),"",C96+D96-F96-G96+I96+J96-SUM($K$14:K96))</f>
        <v/>
      </c>
      <c r="N96" s="4">
        <v>46064.625</v>
      </c>
      <c r="O96" s="5">
        <v>50.381999999999998</v>
      </c>
      <c r="P96" s="4">
        <v>46022.625</v>
      </c>
      <c r="Q96" s="5">
        <v>83.75</v>
      </c>
      <c r="T96" s="4">
        <f t="shared" si="10"/>
        <v>46064.625</v>
      </c>
      <c r="U96" s="4">
        <f t="shared" si="9"/>
        <v>46064.625</v>
      </c>
    </row>
    <row r="97" spans="1:21" x14ac:dyDescent="0.25">
      <c r="A97" s="50" t="str">
        <f t="shared" ca="1" si="11"/>
        <v/>
      </c>
      <c r="B97" s="51" t="str">
        <f ca="1">IF(COUNTIF($V$2:V1082,A97)=1,VLOOKUP(A97,N:O,2), IF(COUNTIF($V$2:V1082,A97)=0,$B$9,""))</f>
        <v/>
      </c>
      <c r="C97" s="2" t="str">
        <f t="shared" ca="1" si="12"/>
        <v/>
      </c>
      <c r="D97" s="54" t="str">
        <f t="shared" ca="1" si="13"/>
        <v/>
      </c>
      <c r="E97" s="51" t="str">
        <f ca="1">IF(COUNTIF($V$2:V1082,A97)=1,VLOOKUP(A97,P:Q,2), IF(COUNTIF($V$2:V1082,A97)=0,$C$9,""))</f>
        <v/>
      </c>
      <c r="F97" s="2" t="str">
        <f t="shared" ca="1" si="14"/>
        <v/>
      </c>
      <c r="G97" s="54" t="str">
        <f t="shared" ca="1" si="15"/>
        <v/>
      </c>
      <c r="H97" s="51" t="str">
        <f ca="1">IF(COUNTIF($V$2:V1082,A97)=1,VLOOKUP(A97,R:S,2), IF(COUNTIF($V$2:V1082,A97)=0,$D$9,""))</f>
        <v/>
      </c>
      <c r="I97" s="2" t="str">
        <f t="shared" ca="1" si="16"/>
        <v/>
      </c>
      <c r="J97" s="54" t="str">
        <f t="shared" ca="1" si="17"/>
        <v/>
      </c>
      <c r="K97" s="52"/>
      <c r="L97" s="55" t="str">
        <f ca="1">IF(ISERROR(B97-2),"",C97+D97-F97-G97+I97+J97-SUM($K$14:K97))</f>
        <v/>
      </c>
      <c r="N97" s="4">
        <v>46065.625</v>
      </c>
      <c r="O97" s="5">
        <v>51.848999999999997</v>
      </c>
      <c r="P97" s="4">
        <v>46024.625</v>
      </c>
      <c r="Q97" s="5">
        <v>83.74</v>
      </c>
      <c r="T97" s="4">
        <f t="shared" si="10"/>
        <v>46065.625</v>
      </c>
      <c r="U97" s="4">
        <f t="shared" si="9"/>
        <v>46065.625</v>
      </c>
    </row>
    <row r="98" spans="1:21" x14ac:dyDescent="0.25">
      <c r="A98" s="50" t="str">
        <f t="shared" ca="1" si="11"/>
        <v/>
      </c>
      <c r="B98" s="51" t="str">
        <f ca="1">IF(COUNTIF($V$2:V1083,A98)=1,VLOOKUP(A98,N:O,2), IF(COUNTIF($V$2:V1083,A98)=0,$B$9,""))</f>
        <v/>
      </c>
      <c r="C98" s="2" t="str">
        <f t="shared" ca="1" si="12"/>
        <v/>
      </c>
      <c r="D98" s="54" t="str">
        <f t="shared" ca="1" si="13"/>
        <v/>
      </c>
      <c r="E98" s="51" t="str">
        <f ca="1">IF(COUNTIF($V$2:V1083,A98)=1,VLOOKUP(A98,P:Q,2), IF(COUNTIF($V$2:V1083,A98)=0,$C$9,""))</f>
        <v/>
      </c>
      <c r="F98" s="2" t="str">
        <f t="shared" ca="1" si="14"/>
        <v/>
      </c>
      <c r="G98" s="54" t="str">
        <f t="shared" ca="1" si="15"/>
        <v/>
      </c>
      <c r="H98" s="51" t="str">
        <f ca="1">IF(COUNTIF($V$2:V1083,A98)=1,VLOOKUP(A98,R:S,2), IF(COUNTIF($V$2:V1083,A98)=0,$D$9,""))</f>
        <v/>
      </c>
      <c r="I98" s="2" t="str">
        <f t="shared" ca="1" si="16"/>
        <v/>
      </c>
      <c r="J98" s="54" t="str">
        <f t="shared" ca="1" si="17"/>
        <v/>
      </c>
      <c r="K98" s="52"/>
      <c r="L98" s="55" t="str">
        <f ca="1">IF(ISERROR(B98-2),"",C98+D98-F98-G98+I98+J98-SUM($K$14:K98))</f>
        <v/>
      </c>
      <c r="N98" s="4">
        <v>46066.625</v>
      </c>
      <c r="O98" s="5">
        <v>52.088000000000001</v>
      </c>
      <c r="P98" s="4">
        <v>46027.625</v>
      </c>
      <c r="Q98" s="5">
        <v>83.92</v>
      </c>
      <c r="T98" s="4">
        <f t="shared" si="10"/>
        <v>46066.625</v>
      </c>
      <c r="U98" s="4">
        <f t="shared" si="9"/>
        <v>46066.625</v>
      </c>
    </row>
    <row r="99" spans="1:21" x14ac:dyDescent="0.25">
      <c r="A99" s="50" t="str">
        <f t="shared" ca="1" si="11"/>
        <v/>
      </c>
      <c r="B99" s="51" t="str">
        <f ca="1">IF(COUNTIF($V$2:V1084,A99)=1,VLOOKUP(A99,N:O,2), IF(COUNTIF($V$2:V1084,A99)=0,$B$9,""))</f>
        <v/>
      </c>
      <c r="C99" s="2" t="str">
        <f t="shared" ca="1" si="12"/>
        <v/>
      </c>
      <c r="D99" s="54" t="str">
        <f t="shared" ca="1" si="13"/>
        <v/>
      </c>
      <c r="E99" s="51" t="str">
        <f ca="1">IF(COUNTIF($V$2:V1084,A99)=1,VLOOKUP(A99,P:Q,2), IF(COUNTIF($V$2:V1084,A99)=0,$C$9,""))</f>
        <v/>
      </c>
      <c r="F99" s="2" t="str">
        <f t="shared" ca="1" si="14"/>
        <v/>
      </c>
      <c r="G99" s="54" t="str">
        <f t="shared" ca="1" si="15"/>
        <v/>
      </c>
      <c r="H99" s="51" t="str">
        <f ca="1">IF(COUNTIF($V$2:V1084,A99)=1,VLOOKUP(A99,R:S,2), IF(COUNTIF($V$2:V1084,A99)=0,$D$9,""))</f>
        <v/>
      </c>
      <c r="I99" s="2" t="str">
        <f t="shared" ca="1" si="16"/>
        <v/>
      </c>
      <c r="J99" s="54" t="str">
        <f t="shared" ca="1" si="17"/>
        <v/>
      </c>
      <c r="K99" s="52"/>
      <c r="L99" s="55" t="str">
        <f ca="1">IF(ISERROR(B99-2),"",C99+D99-F99-G99+I99+J99-SUM($K$14:K99))</f>
        <v/>
      </c>
      <c r="N99" s="4">
        <v>46070.625</v>
      </c>
      <c r="O99" s="5">
        <v>52.552999999999997</v>
      </c>
      <c r="P99" s="4">
        <v>46028.625</v>
      </c>
      <c r="Q99" s="5">
        <v>83.94</v>
      </c>
      <c r="T99" s="4">
        <f t="shared" si="10"/>
        <v>46070.625</v>
      </c>
      <c r="U99" s="4">
        <f t="shared" si="9"/>
        <v>46070.625</v>
      </c>
    </row>
    <row r="100" spans="1:21" x14ac:dyDescent="0.25">
      <c r="A100" s="50" t="str">
        <f t="shared" ca="1" si="11"/>
        <v/>
      </c>
      <c r="B100" s="51" t="str">
        <f ca="1">IF(COUNTIF($V$2:V1085,A100)=1,VLOOKUP(A100,N:O,2), IF(COUNTIF($V$2:V1085,A100)=0,$B$9,""))</f>
        <v/>
      </c>
      <c r="C100" s="2" t="str">
        <f t="shared" ca="1" si="12"/>
        <v/>
      </c>
      <c r="D100" s="54" t="str">
        <f t="shared" ca="1" si="13"/>
        <v/>
      </c>
      <c r="E100" s="51" t="str">
        <f ca="1">IF(COUNTIF($V$2:V1085,A100)=1,VLOOKUP(A100,P:Q,2), IF(COUNTIF($V$2:V1085,A100)=0,$C$9,""))</f>
        <v/>
      </c>
      <c r="F100" s="2" t="str">
        <f t="shared" ca="1" si="14"/>
        <v/>
      </c>
      <c r="G100" s="54" t="str">
        <f t="shared" ca="1" si="15"/>
        <v/>
      </c>
      <c r="H100" s="51" t="str">
        <f ca="1">IF(COUNTIF($V$2:V1085,A100)=1,VLOOKUP(A100,R:S,2), IF(COUNTIF($V$2:V1085,A100)=0,$D$9,""))</f>
        <v/>
      </c>
      <c r="I100" s="2" t="str">
        <f t="shared" ca="1" si="16"/>
        <v/>
      </c>
      <c r="J100" s="54" t="str">
        <f t="shared" ca="1" si="17"/>
        <v/>
      </c>
      <c r="K100" s="52"/>
      <c r="L100" s="55" t="str">
        <f ca="1">IF(ISERROR(B100-2),"",C100+D100-F100-G100+I100+J100-SUM($K$14:K100))</f>
        <v/>
      </c>
      <c r="N100" s="4">
        <v>46071.625</v>
      </c>
      <c r="O100" s="5">
        <v>51.68</v>
      </c>
      <c r="P100" s="4">
        <v>46029.625</v>
      </c>
      <c r="Q100" s="5">
        <v>83.95</v>
      </c>
      <c r="T100" s="4">
        <f t="shared" si="10"/>
        <v>46071.625</v>
      </c>
      <c r="U100" s="4">
        <f t="shared" si="9"/>
        <v>46071.625</v>
      </c>
    </row>
    <row r="101" spans="1:21" x14ac:dyDescent="0.25">
      <c r="A101" s="50" t="str">
        <f t="shared" ca="1" si="11"/>
        <v/>
      </c>
      <c r="B101" s="51" t="str">
        <f ca="1">IF(COUNTIF($V$2:V1086,A101)=1,VLOOKUP(A101,N:O,2), IF(COUNTIF($V$2:V1086,A101)=0,$B$9,""))</f>
        <v/>
      </c>
      <c r="C101" s="2" t="str">
        <f t="shared" ca="1" si="12"/>
        <v/>
      </c>
      <c r="D101" s="54" t="str">
        <f t="shared" ca="1" si="13"/>
        <v/>
      </c>
      <c r="E101" s="51" t="str">
        <f ca="1">IF(COUNTIF($V$2:V1086,A101)=1,VLOOKUP(A101,P:Q,2), IF(COUNTIF($V$2:V1086,A101)=0,$C$9,""))</f>
        <v/>
      </c>
      <c r="F101" s="2" t="str">
        <f t="shared" ca="1" si="14"/>
        <v/>
      </c>
      <c r="G101" s="54" t="str">
        <f t="shared" ca="1" si="15"/>
        <v/>
      </c>
      <c r="H101" s="51" t="str">
        <f ca="1">IF(COUNTIF($V$2:V1086,A101)=1,VLOOKUP(A101,R:S,2), IF(COUNTIF($V$2:V1086,A101)=0,$D$9,""))</f>
        <v/>
      </c>
      <c r="I101" s="2" t="str">
        <f t="shared" ca="1" si="16"/>
        <v/>
      </c>
      <c r="J101" s="54" t="str">
        <f t="shared" ca="1" si="17"/>
        <v/>
      </c>
      <c r="K101" s="52"/>
      <c r="L101" s="55" t="str">
        <f ca="1">IF(ISERROR(B101-2),"",C101+D101-F101-G101+I101+J101-SUM($K$14:K101))</f>
        <v/>
      </c>
      <c r="N101" s="4">
        <v>46072.625</v>
      </c>
      <c r="O101" s="5">
        <v>51.887999999999998</v>
      </c>
      <c r="P101" s="4">
        <v>46030.625</v>
      </c>
      <c r="Q101" s="5">
        <v>83.78</v>
      </c>
      <c r="T101" s="4">
        <f t="shared" si="10"/>
        <v>46072.625</v>
      </c>
      <c r="U101" s="4">
        <f t="shared" si="9"/>
        <v>46072.625</v>
      </c>
    </row>
    <row r="102" spans="1:21" x14ac:dyDescent="0.25">
      <c r="A102" s="50" t="str">
        <f t="shared" ca="1" si="11"/>
        <v/>
      </c>
      <c r="B102" s="51" t="str">
        <f ca="1">IF(COUNTIF($V$2:V1087,A102)=1,VLOOKUP(A102,N:O,2), IF(COUNTIF($V$2:V1087,A102)=0,$B$9,""))</f>
        <v/>
      </c>
      <c r="C102" s="2" t="str">
        <f t="shared" ca="1" si="12"/>
        <v/>
      </c>
      <c r="D102" s="54" t="str">
        <f t="shared" ca="1" si="13"/>
        <v/>
      </c>
      <c r="E102" s="51" t="str">
        <f ca="1">IF(COUNTIF($V$2:V1087,A102)=1,VLOOKUP(A102,P:Q,2), IF(COUNTIF($V$2:V1087,A102)=0,$C$9,""))</f>
        <v/>
      </c>
      <c r="F102" s="2" t="str">
        <f t="shared" ca="1" si="14"/>
        <v/>
      </c>
      <c r="G102" s="54" t="str">
        <f t="shared" ca="1" si="15"/>
        <v/>
      </c>
      <c r="H102" s="51" t="str">
        <f ca="1">IF(COUNTIF($V$2:V1087,A102)=1,VLOOKUP(A102,R:S,2), IF(COUNTIF($V$2:V1087,A102)=0,$D$9,""))</f>
        <v/>
      </c>
      <c r="I102" s="2" t="str">
        <f t="shared" ca="1" si="16"/>
        <v/>
      </c>
      <c r="J102" s="54" t="str">
        <f t="shared" ca="1" si="17"/>
        <v/>
      </c>
      <c r="K102" s="52"/>
      <c r="L102" s="55" t="str">
        <f ca="1">IF(ISERROR(B102-2),"",C102+D102-F102-G102+I102+J102-SUM($K$14:K102))</f>
        <v/>
      </c>
      <c r="N102" s="4">
        <v>46073.625</v>
      </c>
      <c r="O102" s="5">
        <v>51.508000000000003</v>
      </c>
      <c r="P102" s="4">
        <v>46031.625</v>
      </c>
      <c r="Q102" s="5">
        <v>83.91</v>
      </c>
      <c r="T102" s="4">
        <f t="shared" si="10"/>
        <v>46073.625</v>
      </c>
      <c r="U102" s="4">
        <f t="shared" si="9"/>
        <v>46073.625</v>
      </c>
    </row>
    <row r="103" spans="1:21" x14ac:dyDescent="0.25">
      <c r="A103" s="50" t="str">
        <f t="shared" ca="1" si="11"/>
        <v/>
      </c>
      <c r="B103" s="51" t="str">
        <f ca="1">IF(COUNTIF($V$2:V1088,A103)=1,VLOOKUP(A103,N:O,2), IF(COUNTIF($V$2:V1088,A103)=0,$B$9,""))</f>
        <v/>
      </c>
      <c r="C103" s="2" t="str">
        <f t="shared" ca="1" si="12"/>
        <v/>
      </c>
      <c r="D103" s="54" t="str">
        <f t="shared" ca="1" si="13"/>
        <v/>
      </c>
      <c r="E103" s="51" t="str">
        <f ca="1">IF(COUNTIF($V$2:V1088,A103)=1,VLOOKUP(A103,P:Q,2), IF(COUNTIF($V$2:V1088,A103)=0,$C$9,""))</f>
        <v/>
      </c>
      <c r="F103" s="2" t="str">
        <f t="shared" ca="1" si="14"/>
        <v/>
      </c>
      <c r="G103" s="54" t="str">
        <f t="shared" ca="1" si="15"/>
        <v/>
      </c>
      <c r="H103" s="51" t="str">
        <f ca="1">IF(COUNTIF($V$2:V1088,A103)=1,VLOOKUP(A103,R:S,2), IF(COUNTIF($V$2:V1088,A103)=0,$D$9,""))</f>
        <v/>
      </c>
      <c r="I103" s="2" t="str">
        <f t="shared" ca="1" si="16"/>
        <v/>
      </c>
      <c r="J103" s="54" t="str">
        <f t="shared" ca="1" si="17"/>
        <v/>
      </c>
      <c r="K103" s="52"/>
      <c r="L103" s="55" t="str">
        <f ca="1">IF(ISERROR(B103-2),"",C103+D103-F103-G103+I103+J103-SUM($K$14:K103))</f>
        <v/>
      </c>
      <c r="N103" s="4">
        <v>46076.625</v>
      </c>
      <c r="O103" s="5">
        <v>52.526000000000003</v>
      </c>
      <c r="P103" s="4">
        <v>46034.625</v>
      </c>
      <c r="Q103" s="5">
        <v>83.83</v>
      </c>
      <c r="T103" s="4">
        <f t="shared" si="10"/>
        <v>46076.625</v>
      </c>
      <c r="U103" s="4">
        <f t="shared" si="9"/>
        <v>46076.625</v>
      </c>
    </row>
    <row r="104" spans="1:21" x14ac:dyDescent="0.25">
      <c r="A104" s="50" t="str">
        <f t="shared" ca="1" si="11"/>
        <v/>
      </c>
      <c r="B104" s="51" t="str">
        <f ca="1">IF(COUNTIF($V$2:V1089,A104)=1,VLOOKUP(A104,N:O,2), IF(COUNTIF($V$2:V1089,A104)=0,$B$9,""))</f>
        <v/>
      </c>
      <c r="C104" s="2" t="str">
        <f t="shared" ca="1" si="12"/>
        <v/>
      </c>
      <c r="D104" s="54" t="str">
        <f t="shared" ca="1" si="13"/>
        <v/>
      </c>
      <c r="E104" s="51" t="str">
        <f ca="1">IF(COUNTIF($V$2:V1089,A104)=1,VLOOKUP(A104,P:Q,2), IF(COUNTIF($V$2:V1089,A104)=0,$C$9,""))</f>
        <v/>
      </c>
      <c r="F104" s="2" t="str">
        <f t="shared" ca="1" si="14"/>
        <v/>
      </c>
      <c r="G104" s="54" t="str">
        <f t="shared" ca="1" si="15"/>
        <v/>
      </c>
      <c r="H104" s="51" t="str">
        <f ca="1">IF(COUNTIF($V$2:V1089,A104)=1,VLOOKUP(A104,R:S,2), IF(COUNTIF($V$2:V1089,A104)=0,$D$9,""))</f>
        <v/>
      </c>
      <c r="I104" s="2" t="str">
        <f t="shared" ca="1" si="16"/>
        <v/>
      </c>
      <c r="J104" s="54" t="str">
        <f t="shared" ca="1" si="17"/>
        <v/>
      </c>
      <c r="K104" s="52"/>
      <c r="L104" s="55" t="str">
        <f ca="1">IF(ISERROR(B104-2),"",C104+D104-F104-G104+I104+J104-SUM($K$14:K104))</f>
        <v/>
      </c>
      <c r="N104" s="4">
        <v>46077.625</v>
      </c>
      <c r="O104" s="5">
        <v>52.838000000000001</v>
      </c>
      <c r="P104" s="4">
        <v>46035.625</v>
      </c>
      <c r="Q104" s="5">
        <v>84</v>
      </c>
      <c r="T104" s="4">
        <f t="shared" si="10"/>
        <v>46077.625</v>
      </c>
      <c r="U104" s="4">
        <f t="shared" si="9"/>
        <v>46077.625</v>
      </c>
    </row>
    <row r="105" spans="1:21" x14ac:dyDescent="0.25">
      <c r="A105" s="50" t="str">
        <f t="shared" ca="1" si="11"/>
        <v/>
      </c>
      <c r="B105" s="51" t="str">
        <f ca="1">IF(COUNTIF($V$2:V1090,A105)=1,VLOOKUP(A105,N:O,2), IF(COUNTIF($V$2:V1090,A105)=0,$B$9,""))</f>
        <v/>
      </c>
      <c r="C105" s="2" t="str">
        <f t="shared" ca="1" si="12"/>
        <v/>
      </c>
      <c r="D105" s="54" t="str">
        <f t="shared" ca="1" si="13"/>
        <v/>
      </c>
      <c r="E105" s="51" t="str">
        <f ca="1">IF(COUNTIF($V$2:V1090,A105)=1,VLOOKUP(A105,P:Q,2), IF(COUNTIF($V$2:V1090,A105)=0,$C$9,""))</f>
        <v/>
      </c>
      <c r="F105" s="2" t="str">
        <f t="shared" ca="1" si="14"/>
        <v/>
      </c>
      <c r="G105" s="54" t="str">
        <f t="shared" ca="1" si="15"/>
        <v/>
      </c>
      <c r="H105" s="51" t="str">
        <f ca="1">IF(COUNTIF($V$2:V1090,A105)=1,VLOOKUP(A105,R:S,2), IF(COUNTIF($V$2:V1090,A105)=0,$D$9,""))</f>
        <v/>
      </c>
      <c r="I105" s="2" t="str">
        <f t="shared" ca="1" si="16"/>
        <v/>
      </c>
      <c r="J105" s="54" t="str">
        <f t="shared" ca="1" si="17"/>
        <v/>
      </c>
      <c r="K105" s="52"/>
      <c r="L105" s="55" t="str">
        <f ca="1">IF(ISERROR(B105-2),"",C105+D105-F105-G105+I105+J105-SUM($K$14:K105))</f>
        <v/>
      </c>
      <c r="N105" s="4">
        <v>46078.625</v>
      </c>
      <c r="O105" s="5">
        <v>52.494</v>
      </c>
      <c r="P105" s="4">
        <v>46036.625</v>
      </c>
      <c r="Q105" s="5">
        <v>84.1</v>
      </c>
      <c r="T105" s="4">
        <f t="shared" si="10"/>
        <v>46078.625</v>
      </c>
      <c r="U105" s="4">
        <f t="shared" si="9"/>
        <v>46078.625</v>
      </c>
    </row>
    <row r="106" spans="1:21" x14ac:dyDescent="0.25">
      <c r="A106" s="50" t="str">
        <f t="shared" ca="1" si="11"/>
        <v/>
      </c>
      <c r="B106" s="51" t="str">
        <f ca="1">IF(COUNTIF($V$2:V1091,A106)=1,VLOOKUP(A106,N:O,2), IF(COUNTIF($V$2:V1091,A106)=0,$B$9,""))</f>
        <v/>
      </c>
      <c r="C106" s="2" t="str">
        <f t="shared" ca="1" si="12"/>
        <v/>
      </c>
      <c r="D106" s="54" t="str">
        <f t="shared" ca="1" si="13"/>
        <v/>
      </c>
      <c r="E106" s="51" t="str">
        <f ca="1">IF(COUNTIF($V$2:V1091,A106)=1,VLOOKUP(A106,P:Q,2), IF(COUNTIF($V$2:V1091,A106)=0,$C$9,""))</f>
        <v/>
      </c>
      <c r="F106" s="2" t="str">
        <f t="shared" ca="1" si="14"/>
        <v/>
      </c>
      <c r="G106" s="54" t="str">
        <f t="shared" ca="1" si="15"/>
        <v/>
      </c>
      <c r="H106" s="51" t="str">
        <f ca="1">IF(COUNTIF($V$2:V1091,A106)=1,VLOOKUP(A106,R:S,2), IF(COUNTIF($V$2:V1091,A106)=0,$D$9,""))</f>
        <v/>
      </c>
      <c r="I106" s="2" t="str">
        <f t="shared" ca="1" si="16"/>
        <v/>
      </c>
      <c r="J106" s="54" t="str">
        <f t="shared" ca="1" si="17"/>
        <v/>
      </c>
      <c r="K106" s="52"/>
      <c r="L106" s="55" t="str">
        <f ca="1">IF(ISERROR(B106-2),"",C106+D106-F106-G106+I106+J106-SUM($K$14:K106))</f>
        <v/>
      </c>
      <c r="N106" s="4">
        <v>46079.625</v>
      </c>
      <c r="O106" s="5">
        <v>53.575000000000003</v>
      </c>
      <c r="P106" s="4">
        <v>46037.625</v>
      </c>
      <c r="Q106" s="5">
        <v>83.97</v>
      </c>
      <c r="T106" s="4">
        <f t="shared" si="10"/>
        <v>46079.625</v>
      </c>
      <c r="U106" s="4">
        <f t="shared" si="9"/>
        <v>46079.625</v>
      </c>
    </row>
    <row r="107" spans="1:21" x14ac:dyDescent="0.25">
      <c r="A107" s="50" t="str">
        <f t="shared" ca="1" si="11"/>
        <v/>
      </c>
      <c r="B107" s="51" t="str">
        <f ca="1">IF(COUNTIF($V$2:V1092,A107)=1,VLOOKUP(A107,N:O,2), IF(COUNTIF($V$2:V1092,A107)=0,$B$9,""))</f>
        <v/>
      </c>
      <c r="C107" s="2" t="str">
        <f t="shared" ca="1" si="12"/>
        <v/>
      </c>
      <c r="D107" s="54" t="str">
        <f t="shared" ca="1" si="13"/>
        <v/>
      </c>
      <c r="E107" s="51" t="str">
        <f ca="1">IF(COUNTIF($V$2:V1092,A107)=1,VLOOKUP(A107,P:Q,2), IF(COUNTIF($V$2:V1092,A107)=0,$C$9,""))</f>
        <v/>
      </c>
      <c r="F107" s="2" t="str">
        <f t="shared" ca="1" si="14"/>
        <v/>
      </c>
      <c r="G107" s="54" t="str">
        <f t="shared" ca="1" si="15"/>
        <v/>
      </c>
      <c r="H107" s="51" t="str">
        <f ca="1">IF(COUNTIF($V$2:V1092,A107)=1,VLOOKUP(A107,R:S,2), IF(COUNTIF($V$2:V1092,A107)=0,$D$9,""))</f>
        <v/>
      </c>
      <c r="I107" s="2" t="str">
        <f t="shared" ca="1" si="16"/>
        <v/>
      </c>
      <c r="J107" s="54" t="str">
        <f t="shared" ca="1" si="17"/>
        <v/>
      </c>
      <c r="K107" s="52"/>
      <c r="L107" s="55" t="str">
        <f ca="1">IF(ISERROR(B107-2),"",C107+D107-F107-G107+I107+J107-SUM($K$14:K107))</f>
        <v/>
      </c>
      <c r="N107" s="4">
        <v>46080.625</v>
      </c>
      <c r="O107" s="5">
        <v>55.817999999999998</v>
      </c>
      <c r="P107" s="4">
        <v>46038.625</v>
      </c>
      <c r="Q107" s="5">
        <v>83.78</v>
      </c>
      <c r="T107" s="4">
        <f t="shared" si="10"/>
        <v>46080.625</v>
      </c>
      <c r="U107" s="4">
        <f t="shared" si="9"/>
        <v>46080.625</v>
      </c>
    </row>
    <row r="108" spans="1:21" x14ac:dyDescent="0.25">
      <c r="A108" s="50" t="str">
        <f t="shared" ca="1" si="11"/>
        <v/>
      </c>
      <c r="B108" s="51" t="str">
        <f ca="1">IF(COUNTIF($V$2:V1093,A108)=1,VLOOKUP(A108,N:O,2), IF(COUNTIF($V$2:V1093,A108)=0,$B$9,""))</f>
        <v/>
      </c>
      <c r="C108" s="2" t="str">
        <f t="shared" ca="1" si="12"/>
        <v/>
      </c>
      <c r="D108" s="54" t="str">
        <f t="shared" ca="1" si="13"/>
        <v/>
      </c>
      <c r="E108" s="51" t="str">
        <f ca="1">IF(COUNTIF($V$2:V1093,A108)=1,VLOOKUP(A108,P:Q,2), IF(COUNTIF($V$2:V1093,A108)=0,$C$9,""))</f>
        <v/>
      </c>
      <c r="F108" s="2" t="str">
        <f t="shared" ca="1" si="14"/>
        <v/>
      </c>
      <c r="G108" s="54" t="str">
        <f t="shared" ca="1" si="15"/>
        <v/>
      </c>
      <c r="H108" s="51" t="str">
        <f ca="1">IF(COUNTIF($V$2:V1093,A108)=1,VLOOKUP(A108,R:S,2), IF(COUNTIF($V$2:V1093,A108)=0,$D$9,""))</f>
        <v/>
      </c>
      <c r="I108" s="2" t="str">
        <f t="shared" ca="1" si="16"/>
        <v/>
      </c>
      <c r="J108" s="54" t="str">
        <f t="shared" ca="1" si="17"/>
        <v/>
      </c>
      <c r="K108" s="52"/>
      <c r="L108" s="55" t="str">
        <f ca="1">IF(ISERROR(B108-2),"",C108+D108-F108-G108+I108+J108-SUM($K$14:K108))</f>
        <v/>
      </c>
      <c r="P108" s="4">
        <v>46042.625</v>
      </c>
      <c r="Q108" s="5">
        <v>83.48</v>
      </c>
      <c r="T108" s="4" t="str">
        <f t="shared" si="10"/>
        <v/>
      </c>
      <c r="U108" s="4" t="str">
        <f t="shared" si="9"/>
        <v/>
      </c>
    </row>
    <row r="109" spans="1:21" x14ac:dyDescent="0.25">
      <c r="A109" s="50" t="str">
        <f t="shared" ca="1" si="11"/>
        <v/>
      </c>
      <c r="B109" s="51" t="str">
        <f ca="1">IF(COUNTIF($V$2:V1094,A109)=1,VLOOKUP(A109,N:O,2), IF(COUNTIF($V$2:V1094,A109)=0,$B$9,""))</f>
        <v/>
      </c>
      <c r="C109" s="2" t="str">
        <f t="shared" ca="1" si="12"/>
        <v/>
      </c>
      <c r="D109" s="54" t="str">
        <f t="shared" ca="1" si="13"/>
        <v/>
      </c>
      <c r="E109" s="51" t="str">
        <f ca="1">IF(COUNTIF($V$2:V1094,A109)=1,VLOOKUP(A109,P:Q,2), IF(COUNTIF($V$2:V1094,A109)=0,$C$9,""))</f>
        <v/>
      </c>
      <c r="F109" s="2" t="str">
        <f t="shared" ca="1" si="14"/>
        <v/>
      </c>
      <c r="G109" s="54" t="str">
        <f t="shared" ca="1" si="15"/>
        <v/>
      </c>
      <c r="H109" s="51" t="str">
        <f ca="1">IF(COUNTIF($V$2:V1094,A109)=1,VLOOKUP(A109,R:S,2), IF(COUNTIF($V$2:V1094,A109)=0,$D$9,""))</f>
        <v/>
      </c>
      <c r="I109" s="2" t="str">
        <f t="shared" ca="1" si="16"/>
        <v/>
      </c>
      <c r="J109" s="54" t="str">
        <f t="shared" ca="1" si="17"/>
        <v/>
      </c>
      <c r="K109" s="52"/>
      <c r="L109" s="55" t="str">
        <f ca="1">IF(ISERROR(B109-2),"",C109+D109-F109-G109+I109+J109-SUM($K$14:K109))</f>
        <v/>
      </c>
      <c r="P109" s="4">
        <v>46043.625</v>
      </c>
      <c r="Q109" s="5">
        <v>83.81</v>
      </c>
      <c r="T109" s="4" t="str">
        <f t="shared" si="10"/>
        <v/>
      </c>
      <c r="U109" s="4" t="str">
        <f t="shared" si="9"/>
        <v/>
      </c>
    </row>
    <row r="110" spans="1:21" x14ac:dyDescent="0.25">
      <c r="A110" s="50" t="str">
        <f t="shared" ca="1" si="11"/>
        <v/>
      </c>
      <c r="B110" s="51" t="str">
        <f ca="1">IF(COUNTIF($V$2:V1095,A110)=1,VLOOKUP(A110,N:O,2), IF(COUNTIF($V$2:V1095,A110)=0,$B$9,""))</f>
        <v/>
      </c>
      <c r="C110" s="2" t="str">
        <f t="shared" ca="1" si="12"/>
        <v/>
      </c>
      <c r="D110" s="54" t="str">
        <f t="shared" ca="1" si="13"/>
        <v/>
      </c>
      <c r="E110" s="51" t="str">
        <f ca="1">IF(COUNTIF($V$2:V1095,A110)=1,VLOOKUP(A110,P:Q,2), IF(COUNTIF($V$2:V1095,A110)=0,$C$9,""))</f>
        <v/>
      </c>
      <c r="F110" s="2" t="str">
        <f t="shared" ca="1" si="14"/>
        <v/>
      </c>
      <c r="G110" s="54" t="str">
        <f t="shared" ca="1" si="15"/>
        <v/>
      </c>
      <c r="H110" s="51" t="str">
        <f ca="1">IF(COUNTIF($V$2:V1095,A110)=1,VLOOKUP(A110,R:S,2), IF(COUNTIF($V$2:V1095,A110)=0,$D$9,""))</f>
        <v/>
      </c>
      <c r="I110" s="2" t="str">
        <f t="shared" ca="1" si="16"/>
        <v/>
      </c>
      <c r="J110" s="54" t="str">
        <f t="shared" ca="1" si="17"/>
        <v/>
      </c>
      <c r="K110" s="52"/>
      <c r="L110" s="55" t="str">
        <f ca="1">IF(ISERROR(B110-2),"",C110+D110-F110-G110+I110+J110-SUM($K$14:K110))</f>
        <v/>
      </c>
      <c r="P110" s="4">
        <v>46044.625</v>
      </c>
      <c r="Q110" s="5">
        <v>83.83</v>
      </c>
      <c r="T110" s="4" t="str">
        <f t="shared" si="10"/>
        <v/>
      </c>
      <c r="U110" s="4" t="str">
        <f t="shared" si="9"/>
        <v/>
      </c>
    </row>
    <row r="111" spans="1:21" x14ac:dyDescent="0.25">
      <c r="A111" s="50" t="str">
        <f t="shared" ca="1" si="11"/>
        <v/>
      </c>
      <c r="B111" s="51" t="str">
        <f ca="1">IF(COUNTIF($V$2:V1096,A111)=1,VLOOKUP(A111,N:O,2), IF(COUNTIF($V$2:V1096,A111)=0,$B$9,""))</f>
        <v/>
      </c>
      <c r="C111" s="2" t="str">
        <f t="shared" ca="1" si="12"/>
        <v/>
      </c>
      <c r="D111" s="54" t="str">
        <f t="shared" ca="1" si="13"/>
        <v/>
      </c>
      <c r="E111" s="51" t="str">
        <f ca="1">IF(COUNTIF($V$2:V1096,A111)=1,VLOOKUP(A111,P:Q,2), IF(COUNTIF($V$2:V1096,A111)=0,$C$9,""))</f>
        <v/>
      </c>
      <c r="F111" s="2" t="str">
        <f t="shared" ca="1" si="14"/>
        <v/>
      </c>
      <c r="G111" s="54" t="str">
        <f t="shared" ca="1" si="15"/>
        <v/>
      </c>
      <c r="H111" s="51" t="str">
        <f ca="1">IF(COUNTIF($V$2:V1096,A111)=1,VLOOKUP(A111,R:S,2), IF(COUNTIF($V$2:V1096,A111)=0,$D$9,""))</f>
        <v/>
      </c>
      <c r="I111" s="2" t="str">
        <f t="shared" ca="1" si="16"/>
        <v/>
      </c>
      <c r="J111" s="54" t="str">
        <f t="shared" ca="1" si="17"/>
        <v/>
      </c>
      <c r="K111" s="52"/>
      <c r="L111" s="55" t="str">
        <f ca="1">IF(ISERROR(B111-2),"",C111+D111-F111-G111+I111+J111-SUM($K$14:K111))</f>
        <v/>
      </c>
      <c r="P111" s="4">
        <v>46045.625</v>
      </c>
      <c r="Q111" s="5">
        <v>83.89</v>
      </c>
      <c r="T111" s="4" t="str">
        <f t="shared" si="10"/>
        <v/>
      </c>
      <c r="U111" s="4" t="str">
        <f t="shared" si="9"/>
        <v/>
      </c>
    </row>
    <row r="112" spans="1:21" x14ac:dyDescent="0.25">
      <c r="A112" s="50" t="str">
        <f t="shared" ca="1" si="11"/>
        <v/>
      </c>
      <c r="B112" s="51" t="str">
        <f ca="1">IF(COUNTIF($V$2:V1097,A112)=1,VLOOKUP(A112,N:O,2), IF(COUNTIF($V$2:V1097,A112)=0,$B$9,""))</f>
        <v/>
      </c>
      <c r="C112" s="2" t="str">
        <f t="shared" ca="1" si="12"/>
        <v/>
      </c>
      <c r="D112" s="54" t="str">
        <f t="shared" ca="1" si="13"/>
        <v/>
      </c>
      <c r="E112" s="51" t="str">
        <f ca="1">IF(COUNTIF($V$2:V1097,A112)=1,VLOOKUP(A112,P:Q,2), IF(COUNTIF($V$2:V1097,A112)=0,$C$9,""))</f>
        <v/>
      </c>
      <c r="F112" s="2" t="str">
        <f t="shared" ca="1" si="14"/>
        <v/>
      </c>
      <c r="G112" s="54" t="str">
        <f t="shared" ca="1" si="15"/>
        <v/>
      </c>
      <c r="H112" s="51" t="str">
        <f ca="1">IF(COUNTIF($V$2:V1097,A112)=1,VLOOKUP(A112,R:S,2), IF(COUNTIF($V$2:V1097,A112)=0,$D$9,""))</f>
        <v/>
      </c>
      <c r="I112" s="2" t="str">
        <f t="shared" ca="1" si="16"/>
        <v/>
      </c>
      <c r="J112" s="54" t="str">
        <f t="shared" ca="1" si="17"/>
        <v/>
      </c>
      <c r="K112" s="52"/>
      <c r="L112" s="55" t="str">
        <f ca="1">IF(ISERROR(B112-2),"",C112+D112-F112-G112+I112+J112-SUM($K$14:K112))</f>
        <v/>
      </c>
      <c r="P112" s="4">
        <v>46048.625</v>
      </c>
      <c r="Q112" s="5">
        <v>83.97</v>
      </c>
      <c r="T112" s="4" t="str">
        <f t="shared" si="10"/>
        <v/>
      </c>
      <c r="U112" s="4" t="str">
        <f t="shared" si="9"/>
        <v/>
      </c>
    </row>
    <row r="113" spans="1:21" x14ac:dyDescent="0.25">
      <c r="A113" s="50" t="str">
        <f t="shared" ca="1" si="11"/>
        <v/>
      </c>
      <c r="B113" s="51" t="str">
        <f ca="1">IF(COUNTIF($V$2:V1098,A113)=1,VLOOKUP(A113,N:O,2), IF(COUNTIF($V$2:V1098,A113)=0,$B$9,""))</f>
        <v/>
      </c>
      <c r="C113" s="2" t="str">
        <f t="shared" ca="1" si="12"/>
        <v/>
      </c>
      <c r="D113" s="54" t="str">
        <f t="shared" ca="1" si="13"/>
        <v/>
      </c>
      <c r="E113" s="51" t="str">
        <f ca="1">IF(COUNTIF($V$2:V1098,A113)=1,VLOOKUP(A113,P:Q,2), IF(COUNTIF($V$2:V1098,A113)=0,$C$9,""))</f>
        <v/>
      </c>
      <c r="F113" s="2" t="str">
        <f t="shared" ca="1" si="14"/>
        <v/>
      </c>
      <c r="G113" s="54" t="str">
        <f t="shared" ca="1" si="15"/>
        <v/>
      </c>
      <c r="H113" s="51" t="str">
        <f ca="1">IF(COUNTIF($V$2:V1098,A113)=1,VLOOKUP(A113,R:S,2), IF(COUNTIF($V$2:V1098,A113)=0,$D$9,""))</f>
        <v/>
      </c>
      <c r="I113" s="2" t="str">
        <f t="shared" ca="1" si="16"/>
        <v/>
      </c>
      <c r="J113" s="54" t="str">
        <f t="shared" ca="1" si="17"/>
        <v/>
      </c>
      <c r="K113" s="52"/>
      <c r="L113" s="55" t="str">
        <f ca="1">IF(ISERROR(B113-2),"",C113+D113-F113-G113+I113+J113-SUM($K$14:K113))</f>
        <v/>
      </c>
      <c r="P113" s="4">
        <v>46049.625</v>
      </c>
      <c r="Q113" s="5">
        <v>83.96</v>
      </c>
      <c r="T113" s="4" t="str">
        <f t="shared" si="10"/>
        <v/>
      </c>
      <c r="U113" s="4" t="str">
        <f t="shared" si="9"/>
        <v/>
      </c>
    </row>
    <row r="114" spans="1:21" x14ac:dyDescent="0.25">
      <c r="A114" s="50" t="str">
        <f t="shared" ca="1" si="11"/>
        <v/>
      </c>
      <c r="B114" s="51" t="str">
        <f ca="1">IF(COUNTIF($V$2:V1099,A114)=1,VLOOKUP(A114,N:O,2), IF(COUNTIF($V$2:V1099,A114)=0,$B$9,""))</f>
        <v/>
      </c>
      <c r="C114" s="2" t="str">
        <f t="shared" ca="1" si="12"/>
        <v/>
      </c>
      <c r="D114" s="54" t="str">
        <f t="shared" ca="1" si="13"/>
        <v/>
      </c>
      <c r="E114" s="51" t="str">
        <f ca="1">IF(COUNTIF($V$2:V1099,A114)=1,VLOOKUP(A114,P:Q,2), IF(COUNTIF($V$2:V1099,A114)=0,$C$9,""))</f>
        <v/>
      </c>
      <c r="F114" s="2" t="str">
        <f t="shared" ca="1" si="14"/>
        <v/>
      </c>
      <c r="G114" s="54" t="str">
        <f t="shared" ca="1" si="15"/>
        <v/>
      </c>
      <c r="H114" s="51" t="str">
        <f ca="1">IF(COUNTIF($V$2:V1099,A114)=1,VLOOKUP(A114,R:S,2), IF(COUNTIF($V$2:V1099,A114)=0,$D$9,""))</f>
        <v/>
      </c>
      <c r="I114" s="2" t="str">
        <f t="shared" ca="1" si="16"/>
        <v/>
      </c>
      <c r="J114" s="54" t="str">
        <f t="shared" ca="1" si="17"/>
        <v/>
      </c>
      <c r="K114" s="52"/>
      <c r="L114" s="55" t="str">
        <f ca="1">IF(ISERROR(B114-2),"",C114+D114-F114-G114+I114+J114-SUM($K$14:K114))</f>
        <v/>
      </c>
      <c r="P114" s="4">
        <v>46050.625</v>
      </c>
      <c r="Q114" s="5">
        <v>83.91</v>
      </c>
      <c r="T114" s="4" t="str">
        <f t="shared" si="10"/>
        <v/>
      </c>
      <c r="U114" s="4" t="str">
        <f t="shared" si="9"/>
        <v/>
      </c>
    </row>
    <row r="115" spans="1:21" x14ac:dyDescent="0.25">
      <c r="A115" s="50" t="str">
        <f t="shared" ca="1" si="11"/>
        <v/>
      </c>
      <c r="B115" s="51" t="str">
        <f ca="1">IF(COUNTIF($V$2:V1100,A115)=1,VLOOKUP(A115,N:O,2), IF(COUNTIF($V$2:V1100,A115)=0,$B$9,""))</f>
        <v/>
      </c>
      <c r="C115" s="2" t="str">
        <f t="shared" ca="1" si="12"/>
        <v/>
      </c>
      <c r="D115" s="54" t="str">
        <f t="shared" ca="1" si="13"/>
        <v/>
      </c>
      <c r="E115" s="51" t="str">
        <f ca="1">IF(COUNTIF($V$2:V1100,A115)=1,VLOOKUP(A115,P:Q,2), IF(COUNTIF($V$2:V1100,A115)=0,$C$9,""))</f>
        <v/>
      </c>
      <c r="F115" s="2" t="str">
        <f t="shared" ca="1" si="14"/>
        <v/>
      </c>
      <c r="G115" s="54" t="str">
        <f t="shared" ca="1" si="15"/>
        <v/>
      </c>
      <c r="H115" s="51" t="str">
        <f ca="1">IF(COUNTIF($V$2:V1100,A115)=1,VLOOKUP(A115,R:S,2), IF(COUNTIF($V$2:V1100,A115)=0,$D$9,""))</f>
        <v/>
      </c>
      <c r="I115" s="2" t="str">
        <f t="shared" ca="1" si="16"/>
        <v/>
      </c>
      <c r="J115" s="54" t="str">
        <f t="shared" ca="1" si="17"/>
        <v/>
      </c>
      <c r="K115" s="52"/>
      <c r="L115" s="55" t="str">
        <f ca="1">IF(ISERROR(B115-2),"",C115+D115-F115-G115+I115+J115-SUM($K$14:K115))</f>
        <v/>
      </c>
      <c r="P115" s="4">
        <v>46051.625</v>
      </c>
      <c r="Q115" s="5">
        <v>83.96</v>
      </c>
      <c r="T115" s="4" t="str">
        <f t="shared" si="10"/>
        <v/>
      </c>
      <c r="U115" s="4" t="str">
        <f t="shared" si="9"/>
        <v/>
      </c>
    </row>
    <row r="116" spans="1:21" x14ac:dyDescent="0.25">
      <c r="A116" s="50" t="str">
        <f t="shared" ca="1" si="11"/>
        <v/>
      </c>
      <c r="B116" s="51" t="str">
        <f ca="1">IF(COUNTIF($V$2:V1101,A116)=1,VLOOKUP(A116,N:O,2), IF(COUNTIF($V$2:V1101,A116)=0,$B$9,""))</f>
        <v/>
      </c>
      <c r="C116" s="2" t="str">
        <f t="shared" ca="1" si="12"/>
        <v/>
      </c>
      <c r="D116" s="54" t="str">
        <f t="shared" ca="1" si="13"/>
        <v/>
      </c>
      <c r="E116" s="51" t="str">
        <f ca="1">IF(COUNTIF($V$2:V1101,A116)=1,VLOOKUP(A116,P:Q,2), IF(COUNTIF($V$2:V1101,A116)=0,$C$9,""))</f>
        <v/>
      </c>
      <c r="F116" s="2" t="str">
        <f t="shared" ca="1" si="14"/>
        <v/>
      </c>
      <c r="G116" s="54" t="str">
        <f t="shared" ca="1" si="15"/>
        <v/>
      </c>
      <c r="H116" s="51" t="str">
        <f ca="1">IF(COUNTIF($V$2:V1101,A116)=1,VLOOKUP(A116,R:S,2), IF(COUNTIF($V$2:V1101,A116)=0,$D$9,""))</f>
        <v/>
      </c>
      <c r="I116" s="2" t="str">
        <f t="shared" ca="1" si="16"/>
        <v/>
      </c>
      <c r="J116" s="54" t="str">
        <f t="shared" ca="1" si="17"/>
        <v/>
      </c>
      <c r="K116" s="52"/>
      <c r="L116" s="55" t="str">
        <f ca="1">IF(ISERROR(B116-2),"",C116+D116-F116-G116+I116+J116-SUM($K$14:K116))</f>
        <v/>
      </c>
      <c r="P116" s="4">
        <v>46052.625</v>
      </c>
      <c r="Q116" s="5">
        <v>83.95</v>
      </c>
      <c r="T116" s="4" t="str">
        <f t="shared" si="10"/>
        <v/>
      </c>
      <c r="U116" s="4" t="str">
        <f t="shared" si="9"/>
        <v/>
      </c>
    </row>
    <row r="117" spans="1:21" x14ac:dyDescent="0.25">
      <c r="A117" s="50" t="str">
        <f t="shared" ca="1" si="11"/>
        <v/>
      </c>
      <c r="B117" s="51" t="str">
        <f ca="1">IF(COUNTIF($V$2:V1102,A117)=1,VLOOKUP(A117,N:O,2), IF(COUNTIF($V$2:V1102,A117)=0,$B$9,""))</f>
        <v/>
      </c>
      <c r="C117" s="2" t="str">
        <f t="shared" ca="1" si="12"/>
        <v/>
      </c>
      <c r="D117" s="54" t="str">
        <f t="shared" ca="1" si="13"/>
        <v/>
      </c>
      <c r="E117" s="51" t="str">
        <f ca="1">IF(COUNTIF($V$2:V1102,A117)=1,VLOOKUP(A117,P:Q,2), IF(COUNTIF($V$2:V1102,A117)=0,$C$9,""))</f>
        <v/>
      </c>
      <c r="F117" s="2" t="str">
        <f t="shared" ca="1" si="14"/>
        <v/>
      </c>
      <c r="G117" s="54" t="str">
        <f t="shared" ca="1" si="15"/>
        <v/>
      </c>
      <c r="H117" s="51" t="str">
        <f ca="1">IF(COUNTIF($V$2:V1102,A117)=1,VLOOKUP(A117,R:S,2), IF(COUNTIF($V$2:V1102,A117)=0,$D$9,""))</f>
        <v/>
      </c>
      <c r="I117" s="2" t="str">
        <f t="shared" ca="1" si="16"/>
        <v/>
      </c>
      <c r="J117" s="54" t="str">
        <f t="shared" ca="1" si="17"/>
        <v/>
      </c>
      <c r="K117" s="52"/>
      <c r="L117" s="55" t="str">
        <f ca="1">IF(ISERROR(B117-2),"",C117+D117-F117-G117+I117+J117-SUM($K$14:K117))</f>
        <v/>
      </c>
      <c r="P117" s="4">
        <v>46055.625</v>
      </c>
      <c r="Q117" s="5">
        <v>83.52</v>
      </c>
      <c r="T117" s="4" t="str">
        <f t="shared" si="10"/>
        <v/>
      </c>
      <c r="U117" s="4" t="str">
        <f t="shared" si="9"/>
        <v/>
      </c>
    </row>
    <row r="118" spans="1:21" x14ac:dyDescent="0.25">
      <c r="A118" s="50" t="str">
        <f t="shared" ca="1" si="11"/>
        <v/>
      </c>
      <c r="B118" s="51" t="str">
        <f ca="1">IF(COUNTIF($V$2:V1103,A118)=1,VLOOKUP(A118,N:O,2), IF(COUNTIF($V$2:V1103,A118)=0,$B$9,""))</f>
        <v/>
      </c>
      <c r="C118" s="2" t="str">
        <f t="shared" ca="1" si="12"/>
        <v/>
      </c>
      <c r="D118" s="54" t="str">
        <f t="shared" ca="1" si="13"/>
        <v/>
      </c>
      <c r="E118" s="51" t="str">
        <f ca="1">IF(COUNTIF($V$2:V1103,A118)=1,VLOOKUP(A118,P:Q,2), IF(COUNTIF($V$2:V1103,A118)=0,$C$9,""))</f>
        <v/>
      </c>
      <c r="F118" s="2" t="str">
        <f t="shared" ca="1" si="14"/>
        <v/>
      </c>
      <c r="G118" s="54" t="str">
        <f t="shared" ca="1" si="15"/>
        <v/>
      </c>
      <c r="H118" s="51" t="str">
        <f ca="1">IF(COUNTIF($V$2:V1103,A118)=1,VLOOKUP(A118,R:S,2), IF(COUNTIF($V$2:V1103,A118)=0,$D$9,""))</f>
        <v/>
      </c>
      <c r="I118" s="2" t="str">
        <f t="shared" ca="1" si="16"/>
        <v/>
      </c>
      <c r="J118" s="54" t="str">
        <f t="shared" ca="1" si="17"/>
        <v/>
      </c>
      <c r="K118" s="52"/>
      <c r="L118" s="55" t="str">
        <f ca="1">IF(ISERROR(B118-2),"",C118+D118-F118-G118+I118+J118-SUM($K$14:K118))</f>
        <v/>
      </c>
      <c r="P118" s="4">
        <v>46056.625</v>
      </c>
      <c r="Q118" s="5">
        <v>83.54</v>
      </c>
      <c r="T118" s="4" t="str">
        <f t="shared" si="10"/>
        <v/>
      </c>
      <c r="U118" s="4" t="str">
        <f t="shared" si="9"/>
        <v/>
      </c>
    </row>
    <row r="119" spans="1:21" x14ac:dyDescent="0.25">
      <c r="A119" s="50" t="str">
        <f t="shared" ca="1" si="11"/>
        <v/>
      </c>
      <c r="B119" s="51" t="str">
        <f ca="1">IF(COUNTIF($V$2:V1104,A119)=1,VLOOKUP(A119,N:O,2), IF(COUNTIF($V$2:V1104,A119)=0,$B$9,""))</f>
        <v/>
      </c>
      <c r="C119" s="2" t="str">
        <f t="shared" ca="1" si="12"/>
        <v/>
      </c>
      <c r="D119" s="54" t="str">
        <f t="shared" ca="1" si="13"/>
        <v/>
      </c>
      <c r="E119" s="51" t="str">
        <f ca="1">IF(COUNTIF($V$2:V1104,A119)=1,VLOOKUP(A119,P:Q,2), IF(COUNTIF($V$2:V1104,A119)=0,$C$9,""))</f>
        <v/>
      </c>
      <c r="F119" s="2" t="str">
        <f t="shared" ca="1" si="14"/>
        <v/>
      </c>
      <c r="G119" s="54" t="str">
        <f t="shared" ca="1" si="15"/>
        <v/>
      </c>
      <c r="H119" s="51" t="str">
        <f ca="1">IF(COUNTIF($V$2:V1104,A119)=1,VLOOKUP(A119,R:S,2), IF(COUNTIF($V$2:V1104,A119)=0,$D$9,""))</f>
        <v/>
      </c>
      <c r="I119" s="2" t="str">
        <f t="shared" ca="1" si="16"/>
        <v/>
      </c>
      <c r="J119" s="54" t="str">
        <f t="shared" ca="1" si="17"/>
        <v/>
      </c>
      <c r="K119" s="52"/>
      <c r="L119" s="55" t="str">
        <f ca="1">IF(ISERROR(B119-2),"",C119+D119-F119-G119+I119+J119-SUM($K$14:K119))</f>
        <v/>
      </c>
      <c r="P119" s="4">
        <v>46057.625</v>
      </c>
      <c r="Q119" s="5">
        <v>83.51</v>
      </c>
      <c r="T119" s="4" t="str">
        <f t="shared" si="10"/>
        <v/>
      </c>
      <c r="U119" s="4" t="str">
        <f t="shared" si="9"/>
        <v/>
      </c>
    </row>
    <row r="120" spans="1:21" x14ac:dyDescent="0.25">
      <c r="A120" s="50" t="str">
        <f t="shared" ca="1" si="11"/>
        <v/>
      </c>
      <c r="B120" s="51" t="str">
        <f ca="1">IF(COUNTIF($V$2:V1105,A120)=1,VLOOKUP(A120,N:O,2), IF(COUNTIF($V$2:V1105,A120)=0,$B$9,""))</f>
        <v/>
      </c>
      <c r="C120" s="2" t="str">
        <f t="shared" ca="1" si="12"/>
        <v/>
      </c>
      <c r="D120" s="54" t="str">
        <f t="shared" ca="1" si="13"/>
        <v/>
      </c>
      <c r="E120" s="51" t="str">
        <f ca="1">IF(COUNTIF($V$2:V1105,A120)=1,VLOOKUP(A120,P:Q,2), IF(COUNTIF($V$2:V1105,A120)=0,$C$9,""))</f>
        <v/>
      </c>
      <c r="F120" s="2" t="str">
        <f t="shared" ca="1" si="14"/>
        <v/>
      </c>
      <c r="G120" s="54" t="str">
        <f t="shared" ca="1" si="15"/>
        <v/>
      </c>
      <c r="H120" s="51" t="str">
        <f ca="1">IF(COUNTIF($V$2:V1105,A120)=1,VLOOKUP(A120,R:S,2), IF(COUNTIF($V$2:V1105,A120)=0,$D$9,""))</f>
        <v/>
      </c>
      <c r="I120" s="2" t="str">
        <f t="shared" ca="1" si="16"/>
        <v/>
      </c>
      <c r="J120" s="54" t="str">
        <f t="shared" ca="1" si="17"/>
        <v/>
      </c>
      <c r="K120" s="52"/>
      <c r="L120" s="55" t="str">
        <f ca="1">IF(ISERROR(B120-2),"",C120+D120-F120-G120+I120+J120-SUM($K$14:K120))</f>
        <v/>
      </c>
      <c r="P120" s="4">
        <v>46058.625</v>
      </c>
      <c r="Q120" s="5">
        <v>83.84</v>
      </c>
      <c r="T120" s="4" t="str">
        <f t="shared" si="10"/>
        <v/>
      </c>
      <c r="U120" s="4" t="str">
        <f t="shared" si="9"/>
        <v/>
      </c>
    </row>
    <row r="121" spans="1:21" x14ac:dyDescent="0.25">
      <c r="A121" s="50" t="str">
        <f t="shared" ca="1" si="11"/>
        <v/>
      </c>
      <c r="B121" s="51" t="str">
        <f ca="1">IF(COUNTIF($V$2:V1106,A121)=1,VLOOKUP(A121,N:O,2), IF(COUNTIF($V$2:V1106,A121)=0,$B$9,""))</f>
        <v/>
      </c>
      <c r="C121" s="2" t="str">
        <f t="shared" ca="1" si="12"/>
        <v/>
      </c>
      <c r="D121" s="54" t="str">
        <f t="shared" ca="1" si="13"/>
        <v/>
      </c>
      <c r="E121" s="51" t="str">
        <f ca="1">IF(COUNTIF($V$2:V1106,A121)=1,VLOOKUP(A121,P:Q,2), IF(COUNTIF($V$2:V1106,A121)=0,$C$9,""))</f>
        <v/>
      </c>
      <c r="F121" s="2" t="str">
        <f t="shared" ca="1" si="14"/>
        <v/>
      </c>
      <c r="G121" s="54" t="str">
        <f t="shared" ca="1" si="15"/>
        <v/>
      </c>
      <c r="H121" s="51" t="str">
        <f ca="1">IF(COUNTIF($V$2:V1106,A121)=1,VLOOKUP(A121,R:S,2), IF(COUNTIF($V$2:V1106,A121)=0,$D$9,""))</f>
        <v/>
      </c>
      <c r="I121" s="2" t="str">
        <f t="shared" ca="1" si="16"/>
        <v/>
      </c>
      <c r="J121" s="54" t="str">
        <f t="shared" ca="1" si="17"/>
        <v/>
      </c>
      <c r="K121" s="52"/>
      <c r="L121" s="55" t="str">
        <f ca="1">IF(ISERROR(B121-2),"",C121+D121-F121-G121+I121+J121-SUM($K$14:K121))</f>
        <v/>
      </c>
      <c r="P121" s="4">
        <v>46059.625</v>
      </c>
      <c r="Q121" s="5">
        <v>83.87</v>
      </c>
      <c r="T121" s="4" t="str">
        <f t="shared" si="10"/>
        <v/>
      </c>
      <c r="U121" s="4" t="str">
        <f t="shared" si="9"/>
        <v/>
      </c>
    </row>
    <row r="122" spans="1:21" x14ac:dyDescent="0.25">
      <c r="A122" s="50" t="str">
        <f t="shared" ca="1" si="11"/>
        <v/>
      </c>
      <c r="B122" s="51" t="str">
        <f ca="1">IF(COUNTIF($V$2:V1107,A122)=1,VLOOKUP(A122,N:O,2), IF(COUNTIF($V$2:V1107,A122)=0,$B$9,""))</f>
        <v/>
      </c>
      <c r="C122" s="2" t="str">
        <f t="shared" ca="1" si="12"/>
        <v/>
      </c>
      <c r="D122" s="54" t="str">
        <f t="shared" ca="1" si="13"/>
        <v/>
      </c>
      <c r="E122" s="51" t="str">
        <f ca="1">IF(COUNTIF($V$2:V1107,A122)=1,VLOOKUP(A122,P:Q,2), IF(COUNTIF($V$2:V1107,A122)=0,$C$9,""))</f>
        <v/>
      </c>
      <c r="F122" s="2" t="str">
        <f t="shared" ca="1" si="14"/>
        <v/>
      </c>
      <c r="G122" s="54" t="str">
        <f t="shared" ca="1" si="15"/>
        <v/>
      </c>
      <c r="H122" s="51" t="str">
        <f ca="1">IF(COUNTIF($V$2:V1107,A122)=1,VLOOKUP(A122,R:S,2), IF(COUNTIF($V$2:V1107,A122)=0,$D$9,""))</f>
        <v/>
      </c>
      <c r="I122" s="2" t="str">
        <f t="shared" ca="1" si="16"/>
        <v/>
      </c>
      <c r="J122" s="54" t="str">
        <f t="shared" ca="1" si="17"/>
        <v/>
      </c>
      <c r="K122" s="52"/>
      <c r="L122" s="55" t="str">
        <f ca="1">IF(ISERROR(B122-2),"",C122+D122-F122-G122+I122+J122-SUM($K$14:K122))</f>
        <v/>
      </c>
      <c r="P122" s="4">
        <v>46062.625</v>
      </c>
      <c r="Q122" s="5">
        <v>83.9</v>
      </c>
      <c r="T122" s="4" t="str">
        <f t="shared" si="10"/>
        <v/>
      </c>
      <c r="U122" s="4" t="str">
        <f t="shared" si="9"/>
        <v/>
      </c>
    </row>
    <row r="123" spans="1:21" x14ac:dyDescent="0.25">
      <c r="A123" s="50" t="str">
        <f t="shared" ca="1" si="11"/>
        <v/>
      </c>
      <c r="B123" s="51" t="str">
        <f ca="1">IF(COUNTIF($V$2:V1108,A123)=1,VLOOKUP(A123,N:O,2), IF(COUNTIF($V$2:V1108,A123)=0,$B$9,""))</f>
        <v/>
      </c>
      <c r="C123" s="2" t="str">
        <f t="shared" ca="1" si="12"/>
        <v/>
      </c>
      <c r="D123" s="54" t="str">
        <f t="shared" ca="1" si="13"/>
        <v/>
      </c>
      <c r="E123" s="51" t="str">
        <f ca="1">IF(COUNTIF($V$2:V1108,A123)=1,VLOOKUP(A123,P:Q,2), IF(COUNTIF($V$2:V1108,A123)=0,$C$9,""))</f>
        <v/>
      </c>
      <c r="F123" s="2" t="str">
        <f t="shared" ca="1" si="14"/>
        <v/>
      </c>
      <c r="G123" s="54" t="str">
        <f t="shared" ca="1" si="15"/>
        <v/>
      </c>
      <c r="H123" s="51" t="str">
        <f ca="1">IF(COUNTIF($V$2:V1108,A123)=1,VLOOKUP(A123,R:S,2), IF(COUNTIF($V$2:V1108,A123)=0,$D$9,""))</f>
        <v/>
      </c>
      <c r="I123" s="2" t="str">
        <f t="shared" ca="1" si="16"/>
        <v/>
      </c>
      <c r="J123" s="54" t="str">
        <f t="shared" ca="1" si="17"/>
        <v/>
      </c>
      <c r="K123" s="52"/>
      <c r="L123" s="55" t="str">
        <f ca="1">IF(ISERROR(B123-2),"",C123+D123-F123-G123+I123+J123-SUM($K$14:K123))</f>
        <v/>
      </c>
      <c r="P123" s="4">
        <v>46063.625</v>
      </c>
      <c r="Q123" s="5">
        <v>84.03</v>
      </c>
      <c r="T123" s="4" t="str">
        <f t="shared" si="10"/>
        <v/>
      </c>
      <c r="U123" s="4" t="str">
        <f t="shared" si="9"/>
        <v/>
      </c>
    </row>
    <row r="124" spans="1:21" x14ac:dyDescent="0.25">
      <c r="A124" s="50" t="str">
        <f t="shared" ca="1" si="11"/>
        <v/>
      </c>
      <c r="B124" s="51" t="str">
        <f ca="1">IF(COUNTIF($V$2:V1109,A124)=1,VLOOKUP(A124,N:O,2), IF(COUNTIF($V$2:V1109,A124)=0,$B$9,""))</f>
        <v/>
      </c>
      <c r="C124" s="2" t="str">
        <f t="shared" ca="1" si="12"/>
        <v/>
      </c>
      <c r="D124" s="54" t="str">
        <f t="shared" ca="1" si="13"/>
        <v/>
      </c>
      <c r="E124" s="51" t="str">
        <f ca="1">IF(COUNTIF($V$2:V1109,A124)=1,VLOOKUP(A124,P:Q,2), IF(COUNTIF($V$2:V1109,A124)=0,$C$9,""))</f>
        <v/>
      </c>
      <c r="F124" s="2" t="str">
        <f t="shared" ca="1" si="14"/>
        <v/>
      </c>
      <c r="G124" s="54" t="str">
        <f t="shared" ca="1" si="15"/>
        <v/>
      </c>
      <c r="H124" s="51" t="str">
        <f ca="1">IF(COUNTIF($V$2:V1109,A124)=1,VLOOKUP(A124,R:S,2), IF(COUNTIF($V$2:V1109,A124)=0,$D$9,""))</f>
        <v/>
      </c>
      <c r="I124" s="2" t="str">
        <f t="shared" ca="1" si="16"/>
        <v/>
      </c>
      <c r="J124" s="54" t="str">
        <f t="shared" ca="1" si="17"/>
        <v/>
      </c>
      <c r="K124" s="52"/>
      <c r="L124" s="55" t="str">
        <f ca="1">IF(ISERROR(B124-2),"",C124+D124-F124-G124+I124+J124-SUM($K$14:K124))</f>
        <v/>
      </c>
      <c r="P124" s="4">
        <v>46064.625</v>
      </c>
      <c r="Q124" s="5">
        <v>83.96</v>
      </c>
      <c r="T124" s="4" t="str">
        <f t="shared" si="10"/>
        <v/>
      </c>
      <c r="U124" s="4" t="str">
        <f t="shared" si="9"/>
        <v/>
      </c>
    </row>
    <row r="125" spans="1:21" x14ac:dyDescent="0.25">
      <c r="A125" s="50"/>
      <c r="B125" s="51"/>
      <c r="C125" s="2"/>
      <c r="D125" s="54"/>
      <c r="E125" s="51"/>
      <c r="F125" s="2"/>
      <c r="G125" s="54"/>
      <c r="H125" s="51"/>
      <c r="I125" s="2"/>
      <c r="J125" s="54"/>
      <c r="K125" s="52"/>
      <c r="L125" s="55"/>
      <c r="P125" s="4">
        <v>46065.625</v>
      </c>
      <c r="Q125" s="5">
        <v>84.22</v>
      </c>
      <c r="T125" s="4" t="str">
        <f t="shared" si="10"/>
        <v/>
      </c>
      <c r="U125" s="4" t="str">
        <f t="shared" si="9"/>
        <v/>
      </c>
    </row>
    <row r="126" spans="1:21" x14ac:dyDescent="0.25">
      <c r="A126" s="50"/>
      <c r="B126" s="51"/>
      <c r="C126" s="2"/>
      <c r="D126" s="54"/>
      <c r="E126" s="51"/>
      <c r="F126" s="2"/>
      <c r="G126" s="54"/>
      <c r="H126" s="51"/>
      <c r="I126" s="2"/>
      <c r="J126" s="54"/>
      <c r="K126" s="52"/>
      <c r="L126" s="55"/>
      <c r="P126" s="4">
        <v>46066.625</v>
      </c>
      <c r="Q126" s="5">
        <v>84.49</v>
      </c>
      <c r="T126" s="4" t="str">
        <f t="shared" si="10"/>
        <v/>
      </c>
      <c r="U126" s="4" t="str">
        <f t="shared" si="9"/>
        <v/>
      </c>
    </row>
    <row r="127" spans="1:21" x14ac:dyDescent="0.25">
      <c r="A127" s="50"/>
      <c r="B127" s="51"/>
      <c r="C127" s="2"/>
      <c r="D127" s="54"/>
      <c r="E127" s="51"/>
      <c r="F127" s="2"/>
      <c r="G127" s="54"/>
      <c r="H127" s="51"/>
      <c r="I127" s="2"/>
      <c r="J127" s="54"/>
      <c r="K127" s="52"/>
      <c r="L127" s="55"/>
      <c r="P127" s="4">
        <v>46070.625</v>
      </c>
      <c r="Q127" s="5">
        <v>84.53</v>
      </c>
      <c r="T127" s="4" t="str">
        <f t="shared" si="10"/>
        <v/>
      </c>
      <c r="U127" s="4" t="str">
        <f t="shared" si="9"/>
        <v/>
      </c>
    </row>
    <row r="128" spans="1:21" x14ac:dyDescent="0.25">
      <c r="A128" s="50"/>
      <c r="B128" s="51"/>
      <c r="C128" s="2"/>
      <c r="D128" s="54"/>
      <c r="E128" s="51"/>
      <c r="F128" s="2"/>
      <c r="G128" s="54"/>
      <c r="H128" s="51"/>
      <c r="I128" s="2"/>
      <c r="J128" s="54"/>
      <c r="K128" s="52"/>
      <c r="L128" s="55"/>
      <c r="P128" s="4">
        <v>46071.625</v>
      </c>
      <c r="Q128" s="5">
        <v>84.46</v>
      </c>
      <c r="T128" s="4" t="str">
        <f t="shared" si="10"/>
        <v/>
      </c>
      <c r="U128" s="4" t="str">
        <f t="shared" si="9"/>
        <v/>
      </c>
    </row>
    <row r="129" spans="1:21" x14ac:dyDescent="0.25">
      <c r="A129" s="50"/>
      <c r="B129" s="51"/>
      <c r="C129" s="2"/>
      <c r="D129" s="54"/>
      <c r="E129" s="51"/>
      <c r="F129" s="2"/>
      <c r="G129" s="54"/>
      <c r="H129" s="51"/>
      <c r="I129" s="2"/>
      <c r="J129" s="54"/>
      <c r="K129" s="52"/>
      <c r="L129" s="55"/>
      <c r="P129" s="4">
        <v>46072.625</v>
      </c>
      <c r="Q129" s="5">
        <v>84.52</v>
      </c>
      <c r="T129" s="4" t="str">
        <f t="shared" si="10"/>
        <v/>
      </c>
      <c r="U129" s="4" t="str">
        <f t="shared" si="9"/>
        <v/>
      </c>
    </row>
    <row r="130" spans="1:21" x14ac:dyDescent="0.25">
      <c r="A130" s="50"/>
      <c r="B130" s="51"/>
      <c r="C130" s="2"/>
      <c r="D130" s="54"/>
      <c r="E130" s="51"/>
      <c r="F130" s="2"/>
      <c r="G130" s="54"/>
      <c r="H130" s="51"/>
      <c r="I130" s="2"/>
      <c r="J130" s="54"/>
      <c r="K130" s="52"/>
      <c r="L130" s="55"/>
      <c r="P130" s="4">
        <v>46073.625</v>
      </c>
      <c r="Q130" s="5">
        <v>84.54</v>
      </c>
      <c r="T130" s="4" t="str">
        <f t="shared" si="10"/>
        <v/>
      </c>
      <c r="U130" s="4" t="str">
        <f t="shared" si="9"/>
        <v/>
      </c>
    </row>
    <row r="131" spans="1:21" x14ac:dyDescent="0.25">
      <c r="A131" s="50"/>
      <c r="B131" s="51"/>
      <c r="C131" s="2"/>
      <c r="D131" s="54"/>
      <c r="E131" s="51"/>
      <c r="F131" s="2"/>
      <c r="G131" s="54"/>
      <c r="H131" s="51"/>
      <c r="I131" s="2"/>
      <c r="J131" s="54"/>
      <c r="K131" s="52"/>
      <c r="L131" s="55"/>
      <c r="P131" s="4">
        <v>46076.625</v>
      </c>
      <c r="Q131" s="5">
        <v>84.71</v>
      </c>
      <c r="T131" s="4" t="str">
        <f t="shared" si="10"/>
        <v/>
      </c>
      <c r="U131" s="4" t="str">
        <f t="shared" ref="U131:U194" si="18">IF(T131&gt;$A$14,T131,"")</f>
        <v/>
      </c>
    </row>
    <row r="132" spans="1:21" x14ac:dyDescent="0.25">
      <c r="A132" s="50"/>
      <c r="B132" s="51"/>
      <c r="C132" s="2"/>
      <c r="D132" s="54"/>
      <c r="E132" s="51"/>
      <c r="F132" s="2"/>
      <c r="G132" s="54"/>
      <c r="H132" s="51"/>
      <c r="I132" s="2"/>
      <c r="J132" s="54"/>
      <c r="K132" s="52"/>
      <c r="L132" s="55"/>
      <c r="P132" s="4">
        <v>46077.625</v>
      </c>
      <c r="Q132" s="5">
        <v>84.63</v>
      </c>
      <c r="T132" s="4" t="str">
        <f t="shared" ref="T132:T195" si="19">IF(COUNTIF(P:P,N132)*COUNTIF(R:R,N132),N132,"")</f>
        <v/>
      </c>
      <c r="U132" s="4" t="str">
        <f t="shared" si="18"/>
        <v/>
      </c>
    </row>
    <row r="133" spans="1:21" x14ac:dyDescent="0.25">
      <c r="A133" s="50"/>
      <c r="B133" s="51"/>
      <c r="C133" s="2"/>
      <c r="D133" s="54"/>
      <c r="E133" s="51"/>
      <c r="F133" s="2"/>
      <c r="G133" s="54"/>
      <c r="H133" s="51"/>
      <c r="I133" s="2"/>
      <c r="J133" s="54"/>
      <c r="K133" s="52"/>
      <c r="L133" s="55"/>
      <c r="P133" s="4">
        <v>46078.625</v>
      </c>
      <c r="Q133" s="5">
        <v>84.59</v>
      </c>
      <c r="T133" s="4" t="str">
        <f t="shared" si="19"/>
        <v/>
      </c>
      <c r="U133" s="4" t="str">
        <f t="shared" si="18"/>
        <v/>
      </c>
    </row>
    <row r="134" spans="1:21" x14ac:dyDescent="0.25">
      <c r="A134" s="50"/>
      <c r="B134" s="51"/>
      <c r="C134" s="2"/>
      <c r="D134" s="54"/>
      <c r="E134" s="51"/>
      <c r="F134" s="2"/>
      <c r="G134" s="54"/>
      <c r="H134" s="51"/>
      <c r="I134" s="2"/>
      <c r="J134" s="54"/>
      <c r="K134" s="52"/>
      <c r="L134" s="55"/>
      <c r="P134" s="4">
        <v>46079.625</v>
      </c>
      <c r="Q134" s="5">
        <v>84.68</v>
      </c>
      <c r="T134" s="4" t="str">
        <f t="shared" si="19"/>
        <v/>
      </c>
      <c r="U134" s="4" t="str">
        <f t="shared" si="18"/>
        <v/>
      </c>
    </row>
    <row r="135" spans="1:21" x14ac:dyDescent="0.25">
      <c r="A135" s="50"/>
      <c r="B135" s="51"/>
      <c r="C135" s="2"/>
      <c r="D135" s="54"/>
      <c r="E135" s="51"/>
      <c r="F135" s="2"/>
      <c r="G135" s="54"/>
      <c r="H135" s="51"/>
      <c r="I135" s="2"/>
      <c r="J135" s="54"/>
      <c r="K135" s="52"/>
      <c r="L135" s="55"/>
      <c r="P135" s="4">
        <v>46080.625</v>
      </c>
      <c r="Q135" s="5">
        <v>84.72</v>
      </c>
      <c r="T135" s="4" t="str">
        <f t="shared" si="19"/>
        <v/>
      </c>
      <c r="U135" s="4" t="str">
        <f t="shared" si="18"/>
        <v/>
      </c>
    </row>
    <row r="136" spans="1:21" x14ac:dyDescent="0.25">
      <c r="A136" s="50"/>
      <c r="B136" s="51"/>
      <c r="C136" s="2"/>
      <c r="D136" s="54"/>
      <c r="E136" s="51"/>
      <c r="F136" s="2"/>
      <c r="G136" s="54"/>
      <c r="H136" s="51"/>
      <c r="I136" s="2"/>
      <c r="J136" s="54"/>
      <c r="K136" s="52"/>
      <c r="L136" s="55"/>
      <c r="T136" s="4" t="str">
        <f t="shared" si="19"/>
        <v/>
      </c>
      <c r="U136" s="4" t="str">
        <f t="shared" si="18"/>
        <v/>
      </c>
    </row>
    <row r="137" spans="1:21" x14ac:dyDescent="0.25">
      <c r="A137" s="50"/>
      <c r="B137" s="51"/>
      <c r="C137" s="2"/>
      <c r="D137" s="54"/>
      <c r="E137" s="51"/>
      <c r="F137" s="2"/>
      <c r="G137" s="54"/>
      <c r="H137" s="51"/>
      <c r="I137" s="2"/>
      <c r="J137" s="54"/>
      <c r="K137" s="52"/>
      <c r="L137" s="55"/>
      <c r="T137" s="4" t="str">
        <f t="shared" si="19"/>
        <v/>
      </c>
      <c r="U137" s="4" t="str">
        <f t="shared" si="18"/>
        <v/>
      </c>
    </row>
    <row r="138" spans="1:21" x14ac:dyDescent="0.25">
      <c r="A138" s="50"/>
      <c r="B138" s="51"/>
      <c r="C138" s="2"/>
      <c r="D138" s="54"/>
      <c r="E138" s="51"/>
      <c r="F138" s="2"/>
      <c r="G138" s="54"/>
      <c r="H138" s="51"/>
      <c r="I138" s="2"/>
      <c r="J138" s="54"/>
      <c r="K138" s="52"/>
      <c r="L138" s="55"/>
      <c r="T138" s="4" t="str">
        <f t="shared" si="19"/>
        <v/>
      </c>
      <c r="U138" s="4" t="str">
        <f t="shared" si="18"/>
        <v/>
      </c>
    </row>
    <row r="139" spans="1:21" x14ac:dyDescent="0.25">
      <c r="A139" s="50"/>
      <c r="B139" s="51"/>
      <c r="C139" s="2"/>
      <c r="D139" s="54"/>
      <c r="E139" s="51"/>
      <c r="F139" s="2"/>
      <c r="G139" s="54"/>
      <c r="H139" s="51"/>
      <c r="I139" s="2"/>
      <c r="J139" s="54"/>
      <c r="K139" s="52"/>
      <c r="L139" s="55"/>
      <c r="T139" s="4" t="str">
        <f t="shared" si="19"/>
        <v/>
      </c>
      <c r="U139" s="4" t="str">
        <f t="shared" si="18"/>
        <v/>
      </c>
    </row>
    <row r="140" spans="1:21" x14ac:dyDescent="0.25">
      <c r="A140" s="50"/>
      <c r="B140" s="51"/>
      <c r="C140" s="2"/>
      <c r="D140" s="54"/>
      <c r="E140" s="51"/>
      <c r="F140" s="2"/>
      <c r="G140" s="54"/>
      <c r="H140" s="51"/>
      <c r="I140" s="2"/>
      <c r="J140" s="54"/>
      <c r="K140" s="52"/>
      <c r="L140" s="55"/>
      <c r="T140" s="4" t="str">
        <f t="shared" si="19"/>
        <v/>
      </c>
      <c r="U140" s="4" t="str">
        <f t="shared" si="18"/>
        <v/>
      </c>
    </row>
    <row r="141" spans="1:21" x14ac:dyDescent="0.25">
      <c r="A141" s="50"/>
      <c r="B141" s="51"/>
      <c r="C141" s="2"/>
      <c r="D141" s="54"/>
      <c r="E141" s="51"/>
      <c r="F141" s="2"/>
      <c r="G141" s="54"/>
      <c r="H141" s="51"/>
      <c r="I141" s="2"/>
      <c r="J141" s="54"/>
      <c r="K141" s="52"/>
      <c r="L141" s="55"/>
      <c r="T141" s="4" t="str">
        <f t="shared" si="19"/>
        <v/>
      </c>
      <c r="U141" s="4" t="str">
        <f t="shared" si="18"/>
        <v/>
      </c>
    </row>
    <row r="142" spans="1:21" x14ac:dyDescent="0.25">
      <c r="A142" s="50"/>
      <c r="B142" s="51"/>
      <c r="C142" s="2"/>
      <c r="D142" s="54"/>
      <c r="E142" s="51"/>
      <c r="F142" s="2"/>
      <c r="G142" s="54"/>
      <c r="H142" s="51"/>
      <c r="I142" s="2"/>
      <c r="J142" s="54"/>
      <c r="K142" s="52"/>
      <c r="L142" s="55"/>
      <c r="T142" s="4" t="str">
        <f t="shared" si="19"/>
        <v/>
      </c>
      <c r="U142" s="4" t="str">
        <f t="shared" si="18"/>
        <v/>
      </c>
    </row>
    <row r="143" spans="1:21" x14ac:dyDescent="0.25">
      <c r="A143" s="50"/>
      <c r="B143" s="51"/>
      <c r="C143" s="2"/>
      <c r="D143" s="54"/>
      <c r="E143" s="51"/>
      <c r="F143" s="2"/>
      <c r="G143" s="54"/>
      <c r="H143" s="51"/>
      <c r="I143" s="2"/>
      <c r="J143" s="54"/>
      <c r="K143" s="52"/>
      <c r="L143" s="55"/>
      <c r="T143" s="4" t="str">
        <f t="shared" si="19"/>
        <v/>
      </c>
      <c r="U143" s="4" t="str">
        <f t="shared" si="18"/>
        <v/>
      </c>
    </row>
    <row r="144" spans="1:21" x14ac:dyDescent="0.25">
      <c r="A144" s="50"/>
      <c r="B144" s="51"/>
      <c r="C144" s="2"/>
      <c r="D144" s="54"/>
      <c r="E144" s="51"/>
      <c r="F144" s="2"/>
      <c r="G144" s="54"/>
      <c r="H144" s="51"/>
      <c r="I144" s="2"/>
      <c r="J144" s="54"/>
      <c r="K144" s="52"/>
      <c r="L144" s="55"/>
      <c r="T144" s="4" t="str">
        <f t="shared" si="19"/>
        <v/>
      </c>
      <c r="U144" s="4" t="str">
        <f t="shared" si="18"/>
        <v/>
      </c>
    </row>
    <row r="145" spans="1:21" x14ac:dyDescent="0.25">
      <c r="A145" s="50"/>
      <c r="B145" s="51"/>
      <c r="C145" s="2"/>
      <c r="D145" s="54"/>
      <c r="E145" s="51"/>
      <c r="F145" s="2"/>
      <c r="G145" s="54"/>
      <c r="H145" s="51"/>
      <c r="I145" s="2"/>
      <c r="J145" s="54"/>
      <c r="K145" s="52"/>
      <c r="L145" s="55"/>
      <c r="T145" s="4" t="str">
        <f t="shared" si="19"/>
        <v/>
      </c>
      <c r="U145" s="4" t="str">
        <f t="shared" si="18"/>
        <v/>
      </c>
    </row>
    <row r="146" spans="1:21" x14ac:dyDescent="0.25">
      <c r="A146" s="50"/>
      <c r="B146" s="51"/>
      <c r="C146" s="2"/>
      <c r="D146" s="54"/>
      <c r="E146" s="51"/>
      <c r="F146" s="2"/>
      <c r="G146" s="54"/>
      <c r="H146" s="51"/>
      <c r="I146" s="2"/>
      <c r="J146" s="54"/>
      <c r="K146" s="52"/>
      <c r="L146" s="55"/>
      <c r="T146" s="4" t="str">
        <f t="shared" si="19"/>
        <v/>
      </c>
      <c r="U146" s="4" t="str">
        <f t="shared" si="18"/>
        <v/>
      </c>
    </row>
    <row r="147" spans="1:21" x14ac:dyDescent="0.25">
      <c r="A147" s="50"/>
      <c r="B147" s="51"/>
      <c r="C147" s="2"/>
      <c r="D147" s="54"/>
      <c r="E147" s="51"/>
      <c r="F147" s="2"/>
      <c r="G147" s="54"/>
      <c r="H147" s="51"/>
      <c r="I147" s="2"/>
      <c r="J147" s="54"/>
      <c r="K147" s="52"/>
      <c r="L147" s="55"/>
      <c r="T147" s="4" t="str">
        <f t="shared" si="19"/>
        <v/>
      </c>
      <c r="U147" s="4" t="str">
        <f t="shared" si="18"/>
        <v/>
      </c>
    </row>
    <row r="148" spans="1:21" x14ac:dyDescent="0.25">
      <c r="A148" s="50"/>
      <c r="B148" s="51"/>
      <c r="C148" s="2"/>
      <c r="D148" s="54"/>
      <c r="E148" s="51"/>
      <c r="F148" s="2"/>
      <c r="G148" s="54"/>
      <c r="H148" s="51"/>
      <c r="I148" s="2"/>
      <c r="J148" s="54"/>
      <c r="K148" s="52"/>
      <c r="L148" s="55"/>
      <c r="T148" s="4" t="str">
        <f t="shared" si="19"/>
        <v/>
      </c>
      <c r="U148" s="4" t="str">
        <f t="shared" si="18"/>
        <v/>
      </c>
    </row>
    <row r="149" spans="1:21" x14ac:dyDescent="0.25">
      <c r="A149" s="50"/>
      <c r="B149" s="51"/>
      <c r="C149" s="2"/>
      <c r="D149" s="54"/>
      <c r="E149" s="51"/>
      <c r="F149" s="2"/>
      <c r="G149" s="54"/>
      <c r="H149" s="51"/>
      <c r="I149" s="2"/>
      <c r="J149" s="54"/>
      <c r="K149" s="52"/>
      <c r="L149" s="55"/>
      <c r="T149" s="4" t="str">
        <f t="shared" si="19"/>
        <v/>
      </c>
      <c r="U149" s="4" t="str">
        <f t="shared" si="18"/>
        <v/>
      </c>
    </row>
    <row r="150" spans="1:21" x14ac:dyDescent="0.25">
      <c r="A150" s="50"/>
      <c r="B150" s="51"/>
      <c r="C150" s="2"/>
      <c r="D150" s="54"/>
      <c r="E150" s="51"/>
      <c r="F150" s="2"/>
      <c r="G150" s="54"/>
      <c r="H150" s="51"/>
      <c r="I150" s="2"/>
      <c r="J150" s="54"/>
      <c r="K150" s="52"/>
      <c r="L150" s="55"/>
      <c r="T150" s="4" t="str">
        <f t="shared" si="19"/>
        <v/>
      </c>
      <c r="U150" s="4" t="str">
        <f t="shared" si="18"/>
        <v/>
      </c>
    </row>
    <row r="151" spans="1:21" x14ac:dyDescent="0.25">
      <c r="A151" s="50"/>
      <c r="B151" s="51"/>
      <c r="C151" s="2"/>
      <c r="D151" s="54"/>
      <c r="E151" s="51"/>
      <c r="F151" s="2"/>
      <c r="G151" s="54"/>
      <c r="H151" s="51"/>
      <c r="I151" s="2"/>
      <c r="J151" s="54"/>
      <c r="K151" s="52"/>
      <c r="L151" s="55"/>
      <c r="T151" s="4" t="str">
        <f t="shared" si="19"/>
        <v/>
      </c>
      <c r="U151" s="4" t="str">
        <f t="shared" si="18"/>
        <v/>
      </c>
    </row>
    <row r="152" spans="1:21" x14ac:dyDescent="0.25">
      <c r="A152" s="50"/>
      <c r="B152" s="51"/>
      <c r="C152" s="2"/>
      <c r="D152" s="54"/>
      <c r="E152" s="51"/>
      <c r="F152" s="2"/>
      <c r="G152" s="54"/>
      <c r="H152" s="51"/>
      <c r="I152" s="2"/>
      <c r="J152" s="54"/>
      <c r="K152" s="52"/>
      <c r="L152" s="55"/>
      <c r="T152" s="4" t="str">
        <f t="shared" si="19"/>
        <v/>
      </c>
      <c r="U152" s="4" t="str">
        <f t="shared" si="18"/>
        <v/>
      </c>
    </row>
    <row r="153" spans="1:21" x14ac:dyDescent="0.25">
      <c r="A153" s="50"/>
      <c r="B153" s="51"/>
      <c r="C153" s="2"/>
      <c r="D153" s="54"/>
      <c r="E153" s="51"/>
      <c r="F153" s="2"/>
      <c r="G153" s="54"/>
      <c r="H153" s="51"/>
      <c r="I153" s="2"/>
      <c r="J153" s="54"/>
      <c r="K153" s="52"/>
      <c r="L153" s="55"/>
      <c r="T153" s="4" t="str">
        <f t="shared" si="19"/>
        <v/>
      </c>
      <c r="U153" s="4" t="str">
        <f t="shared" si="18"/>
        <v/>
      </c>
    </row>
    <row r="154" spans="1:21" x14ac:dyDescent="0.25">
      <c r="A154" s="50"/>
      <c r="B154" s="51"/>
      <c r="C154" s="2"/>
      <c r="D154" s="54"/>
      <c r="E154" s="51"/>
      <c r="F154" s="2"/>
      <c r="G154" s="54"/>
      <c r="H154" s="51"/>
      <c r="I154" s="2"/>
      <c r="J154" s="54"/>
      <c r="K154" s="52"/>
      <c r="L154" s="55"/>
      <c r="T154" s="4" t="str">
        <f t="shared" si="19"/>
        <v/>
      </c>
      <c r="U154" s="4" t="str">
        <f t="shared" si="18"/>
        <v/>
      </c>
    </row>
    <row r="155" spans="1:21" x14ac:dyDescent="0.25">
      <c r="A155" s="50"/>
      <c r="B155" s="51"/>
      <c r="C155" s="2"/>
      <c r="D155" s="54"/>
      <c r="E155" s="51"/>
      <c r="F155" s="2"/>
      <c r="G155" s="54"/>
      <c r="H155" s="51"/>
      <c r="I155" s="2"/>
      <c r="J155" s="54"/>
      <c r="K155" s="52"/>
      <c r="L155" s="55"/>
      <c r="T155" s="4" t="str">
        <f t="shared" si="19"/>
        <v/>
      </c>
      <c r="U155" s="4" t="str">
        <f t="shared" si="18"/>
        <v/>
      </c>
    </row>
    <row r="156" spans="1:21" x14ac:dyDescent="0.25">
      <c r="A156" s="50"/>
      <c r="B156" s="51"/>
      <c r="C156" s="2"/>
      <c r="D156" s="54"/>
      <c r="E156" s="51"/>
      <c r="F156" s="2"/>
      <c r="G156" s="54"/>
      <c r="H156" s="51"/>
      <c r="I156" s="2"/>
      <c r="J156" s="54"/>
      <c r="K156" s="52"/>
      <c r="L156" s="55"/>
      <c r="T156" s="4" t="str">
        <f t="shared" si="19"/>
        <v/>
      </c>
      <c r="U156" s="4" t="str">
        <f t="shared" si="18"/>
        <v/>
      </c>
    </row>
    <row r="157" spans="1:21" x14ac:dyDescent="0.25">
      <c r="A157" s="50"/>
      <c r="B157" s="51"/>
      <c r="C157" s="2"/>
      <c r="D157" s="54"/>
      <c r="E157" s="51"/>
      <c r="F157" s="2"/>
      <c r="G157" s="54"/>
      <c r="H157" s="51"/>
      <c r="I157" s="2"/>
      <c r="J157" s="54"/>
      <c r="K157" s="52"/>
      <c r="L157" s="55"/>
      <c r="T157" s="4" t="str">
        <f t="shared" si="19"/>
        <v/>
      </c>
      <c r="U157" s="4" t="str">
        <f t="shared" si="18"/>
        <v/>
      </c>
    </row>
    <row r="158" spans="1:21" x14ac:dyDescent="0.25">
      <c r="A158" s="50"/>
      <c r="B158" s="51"/>
      <c r="C158" s="2"/>
      <c r="D158" s="54"/>
      <c r="E158" s="51"/>
      <c r="F158" s="2"/>
      <c r="G158" s="54"/>
      <c r="H158" s="51"/>
      <c r="I158" s="2"/>
      <c r="J158" s="54"/>
      <c r="K158" s="52"/>
      <c r="L158" s="55"/>
      <c r="T158" s="4" t="str">
        <f t="shared" si="19"/>
        <v/>
      </c>
      <c r="U158" s="4" t="str">
        <f t="shared" si="18"/>
        <v/>
      </c>
    </row>
    <row r="159" spans="1:21" x14ac:dyDescent="0.25">
      <c r="A159" s="50"/>
      <c r="B159" s="51"/>
      <c r="C159" s="2"/>
      <c r="D159" s="54"/>
      <c r="E159" s="51"/>
      <c r="F159" s="2"/>
      <c r="G159" s="54"/>
      <c r="H159" s="51"/>
      <c r="I159" s="2"/>
      <c r="J159" s="54"/>
      <c r="K159" s="52"/>
      <c r="L159" s="55"/>
      <c r="T159" s="4" t="str">
        <f t="shared" si="19"/>
        <v/>
      </c>
      <c r="U159" s="4" t="str">
        <f t="shared" si="18"/>
        <v/>
      </c>
    </row>
    <row r="160" spans="1:21" x14ac:dyDescent="0.25">
      <c r="A160" s="50"/>
      <c r="B160" s="51"/>
      <c r="C160" s="2"/>
      <c r="D160" s="54"/>
      <c r="E160" s="51"/>
      <c r="F160" s="2"/>
      <c r="G160" s="54"/>
      <c r="H160" s="51"/>
      <c r="I160" s="2"/>
      <c r="J160" s="54"/>
      <c r="K160" s="52"/>
      <c r="L160" s="55"/>
      <c r="T160" s="4" t="str">
        <f t="shared" si="19"/>
        <v/>
      </c>
      <c r="U160" s="4" t="str">
        <f t="shared" si="18"/>
        <v/>
      </c>
    </row>
    <row r="161" spans="1:21" x14ac:dyDescent="0.25">
      <c r="A161" s="50"/>
      <c r="B161" s="51"/>
      <c r="C161" s="2"/>
      <c r="D161" s="54"/>
      <c r="E161" s="51"/>
      <c r="F161" s="2"/>
      <c r="G161" s="54"/>
      <c r="H161" s="51"/>
      <c r="I161" s="2"/>
      <c r="J161" s="54"/>
      <c r="K161" s="52"/>
      <c r="L161" s="55"/>
      <c r="T161" s="4" t="str">
        <f t="shared" si="19"/>
        <v/>
      </c>
      <c r="U161" s="4" t="str">
        <f t="shared" si="18"/>
        <v/>
      </c>
    </row>
    <row r="162" spans="1:21" x14ac:dyDescent="0.25">
      <c r="A162" s="50"/>
      <c r="B162" s="51"/>
      <c r="C162" s="2"/>
      <c r="D162" s="54"/>
      <c r="E162" s="51"/>
      <c r="F162" s="2"/>
      <c r="G162" s="54"/>
      <c r="H162" s="51"/>
      <c r="I162" s="2"/>
      <c r="J162" s="54"/>
      <c r="K162" s="52"/>
      <c r="L162" s="55"/>
      <c r="T162" s="4" t="str">
        <f t="shared" si="19"/>
        <v/>
      </c>
      <c r="U162" s="4" t="str">
        <f t="shared" si="18"/>
        <v/>
      </c>
    </row>
    <row r="163" spans="1:21" x14ac:dyDescent="0.25">
      <c r="A163" s="50"/>
      <c r="B163" s="51"/>
      <c r="C163" s="2"/>
      <c r="D163" s="54"/>
      <c r="E163" s="51"/>
      <c r="F163" s="2"/>
      <c r="G163" s="54"/>
      <c r="H163" s="51"/>
      <c r="I163" s="2"/>
      <c r="J163" s="54"/>
      <c r="K163" s="52"/>
      <c r="L163" s="55"/>
      <c r="T163" s="4" t="str">
        <f t="shared" si="19"/>
        <v/>
      </c>
      <c r="U163" s="4" t="str">
        <f t="shared" si="18"/>
        <v/>
      </c>
    </row>
    <row r="164" spans="1:21" x14ac:dyDescent="0.25">
      <c r="A164" s="50"/>
      <c r="B164" s="51"/>
      <c r="C164" s="2"/>
      <c r="D164" s="54"/>
      <c r="E164" s="51"/>
      <c r="F164" s="2"/>
      <c r="G164" s="54"/>
      <c r="H164" s="51"/>
      <c r="I164" s="2"/>
      <c r="J164" s="54"/>
      <c r="K164" s="52"/>
      <c r="L164" s="55"/>
      <c r="T164" s="4" t="str">
        <f t="shared" si="19"/>
        <v/>
      </c>
      <c r="U164" s="4" t="str">
        <f t="shared" si="18"/>
        <v/>
      </c>
    </row>
    <row r="165" spans="1:21" x14ac:dyDescent="0.25">
      <c r="A165" s="50"/>
      <c r="B165" s="51"/>
      <c r="C165" s="2"/>
      <c r="D165" s="54"/>
      <c r="E165" s="51"/>
      <c r="F165" s="2"/>
      <c r="G165" s="54"/>
      <c r="H165" s="51"/>
      <c r="I165" s="2"/>
      <c r="J165" s="54"/>
      <c r="K165" s="52"/>
      <c r="L165" s="55"/>
      <c r="T165" s="4" t="str">
        <f t="shared" si="19"/>
        <v/>
      </c>
      <c r="U165" s="4" t="str">
        <f t="shared" si="18"/>
        <v/>
      </c>
    </row>
    <row r="166" spans="1:21" x14ac:dyDescent="0.25">
      <c r="A166" s="50"/>
      <c r="B166" s="51"/>
      <c r="C166" s="2"/>
      <c r="D166" s="54"/>
      <c r="E166" s="51"/>
      <c r="F166" s="2"/>
      <c r="G166" s="54"/>
      <c r="H166" s="51"/>
      <c r="I166" s="2"/>
      <c r="J166" s="54"/>
      <c r="K166" s="52"/>
      <c r="L166" s="55"/>
      <c r="T166" s="4" t="str">
        <f t="shared" si="19"/>
        <v/>
      </c>
      <c r="U166" s="4" t="str">
        <f t="shared" si="18"/>
        <v/>
      </c>
    </row>
    <row r="167" spans="1:21" x14ac:dyDescent="0.25">
      <c r="A167" s="50"/>
      <c r="B167" s="51"/>
      <c r="C167" s="2"/>
      <c r="D167" s="54"/>
      <c r="E167" s="51"/>
      <c r="F167" s="2"/>
      <c r="G167" s="54"/>
      <c r="H167" s="51"/>
      <c r="I167" s="2"/>
      <c r="J167" s="54"/>
      <c r="K167" s="52"/>
      <c r="L167" s="55"/>
      <c r="T167" s="4" t="str">
        <f t="shared" si="19"/>
        <v/>
      </c>
      <c r="U167" s="4" t="str">
        <f t="shared" si="18"/>
        <v/>
      </c>
    </row>
    <row r="168" spans="1:21" x14ac:dyDescent="0.25">
      <c r="A168" s="50"/>
      <c r="B168" s="51"/>
      <c r="C168" s="2"/>
      <c r="D168" s="54"/>
      <c r="E168" s="51"/>
      <c r="F168" s="2"/>
      <c r="G168" s="54"/>
      <c r="H168" s="51"/>
      <c r="I168" s="2"/>
      <c r="J168" s="54"/>
      <c r="K168" s="52"/>
      <c r="L168" s="55"/>
      <c r="T168" s="4" t="str">
        <f t="shared" si="19"/>
        <v/>
      </c>
      <c r="U168" s="4" t="str">
        <f t="shared" si="18"/>
        <v/>
      </c>
    </row>
    <row r="169" spans="1:21" x14ac:dyDescent="0.25">
      <c r="A169" s="50"/>
      <c r="B169" s="51"/>
      <c r="C169" s="2"/>
      <c r="D169" s="54"/>
      <c r="E169" s="51"/>
      <c r="F169" s="2"/>
      <c r="G169" s="54"/>
      <c r="H169" s="51"/>
      <c r="I169" s="2"/>
      <c r="J169" s="54"/>
      <c r="K169" s="52"/>
      <c r="L169" s="55"/>
      <c r="T169" s="4" t="str">
        <f t="shared" si="19"/>
        <v/>
      </c>
      <c r="U169" s="4" t="str">
        <f t="shared" si="18"/>
        <v/>
      </c>
    </row>
    <row r="170" spans="1:21" x14ac:dyDescent="0.25">
      <c r="A170" s="50"/>
      <c r="B170" s="51"/>
      <c r="C170" s="2"/>
      <c r="D170" s="54"/>
      <c r="E170" s="51"/>
      <c r="F170" s="2"/>
      <c r="G170" s="54"/>
      <c r="H170" s="51"/>
      <c r="I170" s="2"/>
      <c r="J170" s="54"/>
      <c r="K170" s="52"/>
      <c r="L170" s="55"/>
      <c r="T170" s="4" t="str">
        <f t="shared" si="19"/>
        <v/>
      </c>
      <c r="U170" s="4" t="str">
        <f t="shared" si="18"/>
        <v/>
      </c>
    </row>
    <row r="171" spans="1:21" x14ac:dyDescent="0.25">
      <c r="A171" s="50"/>
      <c r="B171" s="51"/>
      <c r="C171" s="2"/>
      <c r="D171" s="54"/>
      <c r="E171" s="51"/>
      <c r="F171" s="2"/>
      <c r="G171" s="54"/>
      <c r="H171" s="51"/>
      <c r="I171" s="2"/>
      <c r="J171" s="54"/>
      <c r="K171" s="52"/>
      <c r="L171" s="55"/>
      <c r="T171" s="4" t="str">
        <f t="shared" si="19"/>
        <v/>
      </c>
      <c r="U171" s="4" t="str">
        <f t="shared" si="18"/>
        <v/>
      </c>
    </row>
    <row r="172" spans="1:21" x14ac:dyDescent="0.25">
      <c r="A172" s="50"/>
      <c r="B172" s="51"/>
      <c r="C172" s="2"/>
      <c r="D172" s="54"/>
      <c r="E172" s="51"/>
      <c r="F172" s="2"/>
      <c r="G172" s="54"/>
      <c r="H172" s="51"/>
      <c r="I172" s="2"/>
      <c r="J172" s="54"/>
      <c r="K172" s="52"/>
      <c r="L172" s="55"/>
      <c r="T172" s="4" t="str">
        <f t="shared" si="19"/>
        <v/>
      </c>
      <c r="U172" s="4" t="str">
        <f t="shared" si="18"/>
        <v/>
      </c>
    </row>
    <row r="173" spans="1:21" x14ac:dyDescent="0.25">
      <c r="A173" s="50"/>
      <c r="B173" s="51"/>
      <c r="C173" s="2"/>
      <c r="D173" s="54"/>
      <c r="E173" s="51"/>
      <c r="F173" s="2"/>
      <c r="G173" s="54"/>
      <c r="H173" s="51"/>
      <c r="I173" s="2"/>
      <c r="J173" s="54"/>
      <c r="K173" s="52"/>
      <c r="L173" s="55"/>
      <c r="T173" s="4" t="str">
        <f t="shared" si="19"/>
        <v/>
      </c>
      <c r="U173" s="4" t="str">
        <f t="shared" si="18"/>
        <v/>
      </c>
    </row>
    <row r="174" spans="1:21" x14ac:dyDescent="0.25">
      <c r="A174" s="50"/>
      <c r="B174" s="51"/>
      <c r="C174" s="2"/>
      <c r="D174" s="54"/>
      <c r="E174" s="51"/>
      <c r="F174" s="2"/>
      <c r="G174" s="54"/>
      <c r="H174" s="51"/>
      <c r="I174" s="2"/>
      <c r="J174" s="54"/>
      <c r="K174" s="52"/>
      <c r="L174" s="55"/>
      <c r="T174" s="4" t="str">
        <f t="shared" si="19"/>
        <v/>
      </c>
      <c r="U174" s="4" t="str">
        <f t="shared" si="18"/>
        <v/>
      </c>
    </row>
    <row r="175" spans="1:21" x14ac:dyDescent="0.25">
      <c r="A175" s="50"/>
      <c r="B175" s="51"/>
      <c r="C175" s="2"/>
      <c r="D175" s="54"/>
      <c r="E175" s="51"/>
      <c r="F175" s="2"/>
      <c r="G175" s="54"/>
      <c r="H175" s="51"/>
      <c r="I175" s="2"/>
      <c r="J175" s="54"/>
      <c r="K175" s="52"/>
      <c r="L175" s="55"/>
      <c r="T175" s="4" t="str">
        <f t="shared" si="19"/>
        <v/>
      </c>
      <c r="U175" s="4" t="str">
        <f t="shared" si="18"/>
        <v/>
      </c>
    </row>
    <row r="176" spans="1:21" x14ac:dyDescent="0.25">
      <c r="A176" s="50"/>
      <c r="B176" s="51"/>
      <c r="C176" s="2"/>
      <c r="D176" s="54"/>
      <c r="E176" s="51"/>
      <c r="F176" s="2"/>
      <c r="G176" s="54"/>
      <c r="H176" s="51"/>
      <c r="I176" s="2"/>
      <c r="J176" s="54"/>
      <c r="K176" s="52"/>
      <c r="L176" s="55"/>
      <c r="T176" s="4" t="str">
        <f t="shared" si="19"/>
        <v/>
      </c>
      <c r="U176" s="4" t="str">
        <f t="shared" si="18"/>
        <v/>
      </c>
    </row>
    <row r="177" spans="1:21" x14ac:dyDescent="0.25">
      <c r="A177" s="50"/>
      <c r="B177" s="51"/>
      <c r="C177" s="2"/>
      <c r="D177" s="54"/>
      <c r="E177" s="51"/>
      <c r="F177" s="2"/>
      <c r="G177" s="54"/>
      <c r="H177" s="51"/>
      <c r="I177" s="2"/>
      <c r="J177" s="54"/>
      <c r="K177" s="52"/>
      <c r="L177" s="55"/>
      <c r="T177" s="4" t="str">
        <f t="shared" si="19"/>
        <v/>
      </c>
      <c r="U177" s="4" t="str">
        <f t="shared" si="18"/>
        <v/>
      </c>
    </row>
    <row r="178" spans="1:21" x14ac:dyDescent="0.25">
      <c r="A178" s="50"/>
      <c r="B178" s="51"/>
      <c r="C178" s="2"/>
      <c r="D178" s="54"/>
      <c r="E178" s="51"/>
      <c r="F178" s="2"/>
      <c r="G178" s="54"/>
      <c r="H178" s="51"/>
      <c r="I178" s="2"/>
      <c r="J178" s="54"/>
      <c r="K178" s="52"/>
      <c r="L178" s="55"/>
      <c r="T178" s="4" t="str">
        <f t="shared" si="19"/>
        <v/>
      </c>
      <c r="U178" s="4" t="str">
        <f t="shared" si="18"/>
        <v/>
      </c>
    </row>
    <row r="179" spans="1:21" x14ac:dyDescent="0.25">
      <c r="A179" s="50"/>
      <c r="B179" s="51"/>
      <c r="C179" s="2"/>
      <c r="D179" s="54"/>
      <c r="E179" s="51"/>
      <c r="F179" s="2"/>
      <c r="G179" s="54"/>
      <c r="H179" s="51"/>
      <c r="I179" s="2"/>
      <c r="J179" s="54"/>
      <c r="K179" s="52"/>
      <c r="L179" s="55"/>
      <c r="T179" s="4" t="str">
        <f t="shared" si="19"/>
        <v/>
      </c>
      <c r="U179" s="4" t="str">
        <f t="shared" si="18"/>
        <v/>
      </c>
    </row>
    <row r="180" spans="1:21" x14ac:dyDescent="0.25">
      <c r="A180" s="50"/>
      <c r="B180" s="51"/>
      <c r="C180" s="2"/>
      <c r="D180" s="54"/>
      <c r="E180" s="51"/>
      <c r="F180" s="2"/>
      <c r="G180" s="54"/>
      <c r="H180" s="51"/>
      <c r="I180" s="2"/>
      <c r="J180" s="54"/>
      <c r="K180" s="52"/>
      <c r="L180" s="55"/>
      <c r="T180" s="4" t="str">
        <f t="shared" si="19"/>
        <v/>
      </c>
      <c r="U180" s="4" t="str">
        <f t="shared" si="18"/>
        <v/>
      </c>
    </row>
    <row r="181" spans="1:21" x14ac:dyDescent="0.25">
      <c r="A181" s="50"/>
      <c r="B181" s="51"/>
      <c r="C181" s="2"/>
      <c r="D181" s="54"/>
      <c r="E181" s="51"/>
      <c r="F181" s="2"/>
      <c r="G181" s="54"/>
      <c r="H181" s="51"/>
      <c r="I181" s="2"/>
      <c r="J181" s="54"/>
      <c r="K181" s="52"/>
      <c r="L181" s="55"/>
      <c r="T181" s="4" t="str">
        <f t="shared" si="19"/>
        <v/>
      </c>
      <c r="U181" s="4" t="str">
        <f t="shared" si="18"/>
        <v/>
      </c>
    </row>
    <row r="182" spans="1:21" x14ac:dyDescent="0.25">
      <c r="A182" s="50"/>
      <c r="B182" s="51"/>
      <c r="C182" s="2"/>
      <c r="D182" s="54"/>
      <c r="E182" s="51"/>
      <c r="F182" s="2"/>
      <c r="G182" s="54"/>
      <c r="H182" s="51"/>
      <c r="I182" s="2"/>
      <c r="J182" s="54"/>
      <c r="K182" s="52"/>
      <c r="L182" s="55"/>
      <c r="T182" s="4" t="str">
        <f t="shared" si="19"/>
        <v/>
      </c>
      <c r="U182" s="4" t="str">
        <f t="shared" si="18"/>
        <v/>
      </c>
    </row>
    <row r="183" spans="1:21" x14ac:dyDescent="0.25">
      <c r="A183" s="50"/>
      <c r="B183" s="51"/>
      <c r="C183" s="2"/>
      <c r="D183" s="54"/>
      <c r="E183" s="51"/>
      <c r="F183" s="2"/>
      <c r="G183" s="54"/>
      <c r="H183" s="51"/>
      <c r="I183" s="2"/>
      <c r="J183" s="54"/>
      <c r="K183" s="52"/>
      <c r="L183" s="55"/>
      <c r="T183" s="4" t="str">
        <f t="shared" si="19"/>
        <v/>
      </c>
      <c r="U183" s="4" t="str">
        <f t="shared" si="18"/>
        <v/>
      </c>
    </row>
    <row r="184" spans="1:21" x14ac:dyDescent="0.25">
      <c r="A184" s="50"/>
      <c r="B184" s="51"/>
      <c r="C184" s="2"/>
      <c r="D184" s="54"/>
      <c r="E184" s="51"/>
      <c r="F184" s="2"/>
      <c r="G184" s="54"/>
      <c r="H184" s="51"/>
      <c r="I184" s="2"/>
      <c r="J184" s="54"/>
      <c r="K184" s="52"/>
      <c r="L184" s="55"/>
      <c r="T184" s="4" t="str">
        <f t="shared" si="19"/>
        <v/>
      </c>
      <c r="U184" s="4" t="str">
        <f t="shared" si="18"/>
        <v/>
      </c>
    </row>
    <row r="185" spans="1:21" x14ac:dyDescent="0.25">
      <c r="A185" s="50"/>
      <c r="B185" s="51"/>
      <c r="C185" s="2"/>
      <c r="D185" s="54"/>
      <c r="E185" s="51"/>
      <c r="F185" s="2"/>
      <c r="G185" s="54"/>
      <c r="H185" s="51"/>
      <c r="I185" s="2"/>
      <c r="J185" s="54"/>
      <c r="K185" s="52"/>
      <c r="L185" s="55"/>
      <c r="T185" s="4" t="str">
        <f t="shared" si="19"/>
        <v/>
      </c>
      <c r="U185" s="4" t="str">
        <f t="shared" si="18"/>
        <v/>
      </c>
    </row>
    <row r="186" spans="1:21" x14ac:dyDescent="0.25">
      <c r="A186" s="50"/>
      <c r="B186" s="51"/>
      <c r="C186" s="2"/>
      <c r="D186" s="54"/>
      <c r="E186" s="51"/>
      <c r="F186" s="2"/>
      <c r="G186" s="54"/>
      <c r="H186" s="51"/>
      <c r="I186" s="2"/>
      <c r="J186" s="54"/>
      <c r="K186" s="52"/>
      <c r="L186" s="55"/>
      <c r="T186" s="4" t="str">
        <f t="shared" si="19"/>
        <v/>
      </c>
      <c r="U186" s="4" t="str">
        <f t="shared" si="18"/>
        <v/>
      </c>
    </row>
    <row r="187" spans="1:21" x14ac:dyDescent="0.25">
      <c r="A187" s="50"/>
      <c r="B187" s="51"/>
      <c r="C187" s="2"/>
      <c r="D187" s="54"/>
      <c r="E187" s="51"/>
      <c r="F187" s="2"/>
      <c r="G187" s="54"/>
      <c r="H187" s="51"/>
      <c r="I187" s="2"/>
      <c r="J187" s="54"/>
      <c r="K187" s="52"/>
      <c r="L187" s="55"/>
      <c r="T187" s="4" t="str">
        <f t="shared" si="19"/>
        <v/>
      </c>
      <c r="U187" s="4" t="str">
        <f t="shared" si="18"/>
        <v/>
      </c>
    </row>
    <row r="188" spans="1:21" x14ac:dyDescent="0.25">
      <c r="A188" s="50"/>
      <c r="B188" s="51"/>
      <c r="C188" s="2"/>
      <c r="D188" s="54"/>
      <c r="E188" s="51"/>
      <c r="F188" s="2"/>
      <c r="G188" s="54"/>
      <c r="H188" s="51"/>
      <c r="I188" s="2"/>
      <c r="J188" s="54"/>
      <c r="K188" s="52"/>
      <c r="L188" s="55"/>
      <c r="T188" s="4" t="str">
        <f t="shared" si="19"/>
        <v/>
      </c>
      <c r="U188" s="4" t="str">
        <f t="shared" si="18"/>
        <v/>
      </c>
    </row>
    <row r="189" spans="1:21" x14ac:dyDescent="0.25">
      <c r="A189" s="50"/>
      <c r="B189" s="51"/>
      <c r="C189" s="2"/>
      <c r="D189" s="54"/>
      <c r="E189" s="51"/>
      <c r="F189" s="2"/>
      <c r="G189" s="54"/>
      <c r="H189" s="51"/>
      <c r="I189" s="2"/>
      <c r="J189" s="54"/>
      <c r="K189" s="52"/>
      <c r="L189" s="55"/>
      <c r="T189" s="4" t="str">
        <f t="shared" si="19"/>
        <v/>
      </c>
      <c r="U189" s="4" t="str">
        <f t="shared" si="18"/>
        <v/>
      </c>
    </row>
    <row r="190" spans="1:21" x14ac:dyDescent="0.25">
      <c r="A190" s="50"/>
      <c r="B190" s="51"/>
      <c r="C190" s="2"/>
      <c r="D190" s="54"/>
      <c r="E190" s="51"/>
      <c r="F190" s="2"/>
      <c r="G190" s="54"/>
      <c r="H190" s="51"/>
      <c r="I190" s="2"/>
      <c r="J190" s="54"/>
      <c r="K190" s="52"/>
      <c r="L190" s="55"/>
      <c r="T190" s="4" t="str">
        <f t="shared" si="19"/>
        <v/>
      </c>
      <c r="U190" s="4" t="str">
        <f t="shared" si="18"/>
        <v/>
      </c>
    </row>
    <row r="191" spans="1:21" x14ac:dyDescent="0.25">
      <c r="A191" s="50"/>
      <c r="B191" s="51"/>
      <c r="C191" s="2"/>
      <c r="D191" s="54"/>
      <c r="E191" s="51"/>
      <c r="F191" s="2"/>
      <c r="G191" s="54"/>
      <c r="H191" s="51"/>
      <c r="I191" s="2"/>
      <c r="J191" s="54"/>
      <c r="K191" s="52"/>
      <c r="L191" s="55"/>
      <c r="T191" s="4" t="str">
        <f t="shared" si="19"/>
        <v/>
      </c>
      <c r="U191" s="4" t="str">
        <f t="shared" si="18"/>
        <v/>
      </c>
    </row>
    <row r="192" spans="1:21" x14ac:dyDescent="0.25">
      <c r="A192" s="50"/>
      <c r="B192" s="51"/>
      <c r="C192" s="2"/>
      <c r="D192" s="54"/>
      <c r="E192" s="51"/>
      <c r="F192" s="2"/>
      <c r="G192" s="54"/>
      <c r="H192" s="51"/>
      <c r="I192" s="2"/>
      <c r="J192" s="54"/>
      <c r="K192" s="52"/>
      <c r="L192" s="55"/>
      <c r="T192" s="4" t="str">
        <f t="shared" si="19"/>
        <v/>
      </c>
      <c r="U192" s="4" t="str">
        <f t="shared" si="18"/>
        <v/>
      </c>
    </row>
    <row r="193" spans="1:21" x14ac:dyDescent="0.25">
      <c r="A193" s="50"/>
      <c r="B193" s="51"/>
      <c r="C193" s="2"/>
      <c r="D193" s="54"/>
      <c r="E193" s="51"/>
      <c r="F193" s="2"/>
      <c r="G193" s="54"/>
      <c r="H193" s="51"/>
      <c r="I193" s="2"/>
      <c r="J193" s="54"/>
      <c r="K193" s="52"/>
      <c r="L193" s="55"/>
      <c r="T193" s="4" t="str">
        <f t="shared" si="19"/>
        <v/>
      </c>
      <c r="U193" s="4" t="str">
        <f t="shared" si="18"/>
        <v/>
      </c>
    </row>
    <row r="194" spans="1:21" x14ac:dyDescent="0.25">
      <c r="A194" s="50"/>
      <c r="B194" s="51"/>
      <c r="C194" s="2"/>
      <c r="D194" s="54"/>
      <c r="E194" s="51"/>
      <c r="F194" s="2"/>
      <c r="G194" s="54"/>
      <c r="H194" s="51"/>
      <c r="I194" s="2"/>
      <c r="J194" s="54"/>
      <c r="K194" s="52"/>
      <c r="L194" s="55"/>
      <c r="T194" s="4" t="str">
        <f t="shared" si="19"/>
        <v/>
      </c>
      <c r="U194" s="4" t="str">
        <f t="shared" si="18"/>
        <v/>
      </c>
    </row>
    <row r="195" spans="1:21" x14ac:dyDescent="0.25">
      <c r="A195" s="50"/>
      <c r="B195" s="51"/>
      <c r="C195" s="2"/>
      <c r="D195" s="54"/>
      <c r="E195" s="51"/>
      <c r="F195" s="2"/>
      <c r="G195" s="54"/>
      <c r="H195" s="51"/>
      <c r="I195" s="2"/>
      <c r="J195" s="54"/>
      <c r="K195" s="52"/>
      <c r="L195" s="55"/>
      <c r="T195" s="4" t="str">
        <f t="shared" si="19"/>
        <v/>
      </c>
      <c r="U195" s="4" t="str">
        <f t="shared" ref="U195:U258" si="20">IF(T195&gt;$A$14,T195,"")</f>
        <v/>
      </c>
    </row>
    <row r="196" spans="1:21" x14ac:dyDescent="0.25">
      <c r="A196" s="50"/>
      <c r="B196" s="51"/>
      <c r="C196" s="2"/>
      <c r="D196" s="54"/>
      <c r="E196" s="51"/>
      <c r="F196" s="2"/>
      <c r="G196" s="54"/>
      <c r="H196" s="51"/>
      <c r="I196" s="2"/>
      <c r="J196" s="54"/>
      <c r="K196" s="52"/>
      <c r="L196" s="55"/>
      <c r="T196" s="4" t="str">
        <f t="shared" ref="T196:T259" si="21">IF(COUNTIF(P:P,N196)*COUNTIF(R:R,N196),N196,"")</f>
        <v/>
      </c>
      <c r="U196" s="4" t="str">
        <f t="shared" si="20"/>
        <v/>
      </c>
    </row>
    <row r="197" spans="1:21" x14ac:dyDescent="0.25">
      <c r="A197" s="50"/>
      <c r="B197" s="51"/>
      <c r="C197" s="2"/>
      <c r="D197" s="54"/>
      <c r="E197" s="51"/>
      <c r="F197" s="2"/>
      <c r="G197" s="54"/>
      <c r="H197" s="51"/>
      <c r="I197" s="2"/>
      <c r="J197" s="54"/>
      <c r="K197" s="52"/>
      <c r="L197" s="55"/>
      <c r="T197" s="4" t="str">
        <f t="shared" si="21"/>
        <v/>
      </c>
      <c r="U197" s="4" t="str">
        <f t="shared" si="20"/>
        <v/>
      </c>
    </row>
    <row r="198" spans="1:21" x14ac:dyDescent="0.25">
      <c r="A198" s="50"/>
      <c r="B198" s="51"/>
      <c r="C198" s="2"/>
      <c r="D198" s="54"/>
      <c r="E198" s="51"/>
      <c r="F198" s="2"/>
      <c r="G198" s="54"/>
      <c r="H198" s="51"/>
      <c r="I198" s="2"/>
      <c r="J198" s="54"/>
      <c r="K198" s="52"/>
      <c r="L198" s="55"/>
      <c r="T198" s="4" t="str">
        <f t="shared" si="21"/>
        <v/>
      </c>
      <c r="U198" s="4" t="str">
        <f t="shared" si="20"/>
        <v/>
      </c>
    </row>
    <row r="199" spans="1:21" x14ac:dyDescent="0.25">
      <c r="A199" s="50"/>
      <c r="B199" s="51"/>
      <c r="C199" s="2"/>
      <c r="D199" s="54"/>
      <c r="E199" s="51"/>
      <c r="F199" s="2"/>
      <c r="G199" s="54"/>
      <c r="H199" s="51"/>
      <c r="I199" s="2"/>
      <c r="J199" s="54"/>
      <c r="K199" s="52"/>
      <c r="L199" s="55"/>
      <c r="T199" s="4" t="str">
        <f t="shared" si="21"/>
        <v/>
      </c>
      <c r="U199" s="4" t="str">
        <f t="shared" si="20"/>
        <v/>
      </c>
    </row>
    <row r="200" spans="1:21" x14ac:dyDescent="0.25">
      <c r="A200" s="50"/>
      <c r="B200" s="51"/>
      <c r="C200" s="2"/>
      <c r="D200" s="54"/>
      <c r="E200" s="51"/>
      <c r="F200" s="2"/>
      <c r="G200" s="54"/>
      <c r="H200" s="51"/>
      <c r="I200" s="2"/>
      <c r="J200" s="54"/>
      <c r="K200" s="52"/>
      <c r="L200" s="55"/>
      <c r="T200" s="4" t="str">
        <f t="shared" si="21"/>
        <v/>
      </c>
      <c r="U200" s="4" t="str">
        <f t="shared" si="20"/>
        <v/>
      </c>
    </row>
    <row r="201" spans="1:21" x14ac:dyDescent="0.25">
      <c r="A201" s="50"/>
      <c r="B201" s="51"/>
      <c r="C201" s="2"/>
      <c r="D201" s="54"/>
      <c r="E201" s="51"/>
      <c r="F201" s="2"/>
      <c r="G201" s="54"/>
      <c r="H201" s="51"/>
      <c r="I201" s="2"/>
      <c r="J201" s="54"/>
      <c r="K201" s="52"/>
      <c r="L201" s="55"/>
      <c r="T201" s="4" t="str">
        <f t="shared" si="21"/>
        <v/>
      </c>
      <c r="U201" s="4" t="str">
        <f t="shared" si="20"/>
        <v/>
      </c>
    </row>
    <row r="202" spans="1:21" x14ac:dyDescent="0.25">
      <c r="A202" s="50"/>
      <c r="B202" s="51"/>
      <c r="C202" s="2"/>
      <c r="D202" s="54"/>
      <c r="E202" s="51"/>
      <c r="F202" s="2"/>
      <c r="G202" s="54"/>
      <c r="H202" s="51"/>
      <c r="I202" s="2"/>
      <c r="J202" s="54"/>
      <c r="K202" s="52"/>
      <c r="L202" s="55"/>
      <c r="T202" s="4" t="str">
        <f t="shared" si="21"/>
        <v/>
      </c>
      <c r="U202" s="4" t="str">
        <f t="shared" si="20"/>
        <v/>
      </c>
    </row>
    <row r="203" spans="1:21" x14ac:dyDescent="0.25">
      <c r="A203" s="50"/>
      <c r="B203" s="51"/>
      <c r="C203" s="2"/>
      <c r="D203" s="54"/>
      <c r="E203" s="51"/>
      <c r="F203" s="2"/>
      <c r="G203" s="54"/>
      <c r="H203" s="51"/>
      <c r="I203" s="2"/>
      <c r="J203" s="54"/>
      <c r="K203" s="52"/>
      <c r="L203" s="55"/>
      <c r="T203" s="4" t="str">
        <f t="shared" si="21"/>
        <v/>
      </c>
      <c r="U203" s="4" t="str">
        <f t="shared" si="20"/>
        <v/>
      </c>
    </row>
    <row r="204" spans="1:21" x14ac:dyDescent="0.25">
      <c r="A204" s="50"/>
      <c r="B204" s="51"/>
      <c r="C204" s="2"/>
      <c r="D204" s="54"/>
      <c r="E204" s="51"/>
      <c r="F204" s="2"/>
      <c r="G204" s="54"/>
      <c r="H204" s="51"/>
      <c r="I204" s="2"/>
      <c r="J204" s="54"/>
      <c r="K204" s="52"/>
      <c r="L204" s="55"/>
      <c r="T204" s="4" t="str">
        <f t="shared" si="21"/>
        <v/>
      </c>
      <c r="U204" s="4" t="str">
        <f t="shared" si="20"/>
        <v/>
      </c>
    </row>
    <row r="205" spans="1:21" x14ac:dyDescent="0.25">
      <c r="A205" s="50"/>
      <c r="B205" s="51"/>
      <c r="C205" s="2"/>
      <c r="D205" s="54"/>
      <c r="E205" s="51"/>
      <c r="F205" s="2"/>
      <c r="G205" s="54"/>
      <c r="H205" s="51"/>
      <c r="I205" s="2"/>
      <c r="J205" s="54"/>
      <c r="K205" s="52"/>
      <c r="L205" s="55"/>
      <c r="T205" s="4" t="str">
        <f t="shared" si="21"/>
        <v/>
      </c>
      <c r="U205" s="4" t="str">
        <f t="shared" si="20"/>
        <v/>
      </c>
    </row>
    <row r="206" spans="1:21" x14ac:dyDescent="0.25">
      <c r="A206" s="50"/>
      <c r="B206" s="51"/>
      <c r="C206" s="2"/>
      <c r="D206" s="54"/>
      <c r="E206" s="51"/>
      <c r="F206" s="2"/>
      <c r="G206" s="54"/>
      <c r="H206" s="51"/>
      <c r="I206" s="2"/>
      <c r="J206" s="54"/>
      <c r="K206" s="52"/>
      <c r="L206" s="55"/>
      <c r="T206" s="4" t="str">
        <f t="shared" si="21"/>
        <v/>
      </c>
      <c r="U206" s="4" t="str">
        <f t="shared" si="20"/>
        <v/>
      </c>
    </row>
    <row r="207" spans="1:21" x14ac:dyDescent="0.25">
      <c r="A207" s="50"/>
      <c r="B207" s="51"/>
      <c r="C207" s="2"/>
      <c r="D207" s="54"/>
      <c r="E207" s="51"/>
      <c r="F207" s="2"/>
      <c r="G207" s="54"/>
      <c r="H207" s="51"/>
      <c r="I207" s="2"/>
      <c r="J207" s="54"/>
      <c r="K207" s="52"/>
      <c r="L207" s="55"/>
      <c r="T207" s="4" t="str">
        <f t="shared" si="21"/>
        <v/>
      </c>
      <c r="U207" s="4" t="str">
        <f t="shared" si="20"/>
        <v/>
      </c>
    </row>
    <row r="208" spans="1:21" x14ac:dyDescent="0.25">
      <c r="A208" s="50"/>
      <c r="B208" s="51"/>
      <c r="C208" s="2"/>
      <c r="D208" s="54"/>
      <c r="E208" s="51"/>
      <c r="F208" s="2"/>
      <c r="G208" s="54"/>
      <c r="H208" s="51"/>
      <c r="I208" s="2"/>
      <c r="J208" s="54"/>
      <c r="K208" s="52"/>
      <c r="L208" s="55"/>
      <c r="T208" s="4" t="str">
        <f t="shared" si="21"/>
        <v/>
      </c>
      <c r="U208" s="4" t="str">
        <f t="shared" si="20"/>
        <v/>
      </c>
    </row>
    <row r="209" spans="1:21" x14ac:dyDescent="0.25">
      <c r="A209" s="50"/>
      <c r="B209" s="51"/>
      <c r="C209" s="2"/>
      <c r="D209" s="54"/>
      <c r="E209" s="51"/>
      <c r="F209" s="2"/>
      <c r="G209" s="54"/>
      <c r="H209" s="51"/>
      <c r="I209" s="2"/>
      <c r="J209" s="54"/>
      <c r="K209" s="52"/>
      <c r="L209" s="55"/>
      <c r="T209" s="4" t="str">
        <f t="shared" si="21"/>
        <v/>
      </c>
      <c r="U209" s="4" t="str">
        <f t="shared" si="20"/>
        <v/>
      </c>
    </row>
    <row r="210" spans="1:21" x14ac:dyDescent="0.25">
      <c r="A210" s="50"/>
      <c r="B210" s="51"/>
      <c r="C210" s="2"/>
      <c r="D210" s="54"/>
      <c r="E210" s="51"/>
      <c r="F210" s="2"/>
      <c r="G210" s="54"/>
      <c r="H210" s="51"/>
      <c r="I210" s="2"/>
      <c r="J210" s="54"/>
      <c r="K210" s="52"/>
      <c r="L210" s="55"/>
      <c r="T210" s="4" t="str">
        <f t="shared" si="21"/>
        <v/>
      </c>
      <c r="U210" s="4" t="str">
        <f t="shared" si="20"/>
        <v/>
      </c>
    </row>
    <row r="211" spans="1:21" x14ac:dyDescent="0.25">
      <c r="A211" s="50"/>
      <c r="B211" s="51"/>
      <c r="C211" s="2"/>
      <c r="D211" s="54"/>
      <c r="E211" s="51"/>
      <c r="F211" s="2"/>
      <c r="G211" s="54"/>
      <c r="H211" s="51"/>
      <c r="I211" s="2"/>
      <c r="J211" s="54"/>
      <c r="K211" s="52"/>
      <c r="L211" s="55"/>
      <c r="T211" s="4" t="str">
        <f t="shared" si="21"/>
        <v/>
      </c>
      <c r="U211" s="4" t="str">
        <f t="shared" si="20"/>
        <v/>
      </c>
    </row>
    <row r="212" spans="1:21" x14ac:dyDescent="0.25">
      <c r="A212" s="50"/>
      <c r="B212" s="51"/>
      <c r="C212" s="2"/>
      <c r="D212" s="54"/>
      <c r="E212" s="51"/>
      <c r="F212" s="2"/>
      <c r="G212" s="54"/>
      <c r="H212" s="51"/>
      <c r="I212" s="2"/>
      <c r="J212" s="54"/>
      <c r="K212" s="52"/>
      <c r="L212" s="55"/>
      <c r="T212" s="4" t="str">
        <f t="shared" si="21"/>
        <v/>
      </c>
      <c r="U212" s="4" t="str">
        <f t="shared" si="20"/>
        <v/>
      </c>
    </row>
    <row r="213" spans="1:21" x14ac:dyDescent="0.25">
      <c r="A213" s="50"/>
      <c r="B213" s="51"/>
      <c r="C213" s="2"/>
      <c r="D213" s="54"/>
      <c r="E213" s="51"/>
      <c r="F213" s="2"/>
      <c r="G213" s="54"/>
      <c r="H213" s="51"/>
      <c r="I213" s="2"/>
      <c r="J213" s="54"/>
      <c r="K213" s="52"/>
      <c r="L213" s="55"/>
      <c r="T213" s="4" t="str">
        <f t="shared" si="21"/>
        <v/>
      </c>
      <c r="U213" s="4" t="str">
        <f t="shared" si="20"/>
        <v/>
      </c>
    </row>
    <row r="214" spans="1:21" x14ac:dyDescent="0.25">
      <c r="A214" s="50"/>
      <c r="B214" s="51"/>
      <c r="C214" s="2"/>
      <c r="D214" s="54"/>
      <c r="E214" s="51"/>
      <c r="F214" s="2"/>
      <c r="G214" s="54"/>
      <c r="H214" s="51"/>
      <c r="I214" s="2"/>
      <c r="J214" s="54"/>
      <c r="K214" s="52"/>
      <c r="L214" s="55"/>
      <c r="T214" s="4" t="str">
        <f t="shared" si="21"/>
        <v/>
      </c>
      <c r="U214" s="4" t="str">
        <f t="shared" si="20"/>
        <v/>
      </c>
    </row>
    <row r="215" spans="1:21" x14ac:dyDescent="0.25">
      <c r="A215" s="50"/>
      <c r="B215" s="51"/>
      <c r="C215" s="2"/>
      <c r="D215" s="54"/>
      <c r="E215" s="51"/>
      <c r="F215" s="2"/>
      <c r="G215" s="54"/>
      <c r="H215" s="51"/>
      <c r="I215" s="2"/>
      <c r="J215" s="54"/>
      <c r="K215" s="52"/>
      <c r="L215" s="55"/>
      <c r="T215" s="4" t="str">
        <f t="shared" si="21"/>
        <v/>
      </c>
      <c r="U215" s="4" t="str">
        <f t="shared" si="20"/>
        <v/>
      </c>
    </row>
    <row r="216" spans="1:21" x14ac:dyDescent="0.25">
      <c r="A216" s="50"/>
      <c r="B216" s="51"/>
      <c r="C216" s="2"/>
      <c r="D216" s="54"/>
      <c r="E216" s="51"/>
      <c r="F216" s="2"/>
      <c r="G216" s="54"/>
      <c r="H216" s="51"/>
      <c r="I216" s="2"/>
      <c r="J216" s="54"/>
      <c r="K216" s="52"/>
      <c r="L216" s="55"/>
      <c r="T216" s="4" t="str">
        <f t="shared" si="21"/>
        <v/>
      </c>
      <c r="U216" s="4" t="str">
        <f t="shared" si="20"/>
        <v/>
      </c>
    </row>
    <row r="217" spans="1:21" x14ac:dyDescent="0.25">
      <c r="A217" s="50"/>
      <c r="B217" s="51"/>
      <c r="C217" s="2"/>
      <c r="D217" s="54"/>
      <c r="E217" s="51"/>
      <c r="F217" s="2"/>
      <c r="G217" s="54"/>
      <c r="H217" s="51"/>
      <c r="I217" s="2"/>
      <c r="J217" s="54"/>
      <c r="K217" s="52"/>
      <c r="L217" s="55"/>
      <c r="T217" s="4" t="str">
        <f t="shared" si="21"/>
        <v/>
      </c>
      <c r="U217" s="4" t="str">
        <f t="shared" si="20"/>
        <v/>
      </c>
    </row>
    <row r="218" spans="1:21" x14ac:dyDescent="0.25">
      <c r="A218" s="50"/>
      <c r="B218" s="51"/>
      <c r="C218" s="2"/>
      <c r="D218" s="54"/>
      <c r="E218" s="51"/>
      <c r="F218" s="2"/>
      <c r="G218" s="54"/>
      <c r="H218" s="51"/>
      <c r="I218" s="2"/>
      <c r="J218" s="54"/>
      <c r="K218" s="52"/>
      <c r="L218" s="55"/>
      <c r="T218" s="4" t="str">
        <f t="shared" si="21"/>
        <v/>
      </c>
      <c r="U218" s="4" t="str">
        <f t="shared" si="20"/>
        <v/>
      </c>
    </row>
    <row r="219" spans="1:21" x14ac:dyDescent="0.25">
      <c r="A219" s="50"/>
      <c r="B219" s="51"/>
      <c r="C219" s="2"/>
      <c r="D219" s="54"/>
      <c r="E219" s="51"/>
      <c r="F219" s="2"/>
      <c r="G219" s="54"/>
      <c r="H219" s="51"/>
      <c r="I219" s="2"/>
      <c r="J219" s="54"/>
      <c r="K219" s="52"/>
      <c r="L219" s="55"/>
      <c r="T219" s="4" t="str">
        <f t="shared" si="21"/>
        <v/>
      </c>
      <c r="U219" s="4" t="str">
        <f t="shared" si="20"/>
        <v/>
      </c>
    </row>
    <row r="220" spans="1:21" x14ac:dyDescent="0.25">
      <c r="A220" s="50"/>
      <c r="B220" s="51"/>
      <c r="C220" s="2"/>
      <c r="D220" s="54"/>
      <c r="E220" s="51"/>
      <c r="F220" s="2"/>
      <c r="G220" s="54"/>
      <c r="H220" s="51"/>
      <c r="I220" s="2"/>
      <c r="J220" s="54"/>
      <c r="K220" s="52"/>
      <c r="L220" s="55"/>
      <c r="T220" s="4" t="str">
        <f t="shared" si="21"/>
        <v/>
      </c>
      <c r="U220" s="4" t="str">
        <f t="shared" si="20"/>
        <v/>
      </c>
    </row>
    <row r="221" spans="1:21" x14ac:dyDescent="0.25">
      <c r="A221" s="50"/>
      <c r="B221" s="51"/>
      <c r="C221" s="2"/>
      <c r="D221" s="54"/>
      <c r="E221" s="51"/>
      <c r="F221" s="2"/>
      <c r="G221" s="54"/>
      <c r="H221" s="51"/>
      <c r="I221" s="2"/>
      <c r="J221" s="54"/>
      <c r="K221" s="52"/>
      <c r="L221" s="55"/>
      <c r="T221" s="4" t="str">
        <f t="shared" si="21"/>
        <v/>
      </c>
      <c r="U221" s="4" t="str">
        <f t="shared" si="20"/>
        <v/>
      </c>
    </row>
    <row r="222" spans="1:21" x14ac:dyDescent="0.25">
      <c r="A222" s="50"/>
      <c r="B222" s="51"/>
      <c r="C222" s="2"/>
      <c r="D222" s="54"/>
      <c r="E222" s="51"/>
      <c r="F222" s="2"/>
      <c r="G222" s="54"/>
      <c r="H222" s="51"/>
      <c r="I222" s="2"/>
      <c r="J222" s="54"/>
      <c r="K222" s="52"/>
      <c r="L222" s="55"/>
      <c r="T222" s="4" t="str">
        <f t="shared" si="21"/>
        <v/>
      </c>
      <c r="U222" s="4" t="str">
        <f t="shared" si="20"/>
        <v/>
      </c>
    </row>
    <row r="223" spans="1:21" x14ac:dyDescent="0.25">
      <c r="A223" s="50"/>
      <c r="B223" s="51"/>
      <c r="C223" s="2"/>
      <c r="D223" s="54"/>
      <c r="E223" s="51"/>
      <c r="F223" s="2"/>
      <c r="G223" s="54"/>
      <c r="H223" s="51"/>
      <c r="I223" s="2"/>
      <c r="J223" s="54"/>
      <c r="K223" s="52"/>
      <c r="L223" s="55"/>
      <c r="T223" s="4" t="str">
        <f t="shared" si="21"/>
        <v/>
      </c>
      <c r="U223" s="4" t="str">
        <f t="shared" si="20"/>
        <v/>
      </c>
    </row>
    <row r="224" spans="1:21" x14ac:dyDescent="0.25">
      <c r="A224" s="50"/>
      <c r="B224" s="51"/>
      <c r="C224" s="2"/>
      <c r="D224" s="54"/>
      <c r="E224" s="51"/>
      <c r="F224" s="2"/>
      <c r="G224" s="54"/>
      <c r="H224" s="51"/>
      <c r="I224" s="2"/>
      <c r="J224" s="54"/>
      <c r="K224" s="52"/>
      <c r="L224" s="55"/>
      <c r="T224" s="4" t="str">
        <f t="shared" si="21"/>
        <v/>
      </c>
      <c r="U224" s="4" t="str">
        <f t="shared" si="20"/>
        <v/>
      </c>
    </row>
    <row r="225" spans="1:21" x14ac:dyDescent="0.25">
      <c r="A225" s="50"/>
      <c r="B225" s="51"/>
      <c r="C225" s="2"/>
      <c r="D225" s="54"/>
      <c r="E225" s="51"/>
      <c r="F225" s="2"/>
      <c r="G225" s="54"/>
      <c r="H225" s="51"/>
      <c r="I225" s="2"/>
      <c r="J225" s="54"/>
      <c r="K225" s="52"/>
      <c r="L225" s="55"/>
      <c r="T225" s="4" t="str">
        <f t="shared" si="21"/>
        <v/>
      </c>
      <c r="U225" s="4" t="str">
        <f t="shared" si="20"/>
        <v/>
      </c>
    </row>
    <row r="226" spans="1:21" x14ac:dyDescent="0.25">
      <c r="A226" s="50"/>
      <c r="B226" s="51"/>
      <c r="C226" s="2"/>
      <c r="D226" s="54"/>
      <c r="E226" s="51"/>
      <c r="F226" s="2"/>
      <c r="G226" s="54"/>
      <c r="H226" s="51"/>
      <c r="I226" s="2"/>
      <c r="J226" s="54"/>
      <c r="K226" s="52"/>
      <c r="L226" s="55"/>
      <c r="T226" s="4" t="str">
        <f t="shared" si="21"/>
        <v/>
      </c>
      <c r="U226" s="4" t="str">
        <f t="shared" si="20"/>
        <v/>
      </c>
    </row>
    <row r="227" spans="1:21" x14ac:dyDescent="0.25">
      <c r="A227" s="50"/>
      <c r="B227" s="51"/>
      <c r="C227" s="2"/>
      <c r="D227" s="54"/>
      <c r="E227" s="51"/>
      <c r="F227" s="2"/>
      <c r="G227" s="54"/>
      <c r="H227" s="51"/>
      <c r="I227" s="2"/>
      <c r="J227" s="54"/>
      <c r="K227" s="52"/>
      <c r="L227" s="55"/>
      <c r="T227" s="4" t="str">
        <f t="shared" si="21"/>
        <v/>
      </c>
      <c r="U227" s="4" t="str">
        <f t="shared" si="20"/>
        <v/>
      </c>
    </row>
    <row r="228" spans="1:21" x14ac:dyDescent="0.25">
      <c r="A228" s="50"/>
      <c r="B228" s="51"/>
      <c r="C228" s="2"/>
      <c r="D228" s="54"/>
      <c r="E228" s="51"/>
      <c r="F228" s="2"/>
      <c r="G228" s="54"/>
      <c r="H228" s="51"/>
      <c r="I228" s="2"/>
      <c r="J228" s="54"/>
      <c r="K228" s="52"/>
      <c r="L228" s="55"/>
      <c r="T228" s="4" t="str">
        <f t="shared" si="21"/>
        <v/>
      </c>
      <c r="U228" s="4" t="str">
        <f t="shared" si="20"/>
        <v/>
      </c>
    </row>
    <row r="229" spans="1:21" x14ac:dyDescent="0.25">
      <c r="A229" s="50"/>
      <c r="B229" s="51"/>
      <c r="C229" s="2"/>
      <c r="D229" s="54"/>
      <c r="E229" s="51"/>
      <c r="F229" s="2"/>
      <c r="G229" s="54"/>
      <c r="H229" s="51"/>
      <c r="I229" s="2"/>
      <c r="J229" s="54"/>
      <c r="K229" s="52"/>
      <c r="L229" s="55"/>
      <c r="T229" s="4" t="str">
        <f t="shared" si="21"/>
        <v/>
      </c>
      <c r="U229" s="4" t="str">
        <f t="shared" si="20"/>
        <v/>
      </c>
    </row>
    <row r="230" spans="1:21" x14ac:dyDescent="0.25">
      <c r="A230" s="50"/>
      <c r="B230" s="51"/>
      <c r="C230" s="2"/>
      <c r="D230" s="54"/>
      <c r="E230" s="51"/>
      <c r="F230" s="2"/>
      <c r="G230" s="54"/>
      <c r="H230" s="51"/>
      <c r="I230" s="2"/>
      <c r="J230" s="54"/>
      <c r="K230" s="52"/>
      <c r="L230" s="55"/>
      <c r="T230" s="4" t="str">
        <f t="shared" si="21"/>
        <v/>
      </c>
      <c r="U230" s="4" t="str">
        <f t="shared" si="20"/>
        <v/>
      </c>
    </row>
    <row r="231" spans="1:21" x14ac:dyDescent="0.25">
      <c r="A231" s="50"/>
      <c r="B231" s="51"/>
      <c r="C231" s="2"/>
      <c r="D231" s="54"/>
      <c r="E231" s="51"/>
      <c r="F231" s="2"/>
      <c r="G231" s="54"/>
      <c r="H231" s="51"/>
      <c r="I231" s="2"/>
      <c r="J231" s="54"/>
      <c r="K231" s="52"/>
      <c r="L231" s="55"/>
      <c r="T231" s="4" t="str">
        <f t="shared" si="21"/>
        <v/>
      </c>
      <c r="U231" s="4" t="str">
        <f t="shared" si="20"/>
        <v/>
      </c>
    </row>
    <row r="232" spans="1:21" x14ac:dyDescent="0.25">
      <c r="A232" s="50"/>
      <c r="B232" s="51"/>
      <c r="C232" s="2"/>
      <c r="D232" s="54"/>
      <c r="E232" s="51"/>
      <c r="F232" s="2"/>
      <c r="G232" s="54"/>
      <c r="H232" s="51"/>
      <c r="I232" s="2"/>
      <c r="J232" s="54"/>
      <c r="K232" s="52"/>
      <c r="L232" s="55"/>
      <c r="T232" s="4" t="str">
        <f t="shared" si="21"/>
        <v/>
      </c>
      <c r="U232" s="4" t="str">
        <f t="shared" si="20"/>
        <v/>
      </c>
    </row>
    <row r="233" spans="1:21" x14ac:dyDescent="0.25">
      <c r="A233" s="50"/>
      <c r="B233" s="51"/>
      <c r="C233" s="2"/>
      <c r="D233" s="54"/>
      <c r="E233" s="51"/>
      <c r="F233" s="2"/>
      <c r="G233" s="54"/>
      <c r="H233" s="51"/>
      <c r="I233" s="2"/>
      <c r="J233" s="54"/>
      <c r="K233" s="52"/>
      <c r="L233" s="55"/>
      <c r="T233" s="4" t="str">
        <f t="shared" si="21"/>
        <v/>
      </c>
      <c r="U233" s="4" t="str">
        <f t="shared" si="20"/>
        <v/>
      </c>
    </row>
    <row r="234" spans="1:21" x14ac:dyDescent="0.25">
      <c r="A234" s="50"/>
      <c r="B234" s="51"/>
      <c r="C234" s="2"/>
      <c r="D234" s="54"/>
      <c r="E234" s="51"/>
      <c r="F234" s="2"/>
      <c r="G234" s="54"/>
      <c r="H234" s="51"/>
      <c r="I234" s="2"/>
      <c r="J234" s="54"/>
      <c r="K234" s="52"/>
      <c r="L234" s="55"/>
      <c r="T234" s="4" t="str">
        <f t="shared" si="21"/>
        <v/>
      </c>
      <c r="U234" s="4" t="str">
        <f t="shared" si="20"/>
        <v/>
      </c>
    </row>
    <row r="235" spans="1:21" x14ac:dyDescent="0.25">
      <c r="A235" s="50"/>
      <c r="B235" s="51"/>
      <c r="C235" s="2"/>
      <c r="D235" s="54"/>
      <c r="E235" s="51"/>
      <c r="F235" s="2"/>
      <c r="G235" s="54"/>
      <c r="H235" s="51"/>
      <c r="I235" s="2"/>
      <c r="J235" s="54"/>
      <c r="K235" s="52"/>
      <c r="L235" s="55"/>
      <c r="T235" s="4" t="str">
        <f t="shared" si="21"/>
        <v/>
      </c>
      <c r="U235" s="4" t="str">
        <f t="shared" si="20"/>
        <v/>
      </c>
    </row>
    <row r="236" spans="1:21" x14ac:dyDescent="0.25">
      <c r="A236" s="50"/>
      <c r="B236" s="51"/>
      <c r="C236" s="2"/>
      <c r="D236" s="54"/>
      <c r="E236" s="51"/>
      <c r="F236" s="2"/>
      <c r="G236" s="54"/>
      <c r="H236" s="51"/>
      <c r="I236" s="2"/>
      <c r="J236" s="54"/>
      <c r="K236" s="52"/>
      <c r="L236" s="55"/>
      <c r="T236" s="4" t="str">
        <f t="shared" si="21"/>
        <v/>
      </c>
      <c r="U236" s="4" t="str">
        <f t="shared" si="20"/>
        <v/>
      </c>
    </row>
    <row r="237" spans="1:21" x14ac:dyDescent="0.25">
      <c r="A237" s="50"/>
      <c r="B237" s="51"/>
      <c r="C237" s="2"/>
      <c r="D237" s="54"/>
      <c r="E237" s="51"/>
      <c r="F237" s="2"/>
      <c r="G237" s="54"/>
      <c r="H237" s="51"/>
      <c r="I237" s="2"/>
      <c r="J237" s="54"/>
      <c r="K237" s="52"/>
      <c r="L237" s="55"/>
      <c r="T237" s="4" t="str">
        <f t="shared" si="21"/>
        <v/>
      </c>
      <c r="U237" s="4" t="str">
        <f t="shared" si="20"/>
        <v/>
      </c>
    </row>
    <row r="238" spans="1:21" x14ac:dyDescent="0.25">
      <c r="A238" s="50"/>
      <c r="B238" s="51"/>
      <c r="C238" s="2"/>
      <c r="D238" s="54"/>
      <c r="E238" s="51"/>
      <c r="F238" s="2"/>
      <c r="G238" s="54"/>
      <c r="H238" s="51"/>
      <c r="I238" s="2"/>
      <c r="J238" s="54"/>
      <c r="K238" s="52"/>
      <c r="L238" s="55"/>
      <c r="T238" s="4" t="str">
        <f t="shared" si="21"/>
        <v/>
      </c>
      <c r="U238" s="4" t="str">
        <f t="shared" si="20"/>
        <v/>
      </c>
    </row>
    <row r="239" spans="1:21" x14ac:dyDescent="0.25">
      <c r="A239" s="50"/>
      <c r="B239" s="51"/>
      <c r="C239" s="2"/>
      <c r="D239" s="54"/>
      <c r="E239" s="51"/>
      <c r="F239" s="2"/>
      <c r="G239" s="54"/>
      <c r="H239" s="51"/>
      <c r="I239" s="2"/>
      <c r="J239" s="54"/>
      <c r="K239" s="52"/>
      <c r="L239" s="55"/>
      <c r="T239" s="4" t="str">
        <f t="shared" si="21"/>
        <v/>
      </c>
      <c r="U239" s="4" t="str">
        <f t="shared" si="20"/>
        <v/>
      </c>
    </row>
    <row r="240" spans="1:21" x14ac:dyDescent="0.25">
      <c r="A240" s="50"/>
      <c r="B240" s="51"/>
      <c r="C240" s="2"/>
      <c r="D240" s="54"/>
      <c r="E240" s="51"/>
      <c r="F240" s="2"/>
      <c r="G240" s="54"/>
      <c r="H240" s="51"/>
      <c r="I240" s="2"/>
      <c r="J240" s="54"/>
      <c r="K240" s="52"/>
      <c r="L240" s="55"/>
      <c r="T240" s="4" t="str">
        <f t="shared" si="21"/>
        <v/>
      </c>
      <c r="U240" s="4" t="str">
        <f t="shared" si="20"/>
        <v/>
      </c>
    </row>
    <row r="241" spans="1:21" x14ac:dyDescent="0.25">
      <c r="A241" s="50"/>
      <c r="B241" s="51"/>
      <c r="C241" s="2"/>
      <c r="D241" s="54"/>
      <c r="E241" s="51"/>
      <c r="F241" s="2"/>
      <c r="G241" s="54"/>
      <c r="H241" s="51"/>
      <c r="I241" s="2"/>
      <c r="J241" s="54"/>
      <c r="K241" s="52"/>
      <c r="L241" s="55"/>
      <c r="T241" s="4" t="str">
        <f t="shared" si="21"/>
        <v/>
      </c>
      <c r="U241" s="4" t="str">
        <f t="shared" si="20"/>
        <v/>
      </c>
    </row>
    <row r="242" spans="1:21" x14ac:dyDescent="0.25">
      <c r="A242" s="50"/>
      <c r="B242" s="51"/>
      <c r="C242" s="2"/>
      <c r="D242" s="54"/>
      <c r="E242" s="51"/>
      <c r="F242" s="2"/>
      <c r="G242" s="54"/>
      <c r="H242" s="51"/>
      <c r="I242" s="2"/>
      <c r="J242" s="54"/>
      <c r="K242" s="52"/>
      <c r="L242" s="55"/>
      <c r="T242" s="4" t="str">
        <f t="shared" si="21"/>
        <v/>
      </c>
      <c r="U242" s="4" t="str">
        <f t="shared" si="20"/>
        <v/>
      </c>
    </row>
    <row r="243" spans="1:21" x14ac:dyDescent="0.25">
      <c r="A243" s="50"/>
      <c r="B243" s="51"/>
      <c r="C243" s="2"/>
      <c r="D243" s="54"/>
      <c r="E243" s="51"/>
      <c r="F243" s="2"/>
      <c r="G243" s="54"/>
      <c r="H243" s="51"/>
      <c r="I243" s="2"/>
      <c r="J243" s="54"/>
      <c r="K243" s="52"/>
      <c r="L243" s="55"/>
      <c r="T243" s="4" t="str">
        <f t="shared" si="21"/>
        <v/>
      </c>
      <c r="U243" s="4" t="str">
        <f t="shared" si="20"/>
        <v/>
      </c>
    </row>
    <row r="244" spans="1:21" x14ac:dyDescent="0.25">
      <c r="A244" s="50"/>
      <c r="B244" s="51"/>
      <c r="C244" s="2"/>
      <c r="D244" s="54"/>
      <c r="E244" s="51"/>
      <c r="F244" s="2"/>
      <c r="G244" s="54"/>
      <c r="H244" s="51"/>
      <c r="I244" s="2"/>
      <c r="J244" s="54"/>
      <c r="K244" s="52"/>
      <c r="L244" s="55"/>
      <c r="T244" s="4" t="str">
        <f t="shared" si="21"/>
        <v/>
      </c>
      <c r="U244" s="4" t="str">
        <f t="shared" si="20"/>
        <v/>
      </c>
    </row>
    <row r="245" spans="1:21" x14ac:dyDescent="0.25">
      <c r="A245" s="50"/>
      <c r="B245" s="51"/>
      <c r="C245" s="2"/>
      <c r="D245" s="54"/>
      <c r="E245" s="51"/>
      <c r="F245" s="2"/>
      <c r="G245" s="54"/>
      <c r="H245" s="51"/>
      <c r="I245" s="2"/>
      <c r="J245" s="54"/>
      <c r="K245" s="52"/>
      <c r="L245" s="55"/>
      <c r="T245" s="4" t="str">
        <f t="shared" si="21"/>
        <v/>
      </c>
      <c r="U245" s="4" t="str">
        <f t="shared" si="20"/>
        <v/>
      </c>
    </row>
    <row r="246" spans="1:21" x14ac:dyDescent="0.25">
      <c r="A246" s="50"/>
      <c r="B246" s="51"/>
      <c r="C246" s="2"/>
      <c r="D246" s="54"/>
      <c r="E246" s="51"/>
      <c r="F246" s="2"/>
      <c r="G246" s="54"/>
      <c r="H246" s="51"/>
      <c r="I246" s="2"/>
      <c r="J246" s="54"/>
      <c r="K246" s="52"/>
      <c r="L246" s="55"/>
      <c r="T246" s="4" t="str">
        <f t="shared" si="21"/>
        <v/>
      </c>
      <c r="U246" s="4" t="str">
        <f t="shared" si="20"/>
        <v/>
      </c>
    </row>
    <row r="247" spans="1:21" x14ac:dyDescent="0.25">
      <c r="A247" s="50"/>
      <c r="B247" s="51"/>
      <c r="C247" s="2"/>
      <c r="D247" s="54"/>
      <c r="E247" s="51"/>
      <c r="F247" s="2"/>
      <c r="G247" s="54"/>
      <c r="H247" s="51"/>
      <c r="I247" s="2"/>
      <c r="J247" s="54"/>
      <c r="K247" s="52"/>
      <c r="L247" s="55"/>
      <c r="T247" s="4" t="str">
        <f t="shared" si="21"/>
        <v/>
      </c>
      <c r="U247" s="4" t="str">
        <f t="shared" si="20"/>
        <v/>
      </c>
    </row>
    <row r="248" spans="1:21" x14ac:dyDescent="0.25">
      <c r="A248" s="50"/>
      <c r="B248" s="51"/>
      <c r="C248" s="2"/>
      <c r="D248" s="54"/>
      <c r="E248" s="51"/>
      <c r="F248" s="2"/>
      <c r="G248" s="54"/>
      <c r="H248" s="51"/>
      <c r="I248" s="2"/>
      <c r="J248" s="54"/>
      <c r="K248" s="52"/>
      <c r="L248" s="55"/>
      <c r="T248" s="4" t="str">
        <f t="shared" si="21"/>
        <v/>
      </c>
      <c r="U248" s="4" t="str">
        <f t="shared" si="20"/>
        <v/>
      </c>
    </row>
    <row r="249" spans="1:21" x14ac:dyDescent="0.25">
      <c r="A249" s="50"/>
      <c r="B249" s="51"/>
      <c r="C249" s="2"/>
      <c r="D249" s="54"/>
      <c r="E249" s="51"/>
      <c r="F249" s="2"/>
      <c r="G249" s="54"/>
      <c r="H249" s="51"/>
      <c r="I249" s="2"/>
      <c r="J249" s="54"/>
      <c r="K249" s="52"/>
      <c r="L249" s="55"/>
      <c r="T249" s="4" t="str">
        <f t="shared" si="21"/>
        <v/>
      </c>
      <c r="U249" s="4" t="str">
        <f t="shared" si="20"/>
        <v/>
      </c>
    </row>
    <row r="250" spans="1:21" x14ac:dyDescent="0.25">
      <c r="A250" s="50"/>
      <c r="B250" s="51"/>
      <c r="C250" s="2"/>
      <c r="D250" s="54"/>
      <c r="E250" s="51"/>
      <c r="F250" s="2"/>
      <c r="G250" s="54"/>
      <c r="H250" s="51"/>
      <c r="I250" s="2"/>
      <c r="J250" s="54"/>
      <c r="K250" s="52"/>
      <c r="L250" s="55"/>
      <c r="T250" s="4" t="str">
        <f t="shared" si="21"/>
        <v/>
      </c>
      <c r="U250" s="4" t="str">
        <f t="shared" si="20"/>
        <v/>
      </c>
    </row>
    <row r="251" spans="1:21" x14ac:dyDescent="0.25">
      <c r="A251" s="50"/>
      <c r="B251" s="51"/>
      <c r="C251" s="2"/>
      <c r="D251" s="54"/>
      <c r="E251" s="51"/>
      <c r="F251" s="2"/>
      <c r="G251" s="54"/>
      <c r="H251" s="51"/>
      <c r="I251" s="2"/>
      <c r="J251" s="54"/>
      <c r="K251" s="52"/>
      <c r="L251" s="55"/>
      <c r="T251" s="4" t="str">
        <f t="shared" si="21"/>
        <v/>
      </c>
      <c r="U251" s="4" t="str">
        <f t="shared" si="20"/>
        <v/>
      </c>
    </row>
    <row r="252" spans="1:21" x14ac:dyDescent="0.25">
      <c r="A252" s="50"/>
      <c r="B252" s="51"/>
      <c r="C252" s="2"/>
      <c r="D252" s="54"/>
      <c r="E252" s="51"/>
      <c r="F252" s="2"/>
      <c r="G252" s="54"/>
      <c r="H252" s="51"/>
      <c r="I252" s="2"/>
      <c r="J252" s="54"/>
      <c r="K252" s="52"/>
      <c r="L252" s="55"/>
      <c r="T252" s="4" t="str">
        <f t="shared" si="21"/>
        <v/>
      </c>
      <c r="U252" s="4" t="str">
        <f t="shared" si="20"/>
        <v/>
      </c>
    </row>
    <row r="253" spans="1:21" x14ac:dyDescent="0.25">
      <c r="A253" s="50"/>
      <c r="B253" s="51"/>
      <c r="C253" s="2"/>
      <c r="D253" s="54"/>
      <c r="E253" s="51"/>
      <c r="F253" s="2"/>
      <c r="G253" s="54"/>
      <c r="H253" s="51"/>
      <c r="I253" s="2"/>
      <c r="J253" s="54"/>
      <c r="K253" s="52"/>
      <c r="L253" s="55"/>
      <c r="T253" s="4" t="str">
        <f t="shared" si="21"/>
        <v/>
      </c>
      <c r="U253" s="4" t="str">
        <f t="shared" si="20"/>
        <v/>
      </c>
    </row>
    <row r="254" spans="1:21" x14ac:dyDescent="0.25">
      <c r="A254" s="50"/>
      <c r="B254" s="51"/>
      <c r="C254" s="2"/>
      <c r="D254" s="54"/>
      <c r="E254" s="51"/>
      <c r="F254" s="2"/>
      <c r="G254" s="54"/>
      <c r="H254" s="51"/>
      <c r="I254" s="2"/>
      <c r="J254" s="54"/>
      <c r="K254" s="52"/>
      <c r="L254" s="55"/>
      <c r="T254" s="4" t="str">
        <f t="shared" si="21"/>
        <v/>
      </c>
      <c r="U254" s="4" t="str">
        <f t="shared" si="20"/>
        <v/>
      </c>
    </row>
    <row r="255" spans="1:21" x14ac:dyDescent="0.25">
      <c r="A255" s="50"/>
      <c r="B255" s="51"/>
      <c r="C255" s="2"/>
      <c r="D255" s="54"/>
      <c r="E255" s="51"/>
      <c r="F255" s="2"/>
      <c r="G255" s="54"/>
      <c r="H255" s="51"/>
      <c r="I255" s="2"/>
      <c r="J255" s="54"/>
      <c r="K255" s="52"/>
      <c r="L255" s="55"/>
      <c r="T255" s="4" t="str">
        <f t="shared" si="21"/>
        <v/>
      </c>
      <c r="U255" s="4" t="str">
        <f t="shared" si="20"/>
        <v/>
      </c>
    </row>
    <row r="256" spans="1:21" x14ac:dyDescent="0.25">
      <c r="A256" s="50"/>
      <c r="B256" s="51"/>
      <c r="C256" s="2"/>
      <c r="D256" s="54"/>
      <c r="E256" s="51"/>
      <c r="F256" s="2"/>
      <c r="G256" s="54"/>
      <c r="H256" s="51"/>
      <c r="I256" s="2"/>
      <c r="J256" s="54"/>
      <c r="K256" s="52"/>
      <c r="L256" s="55"/>
      <c r="T256" s="4" t="str">
        <f t="shared" si="21"/>
        <v/>
      </c>
      <c r="U256" s="4" t="str">
        <f t="shared" si="20"/>
        <v/>
      </c>
    </row>
    <row r="257" spans="1:21" x14ac:dyDescent="0.25">
      <c r="A257" s="50"/>
      <c r="B257" s="51"/>
      <c r="C257" s="2"/>
      <c r="D257" s="54"/>
      <c r="E257" s="51"/>
      <c r="F257" s="2"/>
      <c r="G257" s="54"/>
      <c r="H257" s="51"/>
      <c r="I257" s="2"/>
      <c r="J257" s="54"/>
      <c r="K257" s="52"/>
      <c r="L257" s="55"/>
      <c r="T257" s="4" t="str">
        <f t="shared" si="21"/>
        <v/>
      </c>
      <c r="U257" s="4" t="str">
        <f t="shared" si="20"/>
        <v/>
      </c>
    </row>
    <row r="258" spans="1:21" x14ac:dyDescent="0.25">
      <c r="A258" s="50"/>
      <c r="B258" s="51"/>
      <c r="C258" s="2"/>
      <c r="D258" s="54"/>
      <c r="E258" s="51"/>
      <c r="F258" s="2"/>
      <c r="G258" s="54"/>
      <c r="H258" s="51"/>
      <c r="I258" s="2"/>
      <c r="J258" s="54"/>
      <c r="K258" s="52"/>
      <c r="L258" s="55"/>
      <c r="T258" s="4" t="str">
        <f t="shared" si="21"/>
        <v/>
      </c>
      <c r="U258" s="4" t="str">
        <f t="shared" si="20"/>
        <v/>
      </c>
    </row>
    <row r="259" spans="1:21" x14ac:dyDescent="0.25">
      <c r="A259" s="50"/>
      <c r="B259" s="51"/>
      <c r="C259" s="2"/>
      <c r="D259" s="54"/>
      <c r="E259" s="51"/>
      <c r="F259" s="2"/>
      <c r="G259" s="54"/>
      <c r="H259" s="51"/>
      <c r="I259" s="2"/>
      <c r="J259" s="54"/>
      <c r="K259" s="52"/>
      <c r="L259" s="55"/>
      <c r="T259" s="4" t="str">
        <f t="shared" si="21"/>
        <v/>
      </c>
      <c r="U259" s="4" t="str">
        <f t="shared" ref="U259:U322" si="22">IF(T259&gt;$A$14,T259,"")</f>
        <v/>
      </c>
    </row>
    <row r="260" spans="1:21" x14ac:dyDescent="0.25">
      <c r="A260" s="50"/>
      <c r="B260" s="51"/>
      <c r="C260" s="2"/>
      <c r="D260" s="54"/>
      <c r="E260" s="51"/>
      <c r="F260" s="2"/>
      <c r="G260" s="54"/>
      <c r="H260" s="51"/>
      <c r="I260" s="2"/>
      <c r="J260" s="54"/>
      <c r="K260" s="52"/>
      <c r="L260" s="55"/>
      <c r="T260" s="4" t="str">
        <f t="shared" ref="T260:T323" si="23">IF(COUNTIF(P:P,N260)*COUNTIF(R:R,N260),N260,"")</f>
        <v/>
      </c>
      <c r="U260" s="4" t="str">
        <f t="shared" si="22"/>
        <v/>
      </c>
    </row>
    <row r="261" spans="1:21" x14ac:dyDescent="0.25">
      <c r="A261" s="50"/>
      <c r="B261" s="51"/>
      <c r="C261" s="2"/>
      <c r="D261" s="54"/>
      <c r="E261" s="51"/>
      <c r="F261" s="2"/>
      <c r="G261" s="54"/>
      <c r="H261" s="51"/>
      <c r="I261" s="2"/>
      <c r="J261" s="54"/>
      <c r="K261" s="52"/>
      <c r="L261" s="55"/>
      <c r="T261" s="4" t="str">
        <f t="shared" si="23"/>
        <v/>
      </c>
      <c r="U261" s="4" t="str">
        <f t="shared" si="22"/>
        <v/>
      </c>
    </row>
    <row r="262" spans="1:21" x14ac:dyDescent="0.25">
      <c r="A262" s="50"/>
      <c r="B262" s="51"/>
      <c r="C262" s="2"/>
      <c r="D262" s="54"/>
      <c r="E262" s="51"/>
      <c r="F262" s="2"/>
      <c r="G262" s="54"/>
      <c r="H262" s="51"/>
      <c r="I262" s="2"/>
      <c r="J262" s="54"/>
      <c r="K262" s="52"/>
      <c r="L262" s="55"/>
      <c r="T262" s="4" t="str">
        <f t="shared" si="23"/>
        <v/>
      </c>
      <c r="U262" s="4" t="str">
        <f t="shared" si="22"/>
        <v/>
      </c>
    </row>
    <row r="263" spans="1:21" x14ac:dyDescent="0.25">
      <c r="A263" s="50"/>
      <c r="B263" s="51"/>
      <c r="C263" s="2"/>
      <c r="D263" s="54"/>
      <c r="E263" s="51"/>
      <c r="F263" s="2"/>
      <c r="G263" s="54"/>
      <c r="H263" s="51"/>
      <c r="I263" s="2"/>
      <c r="J263" s="54"/>
      <c r="K263" s="52"/>
      <c r="L263" s="55"/>
      <c r="T263" s="4" t="str">
        <f t="shared" si="23"/>
        <v/>
      </c>
      <c r="U263" s="4" t="str">
        <f t="shared" si="22"/>
        <v/>
      </c>
    </row>
    <row r="264" spans="1:21" x14ac:dyDescent="0.25">
      <c r="A264" s="50"/>
      <c r="B264" s="51"/>
      <c r="C264" s="2"/>
      <c r="D264" s="54"/>
      <c r="E264" s="51"/>
      <c r="F264" s="2"/>
      <c r="G264" s="54"/>
      <c r="H264" s="51"/>
      <c r="I264" s="2"/>
      <c r="J264" s="54"/>
      <c r="K264" s="52"/>
      <c r="L264" s="55"/>
      <c r="T264" s="4" t="str">
        <f t="shared" si="23"/>
        <v/>
      </c>
      <c r="U264" s="4" t="str">
        <f t="shared" si="22"/>
        <v/>
      </c>
    </row>
    <row r="265" spans="1:21" x14ac:dyDescent="0.25">
      <c r="A265" s="50"/>
      <c r="B265" s="51"/>
      <c r="C265" s="2"/>
      <c r="D265" s="54"/>
      <c r="E265" s="51"/>
      <c r="F265" s="2"/>
      <c r="G265" s="54"/>
      <c r="H265" s="51"/>
      <c r="I265" s="2"/>
      <c r="J265" s="54"/>
      <c r="K265" s="52"/>
      <c r="L265" s="55"/>
      <c r="T265" s="4" t="str">
        <f t="shared" si="23"/>
        <v/>
      </c>
      <c r="U265" s="4" t="str">
        <f t="shared" si="22"/>
        <v/>
      </c>
    </row>
    <row r="266" spans="1:21" x14ac:dyDescent="0.25">
      <c r="A266" s="50"/>
      <c r="B266" s="51"/>
      <c r="C266" s="2"/>
      <c r="D266" s="54"/>
      <c r="E266" s="51"/>
      <c r="F266" s="2"/>
      <c r="G266" s="54"/>
      <c r="H266" s="51"/>
      <c r="I266" s="2"/>
      <c r="J266" s="54"/>
      <c r="K266" s="52"/>
      <c r="L266" s="55"/>
      <c r="T266" s="4" t="str">
        <f t="shared" si="23"/>
        <v/>
      </c>
      <c r="U266" s="4" t="str">
        <f t="shared" si="22"/>
        <v/>
      </c>
    </row>
    <row r="267" spans="1:21" x14ac:dyDescent="0.25">
      <c r="A267" s="50"/>
      <c r="B267" s="51"/>
      <c r="C267" s="2"/>
      <c r="D267" s="54"/>
      <c r="E267" s="51"/>
      <c r="F267" s="2"/>
      <c r="G267" s="54"/>
      <c r="H267" s="51"/>
      <c r="I267" s="2"/>
      <c r="J267" s="54"/>
      <c r="K267" s="52"/>
      <c r="L267" s="55"/>
      <c r="T267" s="4" t="str">
        <f t="shared" si="23"/>
        <v/>
      </c>
      <c r="U267" s="4" t="str">
        <f t="shared" si="22"/>
        <v/>
      </c>
    </row>
    <row r="268" spans="1:21" x14ac:dyDescent="0.25">
      <c r="A268" s="50"/>
      <c r="B268" s="51"/>
      <c r="C268" s="2"/>
      <c r="D268" s="54"/>
      <c r="E268" s="51"/>
      <c r="F268" s="2"/>
      <c r="G268" s="54"/>
      <c r="H268" s="51"/>
      <c r="I268" s="2"/>
      <c r="J268" s="54"/>
      <c r="K268" s="52"/>
      <c r="L268" s="55"/>
      <c r="T268" s="4" t="str">
        <f t="shared" si="23"/>
        <v/>
      </c>
      <c r="U268" s="4" t="str">
        <f t="shared" si="22"/>
        <v/>
      </c>
    </row>
    <row r="269" spans="1:21" x14ac:dyDescent="0.25">
      <c r="A269" s="50"/>
      <c r="B269" s="51"/>
      <c r="C269" s="2"/>
      <c r="D269" s="54"/>
      <c r="E269" s="51"/>
      <c r="F269" s="2"/>
      <c r="G269" s="54"/>
      <c r="H269" s="51"/>
      <c r="I269" s="2"/>
      <c r="J269" s="54"/>
      <c r="K269" s="52"/>
      <c r="L269" s="55"/>
      <c r="T269" s="4" t="str">
        <f t="shared" si="23"/>
        <v/>
      </c>
      <c r="U269" s="4" t="str">
        <f t="shared" si="22"/>
        <v/>
      </c>
    </row>
    <row r="270" spans="1:21" x14ac:dyDescent="0.25">
      <c r="A270" s="50"/>
      <c r="B270" s="51"/>
      <c r="C270" s="2"/>
      <c r="D270" s="54"/>
      <c r="E270" s="51"/>
      <c r="F270" s="2"/>
      <c r="G270" s="54"/>
      <c r="H270" s="51"/>
      <c r="I270" s="2"/>
      <c r="J270" s="54"/>
      <c r="K270" s="52"/>
      <c r="L270" s="55"/>
      <c r="T270" s="4" t="str">
        <f t="shared" si="23"/>
        <v/>
      </c>
      <c r="U270" s="4" t="str">
        <f t="shared" si="22"/>
        <v/>
      </c>
    </row>
    <row r="271" spans="1:21" x14ac:dyDescent="0.25">
      <c r="A271" s="50"/>
      <c r="B271" s="51"/>
      <c r="C271" s="2"/>
      <c r="D271" s="54"/>
      <c r="E271" s="51"/>
      <c r="F271" s="2"/>
      <c r="G271" s="54"/>
      <c r="H271" s="51"/>
      <c r="I271" s="2"/>
      <c r="J271" s="54"/>
      <c r="K271" s="52"/>
      <c r="L271" s="55"/>
      <c r="T271" s="4" t="str">
        <f t="shared" si="23"/>
        <v/>
      </c>
      <c r="U271" s="4" t="str">
        <f t="shared" si="22"/>
        <v/>
      </c>
    </row>
    <row r="272" spans="1:21" x14ac:dyDescent="0.25">
      <c r="A272" s="50"/>
      <c r="B272" s="51"/>
      <c r="C272" s="2"/>
      <c r="D272" s="54"/>
      <c r="E272" s="51"/>
      <c r="F272" s="2"/>
      <c r="G272" s="54"/>
      <c r="H272" s="51"/>
      <c r="I272" s="2"/>
      <c r="J272" s="54"/>
      <c r="K272" s="52"/>
      <c r="L272" s="55"/>
      <c r="T272" s="4" t="str">
        <f t="shared" si="23"/>
        <v/>
      </c>
      <c r="U272" s="4" t="str">
        <f t="shared" si="22"/>
        <v/>
      </c>
    </row>
    <row r="273" spans="1:21" x14ac:dyDescent="0.25">
      <c r="A273" s="50"/>
      <c r="B273" s="51"/>
      <c r="C273" s="2"/>
      <c r="D273" s="54"/>
      <c r="E273" s="51"/>
      <c r="F273" s="2"/>
      <c r="G273" s="54"/>
      <c r="H273" s="51"/>
      <c r="I273" s="2"/>
      <c r="J273" s="54"/>
      <c r="K273" s="52"/>
      <c r="L273" s="55"/>
      <c r="T273" s="4" t="str">
        <f t="shared" si="23"/>
        <v/>
      </c>
      <c r="U273" s="4" t="str">
        <f t="shared" si="22"/>
        <v/>
      </c>
    </row>
    <row r="274" spans="1:21" x14ac:dyDescent="0.25">
      <c r="A274" s="50"/>
      <c r="B274" s="51"/>
      <c r="C274" s="2"/>
      <c r="D274" s="54"/>
      <c r="E274" s="51"/>
      <c r="F274" s="2"/>
      <c r="G274" s="54"/>
      <c r="H274" s="51"/>
      <c r="I274" s="2"/>
      <c r="J274" s="54"/>
      <c r="K274" s="52"/>
      <c r="L274" s="55"/>
      <c r="T274" s="4" t="str">
        <f t="shared" si="23"/>
        <v/>
      </c>
      <c r="U274" s="4" t="str">
        <f t="shared" si="22"/>
        <v/>
      </c>
    </row>
    <row r="275" spans="1:21" x14ac:dyDescent="0.25">
      <c r="A275" s="50"/>
      <c r="B275" s="51"/>
      <c r="C275" s="2"/>
      <c r="D275" s="54"/>
      <c r="E275" s="51"/>
      <c r="F275" s="2"/>
      <c r="G275" s="54"/>
      <c r="H275" s="51"/>
      <c r="I275" s="2"/>
      <c r="J275" s="54"/>
      <c r="K275" s="52"/>
      <c r="L275" s="55"/>
      <c r="T275" s="4" t="str">
        <f t="shared" si="23"/>
        <v/>
      </c>
      <c r="U275" s="4" t="str">
        <f t="shared" si="22"/>
        <v/>
      </c>
    </row>
    <row r="276" spans="1:21" x14ac:dyDescent="0.25">
      <c r="A276" s="50"/>
      <c r="B276" s="51"/>
      <c r="C276" s="2"/>
      <c r="D276" s="54"/>
      <c r="E276" s="51"/>
      <c r="F276" s="2"/>
      <c r="G276" s="54"/>
      <c r="H276" s="51"/>
      <c r="I276" s="2"/>
      <c r="J276" s="54"/>
      <c r="K276" s="52"/>
      <c r="L276" s="55"/>
      <c r="T276" s="4" t="str">
        <f t="shared" si="23"/>
        <v/>
      </c>
      <c r="U276" s="4" t="str">
        <f t="shared" si="22"/>
        <v/>
      </c>
    </row>
    <row r="277" spans="1:21" x14ac:dyDescent="0.25">
      <c r="A277" s="50"/>
      <c r="B277" s="51"/>
      <c r="C277" s="2"/>
      <c r="D277" s="54"/>
      <c r="E277" s="51"/>
      <c r="F277" s="2"/>
      <c r="G277" s="54"/>
      <c r="H277" s="51"/>
      <c r="I277" s="2"/>
      <c r="J277" s="54"/>
      <c r="K277" s="52"/>
      <c r="L277" s="55"/>
      <c r="T277" s="4" t="str">
        <f t="shared" si="23"/>
        <v/>
      </c>
      <c r="U277" s="4" t="str">
        <f t="shared" si="22"/>
        <v/>
      </c>
    </row>
    <row r="278" spans="1:21" x14ac:dyDescent="0.25">
      <c r="A278" s="50"/>
      <c r="B278" s="51"/>
      <c r="C278" s="2"/>
      <c r="D278" s="54"/>
      <c r="E278" s="51"/>
      <c r="F278" s="2"/>
      <c r="G278" s="54"/>
      <c r="H278" s="51"/>
      <c r="I278" s="2"/>
      <c r="J278" s="54"/>
      <c r="K278" s="52"/>
      <c r="L278" s="55"/>
      <c r="T278" s="4" t="str">
        <f t="shared" si="23"/>
        <v/>
      </c>
      <c r="U278" s="4" t="str">
        <f t="shared" si="22"/>
        <v/>
      </c>
    </row>
    <row r="279" spans="1:21" x14ac:dyDescent="0.25">
      <c r="A279" s="50"/>
      <c r="B279" s="51"/>
      <c r="C279" s="2"/>
      <c r="D279" s="54"/>
      <c r="E279" s="51"/>
      <c r="F279" s="2"/>
      <c r="G279" s="54"/>
      <c r="H279" s="51"/>
      <c r="I279" s="2"/>
      <c r="J279" s="54"/>
      <c r="K279" s="52"/>
      <c r="L279" s="55"/>
      <c r="T279" s="4" t="str">
        <f t="shared" si="23"/>
        <v/>
      </c>
      <c r="U279" s="4" t="str">
        <f t="shared" si="22"/>
        <v/>
      </c>
    </row>
    <row r="280" spans="1:21" x14ac:dyDescent="0.25">
      <c r="A280" s="50"/>
      <c r="B280" s="51"/>
      <c r="C280" s="2"/>
      <c r="D280" s="54"/>
      <c r="E280" s="51"/>
      <c r="F280" s="2"/>
      <c r="G280" s="54"/>
      <c r="H280" s="51"/>
      <c r="I280" s="2"/>
      <c r="J280" s="54"/>
      <c r="K280" s="52"/>
      <c r="L280" s="55"/>
      <c r="T280" s="4" t="str">
        <f t="shared" si="23"/>
        <v/>
      </c>
      <c r="U280" s="4" t="str">
        <f t="shared" si="22"/>
        <v/>
      </c>
    </row>
    <row r="281" spans="1:21" x14ac:dyDescent="0.25">
      <c r="A281" s="50"/>
      <c r="B281" s="51"/>
      <c r="C281" s="2"/>
      <c r="D281" s="54"/>
      <c r="E281" s="51"/>
      <c r="F281" s="2"/>
      <c r="G281" s="54"/>
      <c r="H281" s="51"/>
      <c r="I281" s="2"/>
      <c r="J281" s="54"/>
      <c r="K281" s="52"/>
      <c r="L281" s="55"/>
      <c r="T281" s="4" t="str">
        <f t="shared" si="23"/>
        <v/>
      </c>
      <c r="U281" s="4" t="str">
        <f t="shared" si="22"/>
        <v/>
      </c>
    </row>
    <row r="282" spans="1:21" x14ac:dyDescent="0.25">
      <c r="A282" s="50"/>
      <c r="B282" s="51"/>
      <c r="C282" s="2"/>
      <c r="D282" s="54"/>
      <c r="E282" s="51"/>
      <c r="F282" s="2"/>
      <c r="G282" s="54"/>
      <c r="H282" s="51"/>
      <c r="I282" s="2"/>
      <c r="J282" s="54"/>
      <c r="K282" s="52"/>
      <c r="L282" s="55"/>
      <c r="T282" s="4" t="str">
        <f t="shared" si="23"/>
        <v/>
      </c>
      <c r="U282" s="4" t="str">
        <f t="shared" si="22"/>
        <v/>
      </c>
    </row>
    <row r="283" spans="1:21" x14ac:dyDescent="0.25">
      <c r="A283" s="50"/>
      <c r="B283" s="51"/>
      <c r="C283" s="2"/>
      <c r="D283" s="54"/>
      <c r="E283" s="51"/>
      <c r="F283" s="2"/>
      <c r="G283" s="54"/>
      <c r="H283" s="51"/>
      <c r="I283" s="2"/>
      <c r="J283" s="54"/>
      <c r="K283" s="52"/>
      <c r="L283" s="55"/>
      <c r="T283" s="4" t="str">
        <f t="shared" si="23"/>
        <v/>
      </c>
      <c r="U283" s="4" t="str">
        <f t="shared" si="22"/>
        <v/>
      </c>
    </row>
    <row r="284" spans="1:21" x14ac:dyDescent="0.25">
      <c r="A284" s="50"/>
      <c r="B284" s="51"/>
      <c r="C284" s="2"/>
      <c r="D284" s="54"/>
      <c r="E284" s="51"/>
      <c r="F284" s="2"/>
      <c r="G284" s="54"/>
      <c r="H284" s="51"/>
      <c r="I284" s="2"/>
      <c r="J284" s="54"/>
      <c r="K284" s="52"/>
      <c r="L284" s="55"/>
      <c r="T284" s="4" t="str">
        <f t="shared" si="23"/>
        <v/>
      </c>
      <c r="U284" s="4" t="str">
        <f t="shared" si="22"/>
        <v/>
      </c>
    </row>
    <row r="285" spans="1:21" x14ac:dyDescent="0.25">
      <c r="A285" s="50"/>
      <c r="B285" s="51"/>
      <c r="C285" s="2"/>
      <c r="D285" s="54"/>
      <c r="E285" s="51"/>
      <c r="F285" s="2"/>
      <c r="G285" s="54"/>
      <c r="H285" s="51"/>
      <c r="I285" s="2"/>
      <c r="J285" s="54"/>
      <c r="K285" s="52"/>
      <c r="L285" s="55"/>
      <c r="T285" s="4" t="str">
        <f t="shared" si="23"/>
        <v/>
      </c>
      <c r="U285" s="4" t="str">
        <f t="shared" si="22"/>
        <v/>
      </c>
    </row>
    <row r="286" spans="1:21" x14ac:dyDescent="0.25">
      <c r="A286" s="50"/>
      <c r="B286" s="51"/>
      <c r="C286" s="2"/>
      <c r="D286" s="54"/>
      <c r="E286" s="51"/>
      <c r="F286" s="2"/>
      <c r="G286" s="54"/>
      <c r="H286" s="51"/>
      <c r="I286" s="2"/>
      <c r="J286" s="54"/>
      <c r="K286" s="52"/>
      <c r="L286" s="55"/>
      <c r="T286" s="4" t="str">
        <f t="shared" si="23"/>
        <v/>
      </c>
      <c r="U286" s="4" t="str">
        <f t="shared" si="22"/>
        <v/>
      </c>
    </row>
    <row r="287" spans="1:21" x14ac:dyDescent="0.25">
      <c r="A287" s="50"/>
      <c r="B287" s="51"/>
      <c r="C287" s="2"/>
      <c r="D287" s="54"/>
      <c r="E287" s="51"/>
      <c r="F287" s="2"/>
      <c r="G287" s="54"/>
      <c r="H287" s="51"/>
      <c r="I287" s="2"/>
      <c r="J287" s="54"/>
      <c r="K287" s="52"/>
      <c r="L287" s="55"/>
      <c r="T287" s="4" t="str">
        <f t="shared" si="23"/>
        <v/>
      </c>
      <c r="U287" s="4" t="str">
        <f t="shared" si="22"/>
        <v/>
      </c>
    </row>
    <row r="288" spans="1:21" x14ac:dyDescent="0.25">
      <c r="A288" s="50"/>
      <c r="B288" s="51"/>
      <c r="C288" s="2"/>
      <c r="D288" s="54"/>
      <c r="E288" s="51"/>
      <c r="F288" s="2"/>
      <c r="G288" s="54"/>
      <c r="H288" s="51"/>
      <c r="I288" s="2"/>
      <c r="J288" s="54"/>
      <c r="K288" s="52"/>
      <c r="L288" s="55"/>
      <c r="T288" s="4" t="str">
        <f t="shared" si="23"/>
        <v/>
      </c>
      <c r="U288" s="4" t="str">
        <f t="shared" si="22"/>
        <v/>
      </c>
    </row>
    <row r="289" spans="1:21" x14ac:dyDescent="0.25">
      <c r="A289" s="50"/>
      <c r="B289" s="51"/>
      <c r="C289" s="2"/>
      <c r="D289" s="54"/>
      <c r="E289" s="51"/>
      <c r="F289" s="2"/>
      <c r="G289" s="54"/>
      <c r="H289" s="51"/>
      <c r="I289" s="2"/>
      <c r="J289" s="54"/>
      <c r="K289" s="52"/>
      <c r="L289" s="55"/>
      <c r="T289" s="4" t="str">
        <f t="shared" si="23"/>
        <v/>
      </c>
      <c r="U289" s="4" t="str">
        <f t="shared" si="22"/>
        <v/>
      </c>
    </row>
    <row r="290" spans="1:21" x14ac:dyDescent="0.25">
      <c r="A290" s="50"/>
      <c r="B290" s="51"/>
      <c r="C290" s="2"/>
      <c r="D290" s="54"/>
      <c r="E290" s="51"/>
      <c r="F290" s="2"/>
      <c r="G290" s="54"/>
      <c r="H290" s="51"/>
      <c r="I290" s="2"/>
      <c r="J290" s="54"/>
      <c r="K290" s="52"/>
      <c r="L290" s="55"/>
      <c r="T290" s="4" t="str">
        <f t="shared" si="23"/>
        <v/>
      </c>
      <c r="U290" s="4" t="str">
        <f t="shared" si="22"/>
        <v/>
      </c>
    </row>
    <row r="291" spans="1:21" x14ac:dyDescent="0.25">
      <c r="A291" s="50"/>
      <c r="B291" s="51"/>
      <c r="C291" s="2"/>
      <c r="D291" s="54"/>
      <c r="E291" s="51"/>
      <c r="F291" s="2"/>
      <c r="G291" s="54"/>
      <c r="H291" s="51"/>
      <c r="I291" s="2"/>
      <c r="J291" s="54"/>
      <c r="K291" s="52"/>
      <c r="L291" s="55"/>
      <c r="T291" s="4" t="str">
        <f t="shared" si="23"/>
        <v/>
      </c>
      <c r="U291" s="4" t="str">
        <f t="shared" si="22"/>
        <v/>
      </c>
    </row>
    <row r="292" spans="1:21" x14ac:dyDescent="0.25">
      <c r="A292" s="50"/>
      <c r="B292" s="51"/>
      <c r="C292" s="2"/>
      <c r="D292" s="54"/>
      <c r="E292" s="51"/>
      <c r="F292" s="2"/>
      <c r="G292" s="54"/>
      <c r="H292" s="51"/>
      <c r="I292" s="2"/>
      <c r="J292" s="54"/>
      <c r="K292" s="52"/>
      <c r="L292" s="55"/>
      <c r="T292" s="4" t="str">
        <f t="shared" si="23"/>
        <v/>
      </c>
      <c r="U292" s="4" t="str">
        <f t="shared" si="22"/>
        <v/>
      </c>
    </row>
    <row r="293" spans="1:21" x14ac:dyDescent="0.25">
      <c r="A293" s="50"/>
      <c r="B293" s="51"/>
      <c r="C293" s="2"/>
      <c r="D293" s="54"/>
      <c r="E293" s="51"/>
      <c r="F293" s="2"/>
      <c r="G293" s="54"/>
      <c r="H293" s="51"/>
      <c r="I293" s="2"/>
      <c r="J293" s="54"/>
      <c r="K293" s="52"/>
      <c r="L293" s="55"/>
      <c r="T293" s="4" t="str">
        <f t="shared" si="23"/>
        <v/>
      </c>
      <c r="U293" s="4" t="str">
        <f t="shared" si="22"/>
        <v/>
      </c>
    </row>
    <row r="294" spans="1:21" x14ac:dyDescent="0.25">
      <c r="A294" s="50"/>
      <c r="B294" s="51"/>
      <c r="C294" s="2"/>
      <c r="D294" s="54"/>
      <c r="E294" s="51"/>
      <c r="F294" s="2"/>
      <c r="G294" s="54"/>
      <c r="H294" s="51"/>
      <c r="I294" s="2"/>
      <c r="J294" s="54"/>
      <c r="K294" s="52"/>
      <c r="L294" s="55"/>
      <c r="T294" s="4" t="str">
        <f t="shared" si="23"/>
        <v/>
      </c>
      <c r="U294" s="4" t="str">
        <f t="shared" si="22"/>
        <v/>
      </c>
    </row>
    <row r="295" spans="1:21" x14ac:dyDescent="0.25">
      <c r="A295" s="50"/>
      <c r="B295" s="51"/>
      <c r="C295" s="2"/>
      <c r="D295" s="54"/>
      <c r="E295" s="51"/>
      <c r="F295" s="2"/>
      <c r="G295" s="54"/>
      <c r="H295" s="51"/>
      <c r="I295" s="2"/>
      <c r="J295" s="54"/>
      <c r="K295" s="52"/>
      <c r="L295" s="55"/>
      <c r="T295" s="4" t="str">
        <f t="shared" si="23"/>
        <v/>
      </c>
      <c r="U295" s="4" t="str">
        <f t="shared" si="22"/>
        <v/>
      </c>
    </row>
    <row r="296" spans="1:21" x14ac:dyDescent="0.25">
      <c r="A296" s="50"/>
      <c r="B296" s="51"/>
      <c r="C296" s="2"/>
      <c r="D296" s="54"/>
      <c r="E296" s="51"/>
      <c r="F296" s="2"/>
      <c r="G296" s="54"/>
      <c r="H296" s="51"/>
      <c r="I296" s="2"/>
      <c r="J296" s="54"/>
      <c r="K296" s="52"/>
      <c r="L296" s="55"/>
      <c r="T296" s="4" t="str">
        <f t="shared" si="23"/>
        <v/>
      </c>
      <c r="U296" s="4" t="str">
        <f t="shared" si="22"/>
        <v/>
      </c>
    </row>
    <row r="297" spans="1:21" x14ac:dyDescent="0.25">
      <c r="A297" s="50"/>
      <c r="B297" s="51"/>
      <c r="C297" s="2"/>
      <c r="D297" s="54"/>
      <c r="E297" s="51"/>
      <c r="F297" s="2"/>
      <c r="G297" s="54"/>
      <c r="H297" s="51"/>
      <c r="I297" s="2"/>
      <c r="J297" s="54"/>
      <c r="K297" s="52"/>
      <c r="L297" s="55"/>
      <c r="T297" s="4" t="str">
        <f t="shared" si="23"/>
        <v/>
      </c>
      <c r="U297" s="4" t="str">
        <f t="shared" si="22"/>
        <v/>
      </c>
    </row>
    <row r="298" spans="1:21" x14ac:dyDescent="0.25">
      <c r="A298" s="50"/>
      <c r="B298" s="51"/>
      <c r="C298" s="2"/>
      <c r="D298" s="54"/>
      <c r="E298" s="51"/>
      <c r="F298" s="2"/>
      <c r="G298" s="54"/>
      <c r="H298" s="51"/>
      <c r="I298" s="2"/>
      <c r="J298" s="54"/>
      <c r="K298" s="52"/>
      <c r="L298" s="55"/>
      <c r="T298" s="4" t="str">
        <f t="shared" si="23"/>
        <v/>
      </c>
      <c r="U298" s="4" t="str">
        <f t="shared" si="22"/>
        <v/>
      </c>
    </row>
    <row r="299" spans="1:21" x14ac:dyDescent="0.25">
      <c r="A299" s="50"/>
      <c r="B299" s="51"/>
      <c r="C299" s="2"/>
      <c r="D299" s="54"/>
      <c r="E299" s="51"/>
      <c r="F299" s="2"/>
      <c r="G299" s="54"/>
      <c r="H299" s="51"/>
      <c r="I299" s="2"/>
      <c r="J299" s="54"/>
      <c r="K299" s="52"/>
      <c r="L299" s="55"/>
      <c r="T299" s="4" t="str">
        <f t="shared" si="23"/>
        <v/>
      </c>
      <c r="U299" s="4" t="str">
        <f t="shared" si="22"/>
        <v/>
      </c>
    </row>
    <row r="300" spans="1:21" x14ac:dyDescent="0.25">
      <c r="A300" s="50"/>
      <c r="B300" s="51"/>
      <c r="C300" s="2"/>
      <c r="D300" s="54"/>
      <c r="E300" s="51"/>
      <c r="F300" s="2"/>
      <c r="G300" s="54"/>
      <c r="H300" s="51"/>
      <c r="I300" s="2"/>
      <c r="J300" s="54"/>
      <c r="K300" s="52"/>
      <c r="L300" s="55"/>
      <c r="T300" s="4" t="str">
        <f t="shared" si="23"/>
        <v/>
      </c>
      <c r="U300" s="4" t="str">
        <f t="shared" si="22"/>
        <v/>
      </c>
    </row>
    <row r="301" spans="1:21" x14ac:dyDescent="0.25">
      <c r="A301" s="50"/>
      <c r="B301" s="51"/>
      <c r="C301" s="2"/>
      <c r="D301" s="54"/>
      <c r="E301" s="51"/>
      <c r="F301" s="2"/>
      <c r="G301" s="54"/>
      <c r="H301" s="51"/>
      <c r="I301" s="2"/>
      <c r="J301" s="54"/>
      <c r="K301" s="52"/>
      <c r="L301" s="55"/>
      <c r="T301" s="4" t="str">
        <f t="shared" si="23"/>
        <v/>
      </c>
      <c r="U301" s="4" t="str">
        <f t="shared" si="22"/>
        <v/>
      </c>
    </row>
    <row r="302" spans="1:21" x14ac:dyDescent="0.25">
      <c r="A302" s="50"/>
      <c r="B302" s="51"/>
      <c r="C302" s="2"/>
      <c r="D302" s="54"/>
      <c r="E302" s="51"/>
      <c r="F302" s="2"/>
      <c r="G302" s="54"/>
      <c r="H302" s="51"/>
      <c r="I302" s="2"/>
      <c r="J302" s="54"/>
      <c r="K302" s="52"/>
      <c r="L302" s="55"/>
      <c r="T302" s="4" t="str">
        <f t="shared" si="23"/>
        <v/>
      </c>
      <c r="U302" s="4" t="str">
        <f t="shared" si="22"/>
        <v/>
      </c>
    </row>
    <row r="303" spans="1:21" x14ac:dyDescent="0.25">
      <c r="A303" s="50"/>
      <c r="B303" s="51"/>
      <c r="C303" s="2"/>
      <c r="D303" s="54"/>
      <c r="E303" s="51"/>
      <c r="F303" s="2"/>
      <c r="G303" s="54"/>
      <c r="H303" s="51"/>
      <c r="I303" s="2"/>
      <c r="J303" s="54"/>
      <c r="K303" s="52"/>
      <c r="L303" s="55"/>
      <c r="T303" s="4" t="str">
        <f t="shared" si="23"/>
        <v/>
      </c>
      <c r="U303" s="4" t="str">
        <f t="shared" si="22"/>
        <v/>
      </c>
    </row>
    <row r="304" spans="1:21" x14ac:dyDescent="0.25">
      <c r="A304" s="50"/>
      <c r="B304" s="51"/>
      <c r="C304" s="2"/>
      <c r="D304" s="54"/>
      <c r="E304" s="51"/>
      <c r="F304" s="2"/>
      <c r="G304" s="54"/>
      <c r="H304" s="51"/>
      <c r="I304" s="2"/>
      <c r="J304" s="54"/>
      <c r="K304" s="52"/>
      <c r="L304" s="55"/>
      <c r="T304" s="4" t="str">
        <f t="shared" si="23"/>
        <v/>
      </c>
      <c r="U304" s="4" t="str">
        <f t="shared" si="22"/>
        <v/>
      </c>
    </row>
    <row r="305" spans="1:21" x14ac:dyDescent="0.25">
      <c r="A305" s="50"/>
      <c r="B305" s="51"/>
      <c r="C305" s="2"/>
      <c r="D305" s="54"/>
      <c r="E305" s="51"/>
      <c r="F305" s="2"/>
      <c r="G305" s="54"/>
      <c r="H305" s="51"/>
      <c r="I305" s="2"/>
      <c r="J305" s="54"/>
      <c r="K305" s="52"/>
      <c r="L305" s="55"/>
      <c r="T305" s="4" t="str">
        <f t="shared" si="23"/>
        <v/>
      </c>
      <c r="U305" s="4" t="str">
        <f t="shared" si="22"/>
        <v/>
      </c>
    </row>
    <row r="306" spans="1:21" x14ac:dyDescent="0.25">
      <c r="A306" s="50"/>
      <c r="B306" s="51"/>
      <c r="C306" s="2"/>
      <c r="D306" s="54"/>
      <c r="E306" s="51"/>
      <c r="F306" s="2"/>
      <c r="G306" s="54"/>
      <c r="H306" s="51"/>
      <c r="I306" s="2"/>
      <c r="J306" s="54"/>
      <c r="K306" s="52"/>
      <c r="L306" s="55"/>
      <c r="T306" s="4" t="str">
        <f t="shared" si="23"/>
        <v/>
      </c>
      <c r="U306" s="4" t="str">
        <f t="shared" si="22"/>
        <v/>
      </c>
    </row>
    <row r="307" spans="1:21" x14ac:dyDescent="0.25">
      <c r="A307" s="50"/>
      <c r="B307" s="51"/>
      <c r="C307" s="2"/>
      <c r="D307" s="54"/>
      <c r="E307" s="51"/>
      <c r="F307" s="2"/>
      <c r="G307" s="54"/>
      <c r="H307" s="51"/>
      <c r="I307" s="2"/>
      <c r="J307" s="54"/>
      <c r="K307" s="52"/>
      <c r="L307" s="55"/>
      <c r="T307" s="4" t="str">
        <f t="shared" si="23"/>
        <v/>
      </c>
      <c r="U307" s="4" t="str">
        <f t="shared" si="22"/>
        <v/>
      </c>
    </row>
    <row r="308" spans="1:21" x14ac:dyDescent="0.25">
      <c r="A308" s="50"/>
      <c r="B308" s="51"/>
      <c r="C308" s="2"/>
      <c r="D308" s="54"/>
      <c r="E308" s="51"/>
      <c r="F308" s="2"/>
      <c r="G308" s="54"/>
      <c r="H308" s="51"/>
      <c r="I308" s="2"/>
      <c r="J308" s="54"/>
      <c r="K308" s="52"/>
      <c r="L308" s="55"/>
      <c r="T308" s="4" t="str">
        <f t="shared" si="23"/>
        <v/>
      </c>
      <c r="U308" s="4" t="str">
        <f t="shared" si="22"/>
        <v/>
      </c>
    </row>
    <row r="309" spans="1:21" x14ac:dyDescent="0.25">
      <c r="A309" s="50"/>
      <c r="B309" s="51"/>
      <c r="C309" s="2"/>
      <c r="D309" s="54"/>
      <c r="E309" s="51"/>
      <c r="F309" s="2"/>
      <c r="G309" s="54"/>
      <c r="H309" s="51"/>
      <c r="I309" s="2"/>
      <c r="J309" s="54"/>
      <c r="K309" s="52"/>
      <c r="L309" s="55"/>
      <c r="T309" s="4" t="str">
        <f t="shared" si="23"/>
        <v/>
      </c>
      <c r="U309" s="4" t="str">
        <f t="shared" si="22"/>
        <v/>
      </c>
    </row>
    <row r="310" spans="1:21" x14ac:dyDescent="0.25">
      <c r="A310" s="50"/>
      <c r="B310" s="51"/>
      <c r="C310" s="2"/>
      <c r="D310" s="54"/>
      <c r="E310" s="51"/>
      <c r="F310" s="2"/>
      <c r="G310" s="54"/>
      <c r="H310" s="51"/>
      <c r="I310" s="2"/>
      <c r="J310" s="54"/>
      <c r="K310" s="52"/>
      <c r="L310" s="55"/>
      <c r="T310" s="4" t="str">
        <f t="shared" si="23"/>
        <v/>
      </c>
      <c r="U310" s="4" t="str">
        <f t="shared" si="22"/>
        <v/>
      </c>
    </row>
    <row r="311" spans="1:21" x14ac:dyDescent="0.25">
      <c r="A311" s="50"/>
      <c r="B311" s="51"/>
      <c r="C311" s="2"/>
      <c r="D311" s="54"/>
      <c r="E311" s="51"/>
      <c r="F311" s="2"/>
      <c r="G311" s="54"/>
      <c r="H311" s="51"/>
      <c r="I311" s="2"/>
      <c r="J311" s="54"/>
      <c r="K311" s="52"/>
      <c r="L311" s="55"/>
      <c r="T311" s="4" t="str">
        <f t="shared" si="23"/>
        <v/>
      </c>
      <c r="U311" s="4" t="str">
        <f t="shared" si="22"/>
        <v/>
      </c>
    </row>
    <row r="312" spans="1:21" x14ac:dyDescent="0.25">
      <c r="A312" s="50"/>
      <c r="B312" s="51"/>
      <c r="C312" s="2"/>
      <c r="D312" s="54"/>
      <c r="E312" s="51"/>
      <c r="F312" s="2"/>
      <c r="G312" s="54"/>
      <c r="H312" s="51"/>
      <c r="I312" s="2"/>
      <c r="J312" s="54"/>
      <c r="K312" s="52"/>
      <c r="L312" s="55"/>
      <c r="T312" s="4" t="str">
        <f t="shared" si="23"/>
        <v/>
      </c>
      <c r="U312" s="4" t="str">
        <f t="shared" si="22"/>
        <v/>
      </c>
    </row>
    <row r="313" spans="1:21" x14ac:dyDescent="0.25">
      <c r="A313" s="50"/>
      <c r="B313" s="51"/>
      <c r="C313" s="2"/>
      <c r="D313" s="54"/>
      <c r="E313" s="51"/>
      <c r="F313" s="2"/>
      <c r="G313" s="54"/>
      <c r="H313" s="51"/>
      <c r="I313" s="2"/>
      <c r="J313" s="54"/>
      <c r="K313" s="52"/>
      <c r="L313" s="55"/>
      <c r="T313" s="4" t="str">
        <f t="shared" si="23"/>
        <v/>
      </c>
      <c r="U313" s="4" t="str">
        <f t="shared" si="22"/>
        <v/>
      </c>
    </row>
    <row r="314" spans="1:21" x14ac:dyDescent="0.25">
      <c r="A314" s="50"/>
      <c r="B314" s="51"/>
      <c r="C314" s="2"/>
      <c r="D314" s="54"/>
      <c r="E314" s="51"/>
      <c r="F314" s="2"/>
      <c r="G314" s="54"/>
      <c r="H314" s="51"/>
      <c r="I314" s="2"/>
      <c r="J314" s="54"/>
      <c r="K314" s="52"/>
      <c r="L314" s="55"/>
      <c r="T314" s="4" t="str">
        <f t="shared" si="23"/>
        <v/>
      </c>
      <c r="U314" s="4" t="str">
        <f t="shared" si="22"/>
        <v/>
      </c>
    </row>
    <row r="315" spans="1:21" x14ac:dyDescent="0.25">
      <c r="A315" s="50"/>
      <c r="B315" s="51"/>
      <c r="C315" s="2"/>
      <c r="D315" s="54"/>
      <c r="E315" s="51"/>
      <c r="F315" s="2"/>
      <c r="G315" s="54"/>
      <c r="H315" s="51"/>
      <c r="I315" s="2"/>
      <c r="J315" s="54"/>
      <c r="K315" s="52"/>
      <c r="L315" s="55"/>
      <c r="T315" s="4" t="str">
        <f t="shared" si="23"/>
        <v/>
      </c>
      <c r="U315" s="4" t="str">
        <f t="shared" si="22"/>
        <v/>
      </c>
    </row>
    <row r="316" spans="1:21" x14ac:dyDescent="0.25">
      <c r="A316" s="50"/>
      <c r="B316" s="51"/>
      <c r="C316" s="2"/>
      <c r="D316" s="54"/>
      <c r="E316" s="51"/>
      <c r="F316" s="2"/>
      <c r="G316" s="54"/>
      <c r="H316" s="51"/>
      <c r="I316" s="2"/>
      <c r="J316" s="54"/>
      <c r="K316" s="52"/>
      <c r="L316" s="55"/>
      <c r="T316" s="4" t="str">
        <f t="shared" si="23"/>
        <v/>
      </c>
      <c r="U316" s="4" t="str">
        <f t="shared" si="22"/>
        <v/>
      </c>
    </row>
    <row r="317" spans="1:21" x14ac:dyDescent="0.25">
      <c r="A317" s="50"/>
      <c r="B317" s="51"/>
      <c r="C317" s="2"/>
      <c r="D317" s="54"/>
      <c r="E317" s="51"/>
      <c r="F317" s="2"/>
      <c r="G317" s="54"/>
      <c r="H317" s="51"/>
      <c r="I317" s="2"/>
      <c r="J317" s="54"/>
      <c r="K317" s="52"/>
      <c r="L317" s="55"/>
      <c r="T317" s="4" t="str">
        <f t="shared" si="23"/>
        <v/>
      </c>
      <c r="U317" s="4" t="str">
        <f t="shared" si="22"/>
        <v/>
      </c>
    </row>
    <row r="318" spans="1:21" x14ac:dyDescent="0.25">
      <c r="A318" s="50"/>
      <c r="B318" s="51"/>
      <c r="C318" s="2"/>
      <c r="D318" s="54"/>
      <c r="E318" s="51"/>
      <c r="F318" s="2"/>
      <c r="G318" s="54"/>
      <c r="H318" s="51"/>
      <c r="I318" s="2"/>
      <c r="J318" s="54"/>
      <c r="K318" s="52"/>
      <c r="L318" s="55"/>
      <c r="T318" s="4" t="str">
        <f t="shared" si="23"/>
        <v/>
      </c>
      <c r="U318" s="4" t="str">
        <f t="shared" si="22"/>
        <v/>
      </c>
    </row>
    <row r="319" spans="1:21" x14ac:dyDescent="0.25">
      <c r="A319" s="50"/>
      <c r="B319" s="51"/>
      <c r="C319" s="2"/>
      <c r="D319" s="54"/>
      <c r="E319" s="51"/>
      <c r="F319" s="2"/>
      <c r="G319" s="54"/>
      <c r="H319" s="51"/>
      <c r="I319" s="2"/>
      <c r="J319" s="54"/>
      <c r="K319" s="52"/>
      <c r="L319" s="55"/>
      <c r="T319" s="4" t="str">
        <f t="shared" si="23"/>
        <v/>
      </c>
      <c r="U319" s="4" t="str">
        <f t="shared" si="22"/>
        <v/>
      </c>
    </row>
    <row r="320" spans="1:21" x14ac:dyDescent="0.25">
      <c r="A320" s="50"/>
      <c r="B320" s="51"/>
      <c r="C320" s="2"/>
      <c r="D320" s="54"/>
      <c r="E320" s="51"/>
      <c r="F320" s="2"/>
      <c r="G320" s="54"/>
      <c r="H320" s="51"/>
      <c r="I320" s="2"/>
      <c r="J320" s="54"/>
      <c r="K320" s="52"/>
      <c r="L320" s="55"/>
      <c r="T320" s="4" t="str">
        <f t="shared" si="23"/>
        <v/>
      </c>
      <c r="U320" s="4" t="str">
        <f t="shared" si="22"/>
        <v/>
      </c>
    </row>
    <row r="321" spans="1:21" x14ac:dyDescent="0.25">
      <c r="A321" s="50"/>
      <c r="B321" s="51"/>
      <c r="C321" s="2"/>
      <c r="D321" s="54"/>
      <c r="E321" s="51"/>
      <c r="F321" s="2"/>
      <c r="G321" s="54"/>
      <c r="H321" s="51"/>
      <c r="I321" s="2"/>
      <c r="J321" s="54"/>
      <c r="K321" s="52"/>
      <c r="L321" s="55"/>
      <c r="T321" s="4" t="str">
        <f t="shared" si="23"/>
        <v/>
      </c>
      <c r="U321" s="4" t="str">
        <f t="shared" si="22"/>
        <v/>
      </c>
    </row>
    <row r="322" spans="1:21" x14ac:dyDescent="0.25">
      <c r="A322" s="50"/>
      <c r="B322" s="51"/>
      <c r="C322" s="2"/>
      <c r="D322" s="54"/>
      <c r="E322" s="51"/>
      <c r="F322" s="2"/>
      <c r="G322" s="54"/>
      <c r="H322" s="51"/>
      <c r="I322" s="2"/>
      <c r="J322" s="54"/>
      <c r="K322" s="52"/>
      <c r="L322" s="55"/>
      <c r="T322" s="4" t="str">
        <f t="shared" si="23"/>
        <v/>
      </c>
      <c r="U322" s="4" t="str">
        <f t="shared" si="22"/>
        <v/>
      </c>
    </row>
    <row r="323" spans="1:21" x14ac:dyDescent="0.25">
      <c r="A323" s="50"/>
      <c r="B323" s="51"/>
      <c r="C323" s="2"/>
      <c r="D323" s="54"/>
      <c r="E323" s="51"/>
      <c r="F323" s="2"/>
      <c r="G323" s="54"/>
      <c r="H323" s="51"/>
      <c r="I323" s="2"/>
      <c r="J323" s="54"/>
      <c r="K323" s="52"/>
      <c r="L323" s="55"/>
      <c r="T323" s="4" t="str">
        <f t="shared" si="23"/>
        <v/>
      </c>
      <c r="U323" s="4" t="str">
        <f t="shared" ref="U323:U386" si="24">IF(T323&gt;$A$14,T323,"")</f>
        <v/>
      </c>
    </row>
    <row r="324" spans="1:21" x14ac:dyDescent="0.25">
      <c r="A324" s="50"/>
      <c r="B324" s="51"/>
      <c r="C324" s="2"/>
      <c r="D324" s="54"/>
      <c r="E324" s="51"/>
      <c r="F324" s="2"/>
      <c r="G324" s="54"/>
      <c r="H324" s="51"/>
      <c r="I324" s="2"/>
      <c r="J324" s="54"/>
      <c r="K324" s="52"/>
      <c r="L324" s="55"/>
      <c r="T324" s="4" t="str">
        <f t="shared" ref="T324:T387" si="25">IF(COUNTIF(P:P,N324)*COUNTIF(R:R,N324),N324,"")</f>
        <v/>
      </c>
      <c r="U324" s="4" t="str">
        <f t="shared" si="24"/>
        <v/>
      </c>
    </row>
    <row r="325" spans="1:21" x14ac:dyDescent="0.25">
      <c r="A325" s="50"/>
      <c r="B325" s="51"/>
      <c r="C325" s="2"/>
      <c r="D325" s="54"/>
      <c r="E325" s="51"/>
      <c r="F325" s="2"/>
      <c r="G325" s="54"/>
      <c r="H325" s="51"/>
      <c r="I325" s="2"/>
      <c r="J325" s="54"/>
      <c r="K325" s="52"/>
      <c r="L325" s="55"/>
      <c r="T325" s="4" t="str">
        <f t="shared" si="25"/>
        <v/>
      </c>
      <c r="U325" s="4" t="str">
        <f t="shared" si="24"/>
        <v/>
      </c>
    </row>
    <row r="326" spans="1:21" x14ac:dyDescent="0.25">
      <c r="A326" s="50"/>
      <c r="B326" s="51"/>
      <c r="C326" s="2"/>
      <c r="D326" s="54"/>
      <c r="E326" s="51"/>
      <c r="F326" s="2"/>
      <c r="G326" s="54"/>
      <c r="H326" s="51"/>
      <c r="I326" s="2"/>
      <c r="J326" s="54"/>
      <c r="K326" s="52"/>
      <c r="L326" s="55"/>
      <c r="T326" s="4" t="str">
        <f t="shared" si="25"/>
        <v/>
      </c>
      <c r="U326" s="4" t="str">
        <f t="shared" si="24"/>
        <v/>
      </c>
    </row>
    <row r="327" spans="1:21" x14ac:dyDescent="0.25">
      <c r="A327" s="50"/>
      <c r="B327" s="51"/>
      <c r="C327" s="2"/>
      <c r="D327" s="54"/>
      <c r="E327" s="51"/>
      <c r="F327" s="2"/>
      <c r="G327" s="54"/>
      <c r="H327" s="51"/>
      <c r="I327" s="2"/>
      <c r="J327" s="54"/>
      <c r="K327" s="52"/>
      <c r="L327" s="55"/>
      <c r="T327" s="4" t="str">
        <f t="shared" si="25"/>
        <v/>
      </c>
      <c r="U327" s="4" t="str">
        <f t="shared" si="24"/>
        <v/>
      </c>
    </row>
    <row r="328" spans="1:21" x14ac:dyDescent="0.25">
      <c r="A328" s="50"/>
      <c r="B328" s="51"/>
      <c r="C328" s="2"/>
      <c r="D328" s="54"/>
      <c r="E328" s="51"/>
      <c r="F328" s="2"/>
      <c r="G328" s="54"/>
      <c r="H328" s="51"/>
      <c r="I328" s="2"/>
      <c r="J328" s="54"/>
      <c r="K328" s="52"/>
      <c r="L328" s="55"/>
      <c r="T328" s="4" t="str">
        <f t="shared" si="25"/>
        <v/>
      </c>
      <c r="U328" s="4" t="str">
        <f t="shared" si="24"/>
        <v/>
      </c>
    </row>
    <row r="329" spans="1:21" x14ac:dyDescent="0.25">
      <c r="A329" s="50"/>
      <c r="B329" s="51"/>
      <c r="C329" s="2"/>
      <c r="D329" s="54"/>
      <c r="E329" s="51"/>
      <c r="F329" s="2"/>
      <c r="G329" s="54"/>
      <c r="H329" s="51"/>
      <c r="I329" s="2"/>
      <c r="J329" s="54"/>
      <c r="K329" s="52"/>
      <c r="L329" s="55"/>
      <c r="T329" s="4" t="str">
        <f t="shared" si="25"/>
        <v/>
      </c>
      <c r="U329" s="4" t="str">
        <f t="shared" si="24"/>
        <v/>
      </c>
    </row>
    <row r="330" spans="1:21" x14ac:dyDescent="0.25">
      <c r="A330" s="50"/>
      <c r="B330" s="51"/>
      <c r="C330" s="2"/>
      <c r="D330" s="54"/>
      <c r="E330" s="51"/>
      <c r="F330" s="2"/>
      <c r="G330" s="54"/>
      <c r="H330" s="51"/>
      <c r="I330" s="2"/>
      <c r="J330" s="54"/>
      <c r="K330" s="52"/>
      <c r="L330" s="55"/>
      <c r="T330" s="4" t="str">
        <f t="shared" si="25"/>
        <v/>
      </c>
      <c r="U330" s="4" t="str">
        <f t="shared" si="24"/>
        <v/>
      </c>
    </row>
    <row r="331" spans="1:21" x14ac:dyDescent="0.25">
      <c r="A331" s="50"/>
      <c r="B331" s="51"/>
      <c r="C331" s="2"/>
      <c r="D331" s="54"/>
      <c r="E331" s="51"/>
      <c r="F331" s="2"/>
      <c r="G331" s="54"/>
      <c r="H331" s="51"/>
      <c r="I331" s="2"/>
      <c r="J331" s="54"/>
      <c r="K331" s="52"/>
      <c r="L331" s="55"/>
      <c r="T331" s="4" t="str">
        <f t="shared" si="25"/>
        <v/>
      </c>
      <c r="U331" s="4" t="str">
        <f t="shared" si="24"/>
        <v/>
      </c>
    </row>
    <row r="332" spans="1:21" x14ac:dyDescent="0.25">
      <c r="A332" s="50"/>
      <c r="B332" s="51"/>
      <c r="C332" s="2"/>
      <c r="D332" s="54"/>
      <c r="E332" s="51"/>
      <c r="F332" s="2"/>
      <c r="G332" s="54"/>
      <c r="H332" s="51"/>
      <c r="I332" s="2"/>
      <c r="J332" s="54"/>
      <c r="K332" s="52"/>
      <c r="L332" s="55"/>
      <c r="T332" s="4" t="str">
        <f t="shared" si="25"/>
        <v/>
      </c>
      <c r="U332" s="4" t="str">
        <f t="shared" si="24"/>
        <v/>
      </c>
    </row>
    <row r="333" spans="1:21" x14ac:dyDescent="0.25">
      <c r="A333" s="50"/>
      <c r="B333" s="51"/>
      <c r="C333" s="2"/>
      <c r="D333" s="54"/>
      <c r="E333" s="51"/>
      <c r="F333" s="2"/>
      <c r="G333" s="54"/>
      <c r="H333" s="51"/>
      <c r="I333" s="2"/>
      <c r="J333" s="54"/>
      <c r="K333" s="52"/>
      <c r="L333" s="55"/>
      <c r="T333" s="4" t="str">
        <f t="shared" si="25"/>
        <v/>
      </c>
      <c r="U333" s="4" t="str">
        <f t="shared" si="24"/>
        <v/>
      </c>
    </row>
    <row r="334" spans="1:21" x14ac:dyDescent="0.25">
      <c r="A334" s="50"/>
      <c r="B334" s="51"/>
      <c r="C334" s="2"/>
      <c r="D334" s="54"/>
      <c r="E334" s="51"/>
      <c r="F334" s="2"/>
      <c r="G334" s="54"/>
      <c r="H334" s="51"/>
      <c r="I334" s="2"/>
      <c r="J334" s="54"/>
      <c r="K334" s="52"/>
      <c r="L334" s="55"/>
      <c r="T334" s="4" t="str">
        <f t="shared" si="25"/>
        <v/>
      </c>
      <c r="U334" s="4" t="str">
        <f t="shared" si="24"/>
        <v/>
      </c>
    </row>
    <row r="335" spans="1:21" x14ac:dyDescent="0.25">
      <c r="A335" s="50"/>
      <c r="B335" s="51"/>
      <c r="C335" s="2"/>
      <c r="D335" s="54"/>
      <c r="E335" s="51"/>
      <c r="F335" s="2"/>
      <c r="G335" s="54"/>
      <c r="H335" s="51"/>
      <c r="I335" s="2"/>
      <c r="J335" s="54"/>
      <c r="K335" s="52"/>
      <c r="L335" s="55"/>
      <c r="T335" s="4" t="str">
        <f t="shared" si="25"/>
        <v/>
      </c>
      <c r="U335" s="4" t="str">
        <f t="shared" si="24"/>
        <v/>
      </c>
    </row>
    <row r="336" spans="1:21" x14ac:dyDescent="0.25">
      <c r="A336" s="50"/>
      <c r="B336" s="51"/>
      <c r="C336" s="2"/>
      <c r="D336" s="54"/>
      <c r="E336" s="51"/>
      <c r="F336" s="2"/>
      <c r="G336" s="54"/>
      <c r="H336" s="51"/>
      <c r="I336" s="2"/>
      <c r="J336" s="54"/>
      <c r="K336" s="52"/>
      <c r="L336" s="55"/>
      <c r="T336" s="4" t="str">
        <f t="shared" si="25"/>
        <v/>
      </c>
      <c r="U336" s="4" t="str">
        <f t="shared" si="24"/>
        <v/>
      </c>
    </row>
    <row r="337" spans="1:21" x14ac:dyDescent="0.25">
      <c r="A337" s="50"/>
      <c r="B337" s="51"/>
      <c r="C337" s="2"/>
      <c r="D337" s="54"/>
      <c r="E337" s="51"/>
      <c r="F337" s="2"/>
      <c r="G337" s="54"/>
      <c r="H337" s="51"/>
      <c r="I337" s="2"/>
      <c r="J337" s="54"/>
      <c r="K337" s="52"/>
      <c r="L337" s="55"/>
      <c r="T337" s="4" t="str">
        <f t="shared" si="25"/>
        <v/>
      </c>
      <c r="U337" s="4" t="str">
        <f t="shared" si="24"/>
        <v/>
      </c>
    </row>
    <row r="338" spans="1:21" x14ac:dyDescent="0.25">
      <c r="A338" s="50"/>
      <c r="B338" s="51"/>
      <c r="C338" s="2"/>
      <c r="D338" s="54"/>
      <c r="E338" s="51"/>
      <c r="F338" s="2"/>
      <c r="G338" s="54"/>
      <c r="H338" s="51"/>
      <c r="I338" s="2"/>
      <c r="J338" s="54"/>
      <c r="K338" s="52"/>
      <c r="L338" s="55"/>
      <c r="T338" s="4" t="str">
        <f t="shared" si="25"/>
        <v/>
      </c>
      <c r="U338" s="4" t="str">
        <f t="shared" si="24"/>
        <v/>
      </c>
    </row>
    <row r="339" spans="1:21" x14ac:dyDescent="0.25">
      <c r="A339" s="50"/>
      <c r="B339" s="51"/>
      <c r="C339" s="2"/>
      <c r="D339" s="54"/>
      <c r="E339" s="51"/>
      <c r="F339" s="2"/>
      <c r="G339" s="54"/>
      <c r="H339" s="51"/>
      <c r="I339" s="2"/>
      <c r="J339" s="54"/>
      <c r="K339" s="52"/>
      <c r="L339" s="55"/>
      <c r="T339" s="4" t="str">
        <f t="shared" si="25"/>
        <v/>
      </c>
      <c r="U339" s="4" t="str">
        <f t="shared" si="24"/>
        <v/>
      </c>
    </row>
    <row r="340" spans="1:21" x14ac:dyDescent="0.25">
      <c r="A340" s="50"/>
      <c r="B340" s="51"/>
      <c r="C340" s="2"/>
      <c r="D340" s="54"/>
      <c r="E340" s="51"/>
      <c r="F340" s="2"/>
      <c r="G340" s="54"/>
      <c r="H340" s="51"/>
      <c r="I340" s="2"/>
      <c r="J340" s="54"/>
      <c r="K340" s="52"/>
      <c r="L340" s="55"/>
      <c r="T340" s="4" t="str">
        <f t="shared" si="25"/>
        <v/>
      </c>
      <c r="U340" s="4" t="str">
        <f t="shared" si="24"/>
        <v/>
      </c>
    </row>
    <row r="341" spans="1:21" x14ac:dyDescent="0.25">
      <c r="A341" s="50"/>
      <c r="B341" s="51"/>
      <c r="C341" s="2"/>
      <c r="D341" s="54"/>
      <c r="E341" s="51"/>
      <c r="F341" s="2"/>
      <c r="G341" s="54"/>
      <c r="H341" s="51"/>
      <c r="I341" s="2"/>
      <c r="J341" s="54"/>
      <c r="K341" s="52"/>
      <c r="L341" s="55"/>
      <c r="T341" s="4" t="str">
        <f t="shared" si="25"/>
        <v/>
      </c>
      <c r="U341" s="4" t="str">
        <f t="shared" si="24"/>
        <v/>
      </c>
    </row>
    <row r="342" spans="1:21" x14ac:dyDescent="0.25">
      <c r="A342" s="50"/>
      <c r="B342" s="51"/>
      <c r="C342" s="2"/>
      <c r="D342" s="54"/>
      <c r="E342" s="51"/>
      <c r="F342" s="2"/>
      <c r="G342" s="54"/>
      <c r="H342" s="51"/>
      <c r="I342" s="2"/>
      <c r="J342" s="54"/>
      <c r="K342" s="52"/>
      <c r="L342" s="55"/>
      <c r="T342" s="4" t="str">
        <f t="shared" si="25"/>
        <v/>
      </c>
      <c r="U342" s="4" t="str">
        <f t="shared" si="24"/>
        <v/>
      </c>
    </row>
    <row r="343" spans="1:21" x14ac:dyDescent="0.25">
      <c r="A343" s="50"/>
      <c r="B343" s="51"/>
      <c r="C343" s="2"/>
      <c r="D343" s="54"/>
      <c r="E343" s="51"/>
      <c r="F343" s="2"/>
      <c r="G343" s="54"/>
      <c r="H343" s="51"/>
      <c r="I343" s="2"/>
      <c r="J343" s="54"/>
      <c r="K343" s="52"/>
      <c r="L343" s="55"/>
      <c r="T343" s="4" t="str">
        <f t="shared" si="25"/>
        <v/>
      </c>
      <c r="U343" s="4" t="str">
        <f t="shared" si="24"/>
        <v/>
      </c>
    </row>
    <row r="344" spans="1:21" x14ac:dyDescent="0.25">
      <c r="A344" s="50"/>
      <c r="B344" s="51"/>
      <c r="C344" s="2"/>
      <c r="D344" s="54"/>
      <c r="E344" s="51"/>
      <c r="F344" s="2"/>
      <c r="G344" s="54"/>
      <c r="H344" s="51"/>
      <c r="I344" s="2"/>
      <c r="J344" s="54"/>
      <c r="K344" s="52"/>
      <c r="L344" s="55"/>
      <c r="T344" s="4" t="str">
        <f t="shared" si="25"/>
        <v/>
      </c>
      <c r="U344" s="4" t="str">
        <f t="shared" si="24"/>
        <v/>
      </c>
    </row>
    <row r="345" spans="1:21" x14ac:dyDescent="0.25">
      <c r="A345" s="50"/>
      <c r="B345" s="51"/>
      <c r="C345" s="2"/>
      <c r="D345" s="54"/>
      <c r="E345" s="51"/>
      <c r="F345" s="2"/>
      <c r="G345" s="54"/>
      <c r="H345" s="51"/>
      <c r="I345" s="2"/>
      <c r="J345" s="54"/>
      <c r="K345" s="52"/>
      <c r="L345" s="55"/>
      <c r="T345" s="4" t="str">
        <f t="shared" si="25"/>
        <v/>
      </c>
      <c r="U345" s="4" t="str">
        <f t="shared" si="24"/>
        <v/>
      </c>
    </row>
    <row r="346" spans="1:21" x14ac:dyDescent="0.25">
      <c r="A346" s="50"/>
      <c r="B346" s="51"/>
      <c r="C346" s="2"/>
      <c r="D346" s="54"/>
      <c r="E346" s="51"/>
      <c r="F346" s="2"/>
      <c r="G346" s="54"/>
      <c r="H346" s="51"/>
      <c r="I346" s="2"/>
      <c r="J346" s="54"/>
      <c r="K346" s="52"/>
      <c r="L346" s="55"/>
      <c r="T346" s="4" t="str">
        <f t="shared" si="25"/>
        <v/>
      </c>
      <c r="U346" s="4" t="str">
        <f t="shared" si="24"/>
        <v/>
      </c>
    </row>
    <row r="347" spans="1:21" x14ac:dyDescent="0.25">
      <c r="A347" s="50"/>
      <c r="B347" s="51"/>
      <c r="C347" s="2"/>
      <c r="D347" s="54"/>
      <c r="E347" s="51"/>
      <c r="F347" s="2"/>
      <c r="G347" s="54"/>
      <c r="H347" s="51"/>
      <c r="I347" s="2"/>
      <c r="J347" s="54"/>
      <c r="K347" s="52"/>
      <c r="L347" s="55"/>
      <c r="T347" s="4" t="str">
        <f t="shared" si="25"/>
        <v/>
      </c>
      <c r="U347" s="4" t="str">
        <f t="shared" si="24"/>
        <v/>
      </c>
    </row>
    <row r="348" spans="1:21" x14ac:dyDescent="0.25">
      <c r="A348" s="50"/>
      <c r="B348" s="51"/>
      <c r="C348" s="2"/>
      <c r="D348" s="54"/>
      <c r="E348" s="51"/>
      <c r="F348" s="2"/>
      <c r="G348" s="54"/>
      <c r="H348" s="51"/>
      <c r="I348" s="2"/>
      <c r="J348" s="54"/>
      <c r="K348" s="52"/>
      <c r="L348" s="55"/>
      <c r="T348" s="4" t="str">
        <f t="shared" si="25"/>
        <v/>
      </c>
      <c r="U348" s="4" t="str">
        <f t="shared" si="24"/>
        <v/>
      </c>
    </row>
    <row r="349" spans="1:21" x14ac:dyDescent="0.25">
      <c r="A349" s="50"/>
      <c r="B349" s="51"/>
      <c r="C349" s="2"/>
      <c r="D349" s="54"/>
      <c r="E349" s="51"/>
      <c r="F349" s="2"/>
      <c r="G349" s="54"/>
      <c r="H349" s="51"/>
      <c r="I349" s="2"/>
      <c r="J349" s="54"/>
      <c r="K349" s="52"/>
      <c r="L349" s="55"/>
      <c r="T349" s="4" t="str">
        <f t="shared" si="25"/>
        <v/>
      </c>
      <c r="U349" s="4" t="str">
        <f t="shared" si="24"/>
        <v/>
      </c>
    </row>
    <row r="350" spans="1:21" x14ac:dyDescent="0.25">
      <c r="A350" s="50"/>
      <c r="B350" s="51"/>
      <c r="C350" s="2"/>
      <c r="D350" s="54"/>
      <c r="E350" s="51"/>
      <c r="F350" s="2"/>
      <c r="G350" s="54"/>
      <c r="H350" s="51"/>
      <c r="I350" s="2"/>
      <c r="J350" s="54"/>
      <c r="K350" s="52"/>
      <c r="L350" s="55"/>
      <c r="T350" s="4" t="str">
        <f t="shared" si="25"/>
        <v/>
      </c>
      <c r="U350" s="4" t="str">
        <f t="shared" si="24"/>
        <v/>
      </c>
    </row>
    <row r="351" spans="1:21" x14ac:dyDescent="0.25">
      <c r="A351" s="50"/>
      <c r="B351" s="51"/>
      <c r="C351" s="2"/>
      <c r="D351" s="54"/>
      <c r="E351" s="51"/>
      <c r="F351" s="2"/>
      <c r="G351" s="54"/>
      <c r="H351" s="51"/>
      <c r="I351" s="2"/>
      <c r="J351" s="54"/>
      <c r="K351" s="52"/>
      <c r="L351" s="55"/>
      <c r="T351" s="4" t="str">
        <f t="shared" si="25"/>
        <v/>
      </c>
      <c r="U351" s="4" t="str">
        <f t="shared" si="24"/>
        <v/>
      </c>
    </row>
    <row r="352" spans="1:21" x14ac:dyDescent="0.25">
      <c r="A352" s="50"/>
      <c r="B352" s="51"/>
      <c r="C352" s="2"/>
      <c r="D352" s="54"/>
      <c r="E352" s="51"/>
      <c r="F352" s="2"/>
      <c r="G352" s="54"/>
      <c r="H352" s="51"/>
      <c r="I352" s="2"/>
      <c r="J352" s="54"/>
      <c r="K352" s="52"/>
      <c r="L352" s="55"/>
      <c r="T352" s="4" t="str">
        <f t="shared" si="25"/>
        <v/>
      </c>
      <c r="U352" s="4" t="str">
        <f t="shared" si="24"/>
        <v/>
      </c>
    </row>
    <row r="353" spans="1:21" x14ac:dyDescent="0.25">
      <c r="A353" s="50"/>
      <c r="B353" s="51"/>
      <c r="C353" s="2"/>
      <c r="D353" s="54"/>
      <c r="E353" s="51"/>
      <c r="F353" s="2"/>
      <c r="G353" s="54"/>
      <c r="H353" s="51"/>
      <c r="I353" s="2"/>
      <c r="J353" s="54"/>
      <c r="K353" s="52"/>
      <c r="L353" s="55"/>
      <c r="T353" s="4" t="str">
        <f t="shared" si="25"/>
        <v/>
      </c>
      <c r="U353" s="4" t="str">
        <f t="shared" si="24"/>
        <v/>
      </c>
    </row>
    <row r="354" spans="1:21" x14ac:dyDescent="0.25">
      <c r="A354" s="50"/>
      <c r="B354" s="51"/>
      <c r="C354" s="2"/>
      <c r="D354" s="54"/>
      <c r="E354" s="51"/>
      <c r="F354" s="2"/>
      <c r="G354" s="54"/>
      <c r="H354" s="51"/>
      <c r="I354" s="2"/>
      <c r="J354" s="54"/>
      <c r="K354" s="52"/>
      <c r="L354" s="55"/>
      <c r="T354" s="4" t="str">
        <f t="shared" si="25"/>
        <v/>
      </c>
      <c r="U354" s="4" t="str">
        <f t="shared" si="24"/>
        <v/>
      </c>
    </row>
    <row r="355" spans="1:21" x14ac:dyDescent="0.25">
      <c r="A355" s="50"/>
      <c r="B355" s="51"/>
      <c r="C355" s="2"/>
      <c r="D355" s="54"/>
      <c r="E355" s="51"/>
      <c r="F355" s="2"/>
      <c r="G355" s="54"/>
      <c r="H355" s="51"/>
      <c r="I355" s="2"/>
      <c r="J355" s="54"/>
      <c r="K355" s="52"/>
      <c r="L355" s="55"/>
      <c r="T355" s="4" t="str">
        <f t="shared" si="25"/>
        <v/>
      </c>
      <c r="U355" s="4" t="str">
        <f t="shared" si="24"/>
        <v/>
      </c>
    </row>
    <row r="356" spans="1:21" x14ac:dyDescent="0.25">
      <c r="A356" s="50"/>
      <c r="B356" s="51"/>
      <c r="C356" s="2"/>
      <c r="D356" s="54"/>
      <c r="E356" s="51"/>
      <c r="F356" s="2"/>
      <c r="G356" s="54"/>
      <c r="H356" s="51"/>
      <c r="I356" s="2"/>
      <c r="J356" s="54"/>
      <c r="K356" s="52"/>
      <c r="L356" s="55"/>
      <c r="T356" s="4" t="str">
        <f t="shared" si="25"/>
        <v/>
      </c>
      <c r="U356" s="4" t="str">
        <f t="shared" si="24"/>
        <v/>
      </c>
    </row>
    <row r="357" spans="1:21" x14ac:dyDescent="0.25">
      <c r="A357" s="50"/>
      <c r="B357" s="51"/>
      <c r="C357" s="2"/>
      <c r="D357" s="54"/>
      <c r="E357" s="51"/>
      <c r="F357" s="2"/>
      <c r="G357" s="54"/>
      <c r="H357" s="51"/>
      <c r="I357" s="2"/>
      <c r="J357" s="54"/>
      <c r="K357" s="52"/>
      <c r="L357" s="55"/>
      <c r="T357" s="4" t="str">
        <f t="shared" si="25"/>
        <v/>
      </c>
      <c r="U357" s="4" t="str">
        <f t="shared" si="24"/>
        <v/>
      </c>
    </row>
    <row r="358" spans="1:21" x14ac:dyDescent="0.25">
      <c r="A358" s="50"/>
      <c r="B358" s="51"/>
      <c r="C358" s="2"/>
      <c r="D358" s="54"/>
      <c r="E358" s="51"/>
      <c r="F358" s="2"/>
      <c r="G358" s="54"/>
      <c r="H358" s="51"/>
      <c r="I358" s="2"/>
      <c r="J358" s="54"/>
      <c r="K358" s="52"/>
      <c r="L358" s="55"/>
      <c r="T358" s="4" t="str">
        <f t="shared" si="25"/>
        <v/>
      </c>
      <c r="U358" s="4" t="str">
        <f t="shared" si="24"/>
        <v/>
      </c>
    </row>
    <row r="359" spans="1:21" x14ac:dyDescent="0.25">
      <c r="A359" s="50"/>
      <c r="B359" s="51"/>
      <c r="C359" s="2"/>
      <c r="D359" s="54"/>
      <c r="E359" s="51"/>
      <c r="F359" s="2"/>
      <c r="G359" s="54"/>
      <c r="H359" s="51"/>
      <c r="I359" s="2"/>
      <c r="J359" s="54"/>
      <c r="K359" s="52"/>
      <c r="L359" s="55"/>
      <c r="T359" s="4" t="str">
        <f t="shared" si="25"/>
        <v/>
      </c>
      <c r="U359" s="4" t="str">
        <f t="shared" si="24"/>
        <v/>
      </c>
    </row>
    <row r="360" spans="1:21" x14ac:dyDescent="0.25">
      <c r="A360" s="50"/>
      <c r="B360" s="51"/>
      <c r="C360" s="2"/>
      <c r="D360" s="54"/>
      <c r="E360" s="51"/>
      <c r="F360" s="2"/>
      <c r="G360" s="54"/>
      <c r="H360" s="51"/>
      <c r="I360" s="2"/>
      <c r="J360" s="54"/>
      <c r="K360" s="52"/>
      <c r="L360" s="55"/>
      <c r="T360" s="4" t="str">
        <f t="shared" si="25"/>
        <v/>
      </c>
      <c r="U360" s="4" t="str">
        <f t="shared" si="24"/>
        <v/>
      </c>
    </row>
    <row r="361" spans="1:21" x14ac:dyDescent="0.25">
      <c r="A361" s="50"/>
      <c r="B361" s="51"/>
      <c r="C361" s="2"/>
      <c r="D361" s="54"/>
      <c r="E361" s="51"/>
      <c r="F361" s="2"/>
      <c r="G361" s="54"/>
      <c r="H361" s="51"/>
      <c r="I361" s="2"/>
      <c r="J361" s="54"/>
      <c r="K361" s="52"/>
      <c r="L361" s="55"/>
      <c r="T361" s="4" t="str">
        <f t="shared" si="25"/>
        <v/>
      </c>
      <c r="U361" s="4" t="str">
        <f t="shared" si="24"/>
        <v/>
      </c>
    </row>
    <row r="362" spans="1:21" x14ac:dyDescent="0.25">
      <c r="A362" s="50"/>
      <c r="B362" s="51"/>
      <c r="C362" s="2"/>
      <c r="D362" s="54"/>
      <c r="E362" s="51"/>
      <c r="F362" s="2"/>
      <c r="G362" s="54"/>
      <c r="H362" s="51"/>
      <c r="I362" s="2"/>
      <c r="J362" s="54"/>
      <c r="K362" s="52"/>
      <c r="L362" s="55"/>
      <c r="T362" s="4" t="str">
        <f t="shared" si="25"/>
        <v/>
      </c>
      <c r="U362" s="4" t="str">
        <f t="shared" si="24"/>
        <v/>
      </c>
    </row>
    <row r="363" spans="1:21" x14ac:dyDescent="0.25">
      <c r="A363" s="50"/>
      <c r="B363" s="51"/>
      <c r="C363" s="2"/>
      <c r="D363" s="54"/>
      <c r="E363" s="51"/>
      <c r="F363" s="2"/>
      <c r="G363" s="54"/>
      <c r="H363" s="51"/>
      <c r="I363" s="2"/>
      <c r="J363" s="54"/>
      <c r="K363" s="52"/>
      <c r="L363" s="55"/>
      <c r="T363" s="4" t="str">
        <f t="shared" si="25"/>
        <v/>
      </c>
      <c r="U363" s="4" t="str">
        <f t="shared" si="24"/>
        <v/>
      </c>
    </row>
    <row r="364" spans="1:21" x14ac:dyDescent="0.25">
      <c r="A364" s="50"/>
      <c r="B364" s="51"/>
      <c r="C364" s="2"/>
      <c r="D364" s="54"/>
      <c r="E364" s="51"/>
      <c r="F364" s="2"/>
      <c r="G364" s="54"/>
      <c r="H364" s="51"/>
      <c r="I364" s="2"/>
      <c r="J364" s="54"/>
      <c r="K364" s="52"/>
      <c r="L364" s="55"/>
      <c r="T364" s="4" t="str">
        <f t="shared" si="25"/>
        <v/>
      </c>
      <c r="U364" s="4" t="str">
        <f t="shared" si="24"/>
        <v/>
      </c>
    </row>
    <row r="365" spans="1:21" x14ac:dyDescent="0.25">
      <c r="A365" s="50"/>
      <c r="B365" s="51"/>
      <c r="C365" s="2"/>
      <c r="D365" s="54"/>
      <c r="E365" s="51"/>
      <c r="F365" s="2"/>
      <c r="G365" s="54"/>
      <c r="H365" s="51"/>
      <c r="I365" s="2"/>
      <c r="J365" s="54"/>
      <c r="K365" s="52"/>
      <c r="L365" s="55"/>
      <c r="T365" s="4" t="str">
        <f t="shared" si="25"/>
        <v/>
      </c>
      <c r="U365" s="4" t="str">
        <f t="shared" si="24"/>
        <v/>
      </c>
    </row>
    <row r="366" spans="1:21" x14ac:dyDescent="0.25">
      <c r="A366" s="50"/>
      <c r="B366" s="51"/>
      <c r="C366" s="2"/>
      <c r="D366" s="54"/>
      <c r="E366" s="51"/>
      <c r="F366" s="2"/>
      <c r="G366" s="54"/>
      <c r="H366" s="51"/>
      <c r="I366" s="2"/>
      <c r="J366" s="54"/>
      <c r="K366" s="52"/>
      <c r="L366" s="55"/>
      <c r="T366" s="4" t="str">
        <f t="shared" si="25"/>
        <v/>
      </c>
      <c r="U366" s="4" t="str">
        <f t="shared" si="24"/>
        <v/>
      </c>
    </row>
    <row r="367" spans="1:21" x14ac:dyDescent="0.25">
      <c r="A367" s="50"/>
      <c r="B367" s="51"/>
      <c r="C367" s="2"/>
      <c r="D367" s="54"/>
      <c r="E367" s="51"/>
      <c r="F367" s="2"/>
      <c r="G367" s="54"/>
      <c r="H367" s="51"/>
      <c r="I367" s="2"/>
      <c r="J367" s="54"/>
      <c r="K367" s="52"/>
      <c r="L367" s="55"/>
      <c r="T367" s="4" t="str">
        <f t="shared" si="25"/>
        <v/>
      </c>
      <c r="U367" s="4" t="str">
        <f t="shared" si="24"/>
        <v/>
      </c>
    </row>
    <row r="368" spans="1:21" x14ac:dyDescent="0.25">
      <c r="A368" s="50"/>
      <c r="B368" s="51"/>
      <c r="C368" s="2"/>
      <c r="D368" s="54"/>
      <c r="E368" s="51"/>
      <c r="F368" s="2"/>
      <c r="G368" s="54"/>
      <c r="H368" s="51"/>
      <c r="I368" s="2"/>
      <c r="J368" s="54"/>
      <c r="K368" s="52"/>
      <c r="L368" s="55"/>
      <c r="T368" s="4" t="str">
        <f t="shared" si="25"/>
        <v/>
      </c>
      <c r="U368" s="4" t="str">
        <f t="shared" si="24"/>
        <v/>
      </c>
    </row>
    <row r="369" spans="1:21" x14ac:dyDescent="0.25">
      <c r="A369" s="50"/>
      <c r="B369" s="51"/>
      <c r="C369" s="2"/>
      <c r="D369" s="54"/>
      <c r="E369" s="51"/>
      <c r="F369" s="2"/>
      <c r="G369" s="54"/>
      <c r="H369" s="51"/>
      <c r="I369" s="2"/>
      <c r="J369" s="54"/>
      <c r="K369" s="52"/>
      <c r="L369" s="55"/>
      <c r="T369" s="4" t="str">
        <f t="shared" si="25"/>
        <v/>
      </c>
      <c r="U369" s="4" t="str">
        <f t="shared" si="24"/>
        <v/>
      </c>
    </row>
    <row r="370" spans="1:21" x14ac:dyDescent="0.25">
      <c r="A370" s="50"/>
      <c r="B370" s="51"/>
      <c r="C370" s="2"/>
      <c r="D370" s="54"/>
      <c r="E370" s="51"/>
      <c r="F370" s="2"/>
      <c r="G370" s="54"/>
      <c r="H370" s="51"/>
      <c r="I370" s="2"/>
      <c r="J370" s="54"/>
      <c r="K370" s="52"/>
      <c r="L370" s="55"/>
      <c r="T370" s="4" t="str">
        <f t="shared" si="25"/>
        <v/>
      </c>
      <c r="U370" s="4" t="str">
        <f t="shared" si="24"/>
        <v/>
      </c>
    </row>
    <row r="371" spans="1:21" x14ac:dyDescent="0.25">
      <c r="A371" s="50"/>
      <c r="B371" s="51"/>
      <c r="C371" s="2"/>
      <c r="D371" s="54"/>
      <c r="E371" s="51"/>
      <c r="F371" s="2"/>
      <c r="G371" s="54"/>
      <c r="H371" s="51"/>
      <c r="I371" s="2"/>
      <c r="J371" s="54"/>
      <c r="K371" s="52"/>
      <c r="L371" s="55"/>
      <c r="T371" s="4" t="str">
        <f t="shared" si="25"/>
        <v/>
      </c>
      <c r="U371" s="4" t="str">
        <f t="shared" si="24"/>
        <v/>
      </c>
    </row>
    <row r="372" spans="1:21" x14ac:dyDescent="0.25">
      <c r="A372" s="50"/>
      <c r="B372" s="51"/>
      <c r="C372" s="2"/>
      <c r="D372" s="54"/>
      <c r="E372" s="51"/>
      <c r="F372" s="2"/>
      <c r="G372" s="54"/>
      <c r="H372" s="51"/>
      <c r="I372" s="2"/>
      <c r="J372" s="54"/>
      <c r="K372" s="52"/>
      <c r="L372" s="55"/>
      <c r="T372" s="4" t="str">
        <f t="shared" si="25"/>
        <v/>
      </c>
      <c r="U372" s="4" t="str">
        <f t="shared" si="24"/>
        <v/>
      </c>
    </row>
    <row r="373" spans="1:21" x14ac:dyDescent="0.25">
      <c r="A373" s="50"/>
      <c r="B373" s="51"/>
      <c r="C373" s="2"/>
      <c r="D373" s="54"/>
      <c r="E373" s="51"/>
      <c r="F373" s="2"/>
      <c r="G373" s="54"/>
      <c r="H373" s="51"/>
      <c r="I373" s="2"/>
      <c r="J373" s="54"/>
      <c r="K373" s="52"/>
      <c r="L373" s="55"/>
      <c r="T373" s="4" t="str">
        <f t="shared" si="25"/>
        <v/>
      </c>
      <c r="U373" s="4" t="str">
        <f t="shared" si="24"/>
        <v/>
      </c>
    </row>
    <row r="374" spans="1:21" x14ac:dyDescent="0.25">
      <c r="A374" s="50"/>
      <c r="B374" s="51"/>
      <c r="C374" s="2"/>
      <c r="D374" s="54"/>
      <c r="E374" s="51"/>
      <c r="F374" s="2"/>
      <c r="G374" s="54"/>
      <c r="H374" s="51"/>
      <c r="I374" s="2"/>
      <c r="J374" s="54"/>
      <c r="K374" s="52"/>
      <c r="L374" s="55"/>
      <c r="T374" s="4" t="str">
        <f t="shared" si="25"/>
        <v/>
      </c>
      <c r="U374" s="4" t="str">
        <f t="shared" si="24"/>
        <v/>
      </c>
    </row>
    <row r="375" spans="1:21" x14ac:dyDescent="0.25">
      <c r="A375" s="50"/>
      <c r="B375" s="51"/>
      <c r="C375" s="2"/>
      <c r="D375" s="54"/>
      <c r="E375" s="51"/>
      <c r="F375" s="2"/>
      <c r="G375" s="54"/>
      <c r="H375" s="51"/>
      <c r="I375" s="2"/>
      <c r="J375" s="54"/>
      <c r="K375" s="52"/>
      <c r="L375" s="55"/>
      <c r="T375" s="4" t="str">
        <f t="shared" si="25"/>
        <v/>
      </c>
      <c r="U375" s="4" t="str">
        <f t="shared" si="24"/>
        <v/>
      </c>
    </row>
    <row r="376" spans="1:21" x14ac:dyDescent="0.25">
      <c r="A376" s="50"/>
      <c r="B376" s="51"/>
      <c r="C376" s="2"/>
      <c r="D376" s="54"/>
      <c r="E376" s="51"/>
      <c r="F376" s="2"/>
      <c r="G376" s="54"/>
      <c r="H376" s="51"/>
      <c r="I376" s="2"/>
      <c r="J376" s="54"/>
      <c r="K376" s="52"/>
      <c r="L376" s="55"/>
      <c r="T376" s="4" t="str">
        <f t="shared" si="25"/>
        <v/>
      </c>
      <c r="U376" s="4" t="str">
        <f t="shared" si="24"/>
        <v/>
      </c>
    </row>
    <row r="377" spans="1:21" x14ac:dyDescent="0.25">
      <c r="A377" s="50"/>
      <c r="B377" s="51"/>
      <c r="C377" s="2"/>
      <c r="D377" s="54"/>
      <c r="E377" s="51"/>
      <c r="F377" s="2"/>
      <c r="G377" s="54"/>
      <c r="H377" s="51"/>
      <c r="I377" s="2"/>
      <c r="J377" s="54"/>
      <c r="K377" s="52"/>
      <c r="L377" s="55"/>
      <c r="T377" s="4" t="str">
        <f t="shared" si="25"/>
        <v/>
      </c>
      <c r="U377" s="4" t="str">
        <f t="shared" si="24"/>
        <v/>
      </c>
    </row>
    <row r="378" spans="1:21" x14ac:dyDescent="0.25">
      <c r="A378" s="50"/>
      <c r="B378" s="51"/>
      <c r="C378" s="2"/>
      <c r="D378" s="54"/>
      <c r="E378" s="51"/>
      <c r="F378" s="2"/>
      <c r="G378" s="54"/>
      <c r="H378" s="51"/>
      <c r="I378" s="2"/>
      <c r="J378" s="54"/>
      <c r="K378" s="52"/>
      <c r="L378" s="55"/>
      <c r="T378" s="4" t="str">
        <f t="shared" si="25"/>
        <v/>
      </c>
      <c r="U378" s="4" t="str">
        <f t="shared" si="24"/>
        <v/>
      </c>
    </row>
    <row r="379" spans="1:21" x14ac:dyDescent="0.25">
      <c r="A379" s="50"/>
      <c r="B379" s="51"/>
      <c r="C379" s="2"/>
      <c r="D379" s="54"/>
      <c r="E379" s="51"/>
      <c r="F379" s="2"/>
      <c r="G379" s="54"/>
      <c r="H379" s="51"/>
      <c r="I379" s="2"/>
      <c r="J379" s="54"/>
      <c r="K379" s="52"/>
      <c r="L379" s="55"/>
      <c r="T379" s="4" t="str">
        <f t="shared" si="25"/>
        <v/>
      </c>
      <c r="U379" s="4" t="str">
        <f t="shared" si="24"/>
        <v/>
      </c>
    </row>
    <row r="380" spans="1:21" x14ac:dyDescent="0.25">
      <c r="A380" s="50"/>
      <c r="B380" s="51"/>
      <c r="C380" s="2"/>
      <c r="D380" s="54"/>
      <c r="E380" s="51"/>
      <c r="F380" s="2"/>
      <c r="G380" s="54"/>
      <c r="H380" s="51"/>
      <c r="I380" s="2"/>
      <c r="J380" s="54"/>
      <c r="K380" s="52"/>
      <c r="L380" s="55"/>
      <c r="T380" s="4" t="str">
        <f t="shared" si="25"/>
        <v/>
      </c>
      <c r="U380" s="4" t="str">
        <f t="shared" si="24"/>
        <v/>
      </c>
    </row>
    <row r="381" spans="1:21" x14ac:dyDescent="0.25">
      <c r="A381" s="50"/>
      <c r="B381" s="51"/>
      <c r="C381" s="2"/>
      <c r="D381" s="54"/>
      <c r="E381" s="51"/>
      <c r="F381" s="2"/>
      <c r="G381" s="54"/>
      <c r="H381" s="51"/>
      <c r="I381" s="2"/>
      <c r="J381" s="54"/>
      <c r="K381" s="52"/>
      <c r="L381" s="55"/>
      <c r="T381" s="4" t="str">
        <f t="shared" si="25"/>
        <v/>
      </c>
      <c r="U381" s="4" t="str">
        <f t="shared" si="24"/>
        <v/>
      </c>
    </row>
    <row r="382" spans="1:21" x14ac:dyDescent="0.25">
      <c r="A382" s="50"/>
      <c r="B382" s="51"/>
      <c r="C382" s="2"/>
      <c r="D382" s="54"/>
      <c r="E382" s="51"/>
      <c r="F382" s="2"/>
      <c r="G382" s="54"/>
      <c r="H382" s="51"/>
      <c r="I382" s="2"/>
      <c r="J382" s="54"/>
      <c r="K382" s="52"/>
      <c r="L382" s="55"/>
      <c r="T382" s="4" t="str">
        <f t="shared" si="25"/>
        <v/>
      </c>
      <c r="U382" s="4" t="str">
        <f t="shared" si="24"/>
        <v/>
      </c>
    </row>
    <row r="383" spans="1:21" x14ac:dyDescent="0.25">
      <c r="A383" s="50"/>
      <c r="B383" s="51"/>
      <c r="C383" s="2"/>
      <c r="D383" s="54"/>
      <c r="E383" s="51"/>
      <c r="F383" s="2"/>
      <c r="G383" s="54"/>
      <c r="H383" s="51"/>
      <c r="I383" s="2"/>
      <c r="J383" s="54"/>
      <c r="K383" s="52"/>
      <c r="L383" s="55"/>
      <c r="T383" s="4" t="str">
        <f t="shared" si="25"/>
        <v/>
      </c>
      <c r="U383" s="4" t="str">
        <f t="shared" si="24"/>
        <v/>
      </c>
    </row>
    <row r="384" spans="1:21" x14ac:dyDescent="0.25">
      <c r="A384" s="50"/>
      <c r="B384" s="51"/>
      <c r="C384" s="2"/>
      <c r="D384" s="54"/>
      <c r="E384" s="51"/>
      <c r="F384" s="2"/>
      <c r="G384" s="54"/>
      <c r="H384" s="51"/>
      <c r="I384" s="2"/>
      <c r="J384" s="54"/>
      <c r="K384" s="52"/>
      <c r="L384" s="55"/>
      <c r="T384" s="4" t="str">
        <f t="shared" si="25"/>
        <v/>
      </c>
      <c r="U384" s="4" t="str">
        <f t="shared" si="24"/>
        <v/>
      </c>
    </row>
    <row r="385" spans="1:21" x14ac:dyDescent="0.25">
      <c r="A385" s="50"/>
      <c r="B385" s="51"/>
      <c r="C385" s="2"/>
      <c r="D385" s="54"/>
      <c r="E385" s="51"/>
      <c r="F385" s="2"/>
      <c r="G385" s="54"/>
      <c r="H385" s="51"/>
      <c r="I385" s="2"/>
      <c r="J385" s="54"/>
      <c r="K385" s="52"/>
      <c r="L385" s="55"/>
      <c r="T385" s="4" t="str">
        <f t="shared" si="25"/>
        <v/>
      </c>
      <c r="U385" s="4" t="str">
        <f t="shared" si="24"/>
        <v/>
      </c>
    </row>
    <row r="386" spans="1:21" x14ac:dyDescent="0.25">
      <c r="A386" s="50"/>
      <c r="B386" s="51"/>
      <c r="C386" s="2"/>
      <c r="D386" s="54"/>
      <c r="E386" s="51"/>
      <c r="F386" s="2"/>
      <c r="G386" s="54"/>
      <c r="H386" s="51"/>
      <c r="I386" s="2"/>
      <c r="J386" s="54"/>
      <c r="K386" s="52"/>
      <c r="L386" s="55"/>
      <c r="T386" s="4" t="str">
        <f t="shared" si="25"/>
        <v/>
      </c>
      <c r="U386" s="4" t="str">
        <f t="shared" si="24"/>
        <v/>
      </c>
    </row>
    <row r="387" spans="1:21" x14ac:dyDescent="0.25">
      <c r="A387" s="50"/>
      <c r="B387" s="51"/>
      <c r="C387" s="2"/>
      <c r="D387" s="54"/>
      <c r="E387" s="51"/>
      <c r="F387" s="2"/>
      <c r="G387" s="54"/>
      <c r="H387" s="51"/>
      <c r="I387" s="2"/>
      <c r="J387" s="54"/>
      <c r="K387" s="52"/>
      <c r="L387" s="55"/>
      <c r="T387" s="4" t="str">
        <f t="shared" si="25"/>
        <v/>
      </c>
      <c r="U387" s="4" t="str">
        <f t="shared" ref="U387:U450" si="26">IF(T387&gt;$A$14,T387,"")</f>
        <v/>
      </c>
    </row>
    <row r="388" spans="1:21" x14ac:dyDescent="0.25">
      <c r="A388" s="50"/>
      <c r="B388" s="51"/>
      <c r="C388" s="2"/>
      <c r="D388" s="54"/>
      <c r="E388" s="51"/>
      <c r="F388" s="2"/>
      <c r="G388" s="54"/>
      <c r="H388" s="51"/>
      <c r="I388" s="2"/>
      <c r="J388" s="54"/>
      <c r="K388" s="52"/>
      <c r="L388" s="55"/>
      <c r="T388" s="4" t="str">
        <f t="shared" ref="T388:T451" si="27">IF(COUNTIF(P:P,N388)*COUNTIF(R:R,N388),N388,"")</f>
        <v/>
      </c>
      <c r="U388" s="4" t="str">
        <f t="shared" si="26"/>
        <v/>
      </c>
    </row>
    <row r="389" spans="1:21" x14ac:dyDescent="0.25">
      <c r="A389" s="50"/>
      <c r="B389" s="51"/>
      <c r="C389" s="2"/>
      <c r="D389" s="54"/>
      <c r="E389" s="51"/>
      <c r="F389" s="2"/>
      <c r="G389" s="54"/>
      <c r="H389" s="51"/>
      <c r="I389" s="2"/>
      <c r="J389" s="54"/>
      <c r="K389" s="52"/>
      <c r="L389" s="55"/>
      <c r="T389" s="4" t="str">
        <f t="shared" si="27"/>
        <v/>
      </c>
      <c r="U389" s="4" t="str">
        <f t="shared" si="26"/>
        <v/>
      </c>
    </row>
    <row r="390" spans="1:21" x14ac:dyDescent="0.25">
      <c r="A390" s="50"/>
      <c r="B390" s="51"/>
      <c r="C390" s="2"/>
      <c r="D390" s="54"/>
      <c r="E390" s="51"/>
      <c r="F390" s="2"/>
      <c r="G390" s="54"/>
      <c r="H390" s="51"/>
      <c r="I390" s="2"/>
      <c r="J390" s="54"/>
      <c r="K390" s="52"/>
      <c r="L390" s="55"/>
      <c r="T390" s="4" t="str">
        <f t="shared" si="27"/>
        <v/>
      </c>
      <c r="U390" s="4" t="str">
        <f t="shared" si="26"/>
        <v/>
      </c>
    </row>
    <row r="391" spans="1:21" x14ac:dyDescent="0.25">
      <c r="A391" s="50"/>
      <c r="B391" s="51"/>
      <c r="C391" s="2"/>
      <c r="D391" s="54"/>
      <c r="E391" s="51"/>
      <c r="F391" s="2"/>
      <c r="G391" s="54"/>
      <c r="H391" s="51"/>
      <c r="I391" s="2"/>
      <c r="J391" s="54"/>
      <c r="K391" s="52"/>
      <c r="L391" s="55"/>
      <c r="T391" s="4" t="str">
        <f t="shared" si="27"/>
        <v/>
      </c>
      <c r="U391" s="4" t="str">
        <f t="shared" si="26"/>
        <v/>
      </c>
    </row>
    <row r="392" spans="1:21" x14ac:dyDescent="0.25">
      <c r="A392" s="50"/>
      <c r="B392" s="51"/>
      <c r="C392" s="2"/>
      <c r="D392" s="54"/>
      <c r="E392" s="51"/>
      <c r="F392" s="2"/>
      <c r="G392" s="54"/>
      <c r="H392" s="51"/>
      <c r="I392" s="2"/>
      <c r="J392" s="54"/>
      <c r="K392" s="52"/>
      <c r="L392" s="55"/>
      <c r="T392" s="4" t="str">
        <f t="shared" si="27"/>
        <v/>
      </c>
      <c r="U392" s="4" t="str">
        <f t="shared" si="26"/>
        <v/>
      </c>
    </row>
    <row r="393" spans="1:21" x14ac:dyDescent="0.25">
      <c r="A393" s="50"/>
      <c r="B393" s="51"/>
      <c r="C393" s="2"/>
      <c r="D393" s="54"/>
      <c r="E393" s="51"/>
      <c r="F393" s="2"/>
      <c r="G393" s="54"/>
      <c r="H393" s="51"/>
      <c r="I393" s="2"/>
      <c r="J393" s="54"/>
      <c r="K393" s="52"/>
      <c r="L393" s="55"/>
      <c r="T393" s="4" t="str">
        <f t="shared" si="27"/>
        <v/>
      </c>
      <c r="U393" s="4" t="str">
        <f t="shared" si="26"/>
        <v/>
      </c>
    </row>
    <row r="394" spans="1:21" x14ac:dyDescent="0.25">
      <c r="A394" s="50"/>
      <c r="B394" s="51"/>
      <c r="C394" s="2"/>
      <c r="D394" s="54"/>
      <c r="E394" s="51"/>
      <c r="F394" s="2"/>
      <c r="G394" s="54"/>
      <c r="H394" s="51"/>
      <c r="I394" s="2"/>
      <c r="J394" s="54"/>
      <c r="K394" s="52"/>
      <c r="L394" s="55"/>
      <c r="T394" s="4" t="str">
        <f t="shared" si="27"/>
        <v/>
      </c>
      <c r="U394" s="4" t="str">
        <f t="shared" si="26"/>
        <v/>
      </c>
    </row>
    <row r="395" spans="1:21" x14ac:dyDescent="0.25">
      <c r="A395" s="50"/>
      <c r="B395" s="51"/>
      <c r="C395" s="2"/>
      <c r="D395" s="54"/>
      <c r="E395" s="51"/>
      <c r="F395" s="2"/>
      <c r="G395" s="54"/>
      <c r="H395" s="51"/>
      <c r="I395" s="2"/>
      <c r="J395" s="54"/>
      <c r="K395" s="52"/>
      <c r="L395" s="55"/>
      <c r="T395" s="4" t="str">
        <f t="shared" si="27"/>
        <v/>
      </c>
      <c r="U395" s="4" t="str">
        <f t="shared" si="26"/>
        <v/>
      </c>
    </row>
    <row r="396" spans="1:21" x14ac:dyDescent="0.25">
      <c r="A396" s="50"/>
      <c r="B396" s="51"/>
      <c r="C396" s="2"/>
      <c r="D396" s="54"/>
      <c r="E396" s="51"/>
      <c r="F396" s="2"/>
      <c r="G396" s="54"/>
      <c r="H396" s="51"/>
      <c r="I396" s="2"/>
      <c r="J396" s="54"/>
      <c r="K396" s="52"/>
      <c r="L396" s="55"/>
      <c r="T396" s="4" t="str">
        <f t="shared" si="27"/>
        <v/>
      </c>
      <c r="U396" s="4" t="str">
        <f t="shared" si="26"/>
        <v/>
      </c>
    </row>
    <row r="397" spans="1:21" x14ac:dyDescent="0.25">
      <c r="A397" s="50"/>
      <c r="B397" s="51"/>
      <c r="C397" s="2"/>
      <c r="D397" s="54"/>
      <c r="E397" s="51"/>
      <c r="F397" s="2"/>
      <c r="G397" s="54"/>
      <c r="H397" s="51"/>
      <c r="I397" s="2"/>
      <c r="J397" s="54"/>
      <c r="K397" s="52"/>
      <c r="L397" s="55"/>
      <c r="T397" s="4" t="str">
        <f t="shared" si="27"/>
        <v/>
      </c>
      <c r="U397" s="4" t="str">
        <f t="shared" si="26"/>
        <v/>
      </c>
    </row>
    <row r="398" spans="1:21" x14ac:dyDescent="0.25">
      <c r="A398" s="50"/>
      <c r="B398" s="51"/>
      <c r="C398" s="2"/>
      <c r="D398" s="54"/>
      <c r="E398" s="51"/>
      <c r="F398" s="2"/>
      <c r="G398" s="54"/>
      <c r="H398" s="51"/>
      <c r="I398" s="2"/>
      <c r="J398" s="54"/>
      <c r="K398" s="52"/>
      <c r="L398" s="55"/>
      <c r="T398" s="4" t="str">
        <f t="shared" si="27"/>
        <v/>
      </c>
      <c r="U398" s="4" t="str">
        <f t="shared" si="26"/>
        <v/>
      </c>
    </row>
    <row r="399" spans="1:21" x14ac:dyDescent="0.25">
      <c r="A399" s="50"/>
      <c r="B399" s="51"/>
      <c r="C399" s="2"/>
      <c r="D399" s="54"/>
      <c r="E399" s="51"/>
      <c r="F399" s="2"/>
      <c r="G399" s="54"/>
      <c r="H399" s="51"/>
      <c r="I399" s="2"/>
      <c r="J399" s="54"/>
      <c r="K399" s="52"/>
      <c r="L399" s="55"/>
      <c r="T399" s="4" t="str">
        <f t="shared" si="27"/>
        <v/>
      </c>
      <c r="U399" s="4" t="str">
        <f t="shared" si="26"/>
        <v/>
      </c>
    </row>
    <row r="400" spans="1:21" x14ac:dyDescent="0.25">
      <c r="A400" s="50"/>
      <c r="B400" s="51"/>
      <c r="C400" s="2"/>
      <c r="D400" s="54"/>
      <c r="E400" s="51"/>
      <c r="F400" s="2"/>
      <c r="G400" s="54"/>
      <c r="H400" s="51"/>
      <c r="I400" s="2"/>
      <c r="J400" s="54"/>
      <c r="K400" s="52"/>
      <c r="L400" s="55"/>
      <c r="T400" s="4" t="str">
        <f t="shared" si="27"/>
        <v/>
      </c>
      <c r="U400" s="4" t="str">
        <f t="shared" si="26"/>
        <v/>
      </c>
    </row>
    <row r="401" spans="1:21" x14ac:dyDescent="0.25">
      <c r="A401" s="50"/>
      <c r="B401" s="51"/>
      <c r="C401" s="2"/>
      <c r="D401" s="54"/>
      <c r="E401" s="51"/>
      <c r="F401" s="2"/>
      <c r="G401" s="54"/>
      <c r="H401" s="51"/>
      <c r="I401" s="2"/>
      <c r="J401" s="54"/>
      <c r="K401" s="52"/>
      <c r="L401" s="55"/>
      <c r="T401" s="4" t="str">
        <f t="shared" si="27"/>
        <v/>
      </c>
      <c r="U401" s="4" t="str">
        <f t="shared" si="26"/>
        <v/>
      </c>
    </row>
    <row r="402" spans="1:21" x14ac:dyDescent="0.25">
      <c r="A402" s="50"/>
      <c r="B402" s="51"/>
      <c r="C402" s="2"/>
      <c r="D402" s="54"/>
      <c r="E402" s="51"/>
      <c r="F402" s="2"/>
      <c r="G402" s="54"/>
      <c r="H402" s="51"/>
      <c r="I402" s="2"/>
      <c r="J402" s="54"/>
      <c r="K402" s="52"/>
      <c r="L402" s="55"/>
      <c r="T402" s="4" t="str">
        <f t="shared" si="27"/>
        <v/>
      </c>
      <c r="U402" s="4" t="str">
        <f t="shared" si="26"/>
        <v/>
      </c>
    </row>
    <row r="403" spans="1:21" x14ac:dyDescent="0.25">
      <c r="A403" s="50"/>
      <c r="B403" s="51"/>
      <c r="C403" s="2"/>
      <c r="D403" s="54"/>
      <c r="E403" s="51"/>
      <c r="F403" s="2"/>
      <c r="G403" s="54"/>
      <c r="H403" s="51"/>
      <c r="I403" s="2"/>
      <c r="J403" s="54"/>
      <c r="K403" s="52"/>
      <c r="L403" s="55"/>
      <c r="T403" s="4" t="str">
        <f t="shared" si="27"/>
        <v/>
      </c>
      <c r="U403" s="4" t="str">
        <f t="shared" si="26"/>
        <v/>
      </c>
    </row>
    <row r="404" spans="1:21" x14ac:dyDescent="0.25">
      <c r="A404" s="50"/>
      <c r="B404" s="51"/>
      <c r="C404" s="2"/>
      <c r="D404" s="54"/>
      <c r="E404" s="51"/>
      <c r="F404" s="2"/>
      <c r="G404" s="54"/>
      <c r="H404" s="51"/>
      <c r="I404" s="2"/>
      <c r="J404" s="54"/>
      <c r="K404" s="52"/>
      <c r="L404" s="55"/>
      <c r="T404" s="4" t="str">
        <f t="shared" si="27"/>
        <v/>
      </c>
      <c r="U404" s="4" t="str">
        <f t="shared" si="26"/>
        <v/>
      </c>
    </row>
    <row r="405" spans="1:21" x14ac:dyDescent="0.25">
      <c r="A405" s="50"/>
      <c r="B405" s="51"/>
      <c r="C405" s="2"/>
      <c r="D405" s="54"/>
      <c r="E405" s="51"/>
      <c r="F405" s="2"/>
      <c r="G405" s="54"/>
      <c r="H405" s="51"/>
      <c r="I405" s="2"/>
      <c r="J405" s="54"/>
      <c r="K405" s="52"/>
      <c r="L405" s="55"/>
      <c r="T405" s="4" t="str">
        <f t="shared" si="27"/>
        <v/>
      </c>
      <c r="U405" s="4" t="str">
        <f t="shared" si="26"/>
        <v/>
      </c>
    </row>
    <row r="406" spans="1:21" x14ac:dyDescent="0.25">
      <c r="A406" s="50"/>
      <c r="B406" s="51"/>
      <c r="C406" s="2"/>
      <c r="D406" s="54"/>
      <c r="E406" s="51"/>
      <c r="F406" s="2"/>
      <c r="G406" s="54"/>
      <c r="H406" s="51"/>
      <c r="I406" s="2"/>
      <c r="J406" s="54"/>
      <c r="K406" s="52"/>
      <c r="L406" s="55"/>
      <c r="T406" s="4" t="str">
        <f t="shared" si="27"/>
        <v/>
      </c>
      <c r="U406" s="4" t="str">
        <f t="shared" si="26"/>
        <v/>
      </c>
    </row>
    <row r="407" spans="1:21" x14ac:dyDescent="0.25">
      <c r="A407" s="50"/>
      <c r="B407" s="51"/>
      <c r="C407" s="2"/>
      <c r="D407" s="54"/>
      <c r="E407" s="51"/>
      <c r="F407" s="2"/>
      <c r="G407" s="54"/>
      <c r="H407" s="51"/>
      <c r="I407" s="2"/>
      <c r="J407" s="54"/>
      <c r="K407" s="52"/>
      <c r="L407" s="55"/>
      <c r="T407" s="4" t="str">
        <f t="shared" si="27"/>
        <v/>
      </c>
      <c r="U407" s="4" t="str">
        <f t="shared" si="26"/>
        <v/>
      </c>
    </row>
    <row r="408" spans="1:21" x14ac:dyDescent="0.25">
      <c r="A408" s="50"/>
      <c r="B408" s="51"/>
      <c r="C408" s="2"/>
      <c r="D408" s="54"/>
      <c r="E408" s="51"/>
      <c r="F408" s="2"/>
      <c r="G408" s="54"/>
      <c r="H408" s="51"/>
      <c r="I408" s="2"/>
      <c r="J408" s="54"/>
      <c r="K408" s="52"/>
      <c r="L408" s="55"/>
      <c r="T408" s="4" t="str">
        <f t="shared" si="27"/>
        <v/>
      </c>
      <c r="U408" s="4" t="str">
        <f t="shared" si="26"/>
        <v/>
      </c>
    </row>
    <row r="409" spans="1:21" x14ac:dyDescent="0.25">
      <c r="A409" s="50"/>
      <c r="B409" s="51"/>
      <c r="C409" s="2"/>
      <c r="D409" s="54"/>
      <c r="E409" s="51"/>
      <c r="F409" s="2"/>
      <c r="G409" s="54"/>
      <c r="H409" s="51"/>
      <c r="I409" s="2"/>
      <c r="J409" s="54"/>
      <c r="K409" s="52"/>
      <c r="L409" s="55"/>
      <c r="T409" s="4" t="str">
        <f t="shared" si="27"/>
        <v/>
      </c>
      <c r="U409" s="4" t="str">
        <f t="shared" si="26"/>
        <v/>
      </c>
    </row>
    <row r="410" spans="1:21" x14ac:dyDescent="0.25">
      <c r="A410" s="50"/>
      <c r="B410" s="51"/>
      <c r="C410" s="2"/>
      <c r="D410" s="54"/>
      <c r="E410" s="51"/>
      <c r="F410" s="2"/>
      <c r="G410" s="54"/>
      <c r="H410" s="51"/>
      <c r="I410" s="2"/>
      <c r="J410" s="54"/>
      <c r="K410" s="52"/>
      <c r="L410" s="55"/>
      <c r="T410" s="4" t="str">
        <f t="shared" si="27"/>
        <v/>
      </c>
      <c r="U410" s="4" t="str">
        <f t="shared" si="26"/>
        <v/>
      </c>
    </row>
    <row r="411" spans="1:21" x14ac:dyDescent="0.25">
      <c r="A411" s="50"/>
      <c r="B411" s="51"/>
      <c r="C411" s="2"/>
      <c r="D411" s="54"/>
      <c r="E411" s="51"/>
      <c r="F411" s="2"/>
      <c r="G411" s="54"/>
      <c r="H411" s="51"/>
      <c r="I411" s="2"/>
      <c r="J411" s="54"/>
      <c r="K411" s="52"/>
      <c r="L411" s="55"/>
      <c r="T411" s="4" t="str">
        <f t="shared" si="27"/>
        <v/>
      </c>
      <c r="U411" s="4" t="str">
        <f t="shared" si="26"/>
        <v/>
      </c>
    </row>
    <row r="412" spans="1:21" x14ac:dyDescent="0.25">
      <c r="A412" s="50"/>
      <c r="B412" s="51"/>
      <c r="C412" s="2"/>
      <c r="D412" s="54"/>
      <c r="E412" s="51"/>
      <c r="F412" s="2"/>
      <c r="G412" s="54"/>
      <c r="H412" s="51"/>
      <c r="I412" s="2"/>
      <c r="J412" s="54"/>
      <c r="K412" s="52"/>
      <c r="L412" s="55"/>
      <c r="T412" s="4" t="str">
        <f t="shared" si="27"/>
        <v/>
      </c>
      <c r="U412" s="4" t="str">
        <f t="shared" si="26"/>
        <v/>
      </c>
    </row>
    <row r="413" spans="1:21" x14ac:dyDescent="0.25">
      <c r="A413" s="50"/>
      <c r="B413" s="51"/>
      <c r="C413" s="2"/>
      <c r="D413" s="54"/>
      <c r="E413" s="51"/>
      <c r="F413" s="2"/>
      <c r="G413" s="54"/>
      <c r="H413" s="51"/>
      <c r="I413" s="2"/>
      <c r="J413" s="54"/>
      <c r="K413" s="52"/>
      <c r="L413" s="55"/>
      <c r="T413" s="4" t="str">
        <f t="shared" si="27"/>
        <v/>
      </c>
      <c r="U413" s="4" t="str">
        <f t="shared" si="26"/>
        <v/>
      </c>
    </row>
    <row r="414" spans="1:21" x14ac:dyDescent="0.25">
      <c r="A414" s="50"/>
      <c r="B414" s="51"/>
      <c r="C414" s="2"/>
      <c r="D414" s="54"/>
      <c r="E414" s="51"/>
      <c r="F414" s="2"/>
      <c r="G414" s="54"/>
      <c r="H414" s="51"/>
      <c r="I414" s="2"/>
      <c r="J414" s="54"/>
      <c r="K414" s="52"/>
      <c r="L414" s="55"/>
      <c r="T414" s="4" t="str">
        <f t="shared" si="27"/>
        <v/>
      </c>
      <c r="U414" s="4" t="str">
        <f t="shared" si="26"/>
        <v/>
      </c>
    </row>
    <row r="415" spans="1:21" x14ac:dyDescent="0.25">
      <c r="A415" s="50"/>
      <c r="B415" s="51"/>
      <c r="C415" s="2"/>
      <c r="D415" s="54"/>
      <c r="E415" s="51"/>
      <c r="F415" s="2"/>
      <c r="G415" s="54"/>
      <c r="H415" s="51"/>
      <c r="I415" s="2"/>
      <c r="J415" s="54"/>
      <c r="K415" s="52"/>
      <c r="L415" s="55"/>
      <c r="T415" s="4" t="str">
        <f t="shared" si="27"/>
        <v/>
      </c>
      <c r="U415" s="4" t="str">
        <f t="shared" si="26"/>
        <v/>
      </c>
    </row>
    <row r="416" spans="1:21" x14ac:dyDescent="0.25">
      <c r="A416" s="50"/>
      <c r="B416" s="51"/>
      <c r="C416" s="2"/>
      <c r="D416" s="54"/>
      <c r="E416" s="51"/>
      <c r="F416" s="2"/>
      <c r="G416" s="54"/>
      <c r="H416" s="51"/>
      <c r="I416" s="2"/>
      <c r="J416" s="54"/>
      <c r="K416" s="52"/>
      <c r="L416" s="55"/>
      <c r="T416" s="4" t="str">
        <f t="shared" si="27"/>
        <v/>
      </c>
      <c r="U416" s="4" t="str">
        <f t="shared" si="26"/>
        <v/>
      </c>
    </row>
    <row r="417" spans="1:21" x14ac:dyDescent="0.25">
      <c r="A417" s="50"/>
      <c r="B417" s="51"/>
      <c r="C417" s="2"/>
      <c r="D417" s="54"/>
      <c r="E417" s="51"/>
      <c r="F417" s="2"/>
      <c r="G417" s="54"/>
      <c r="H417" s="51"/>
      <c r="I417" s="2"/>
      <c r="J417" s="54"/>
      <c r="K417" s="52"/>
      <c r="L417" s="55"/>
      <c r="T417" s="4" t="str">
        <f t="shared" si="27"/>
        <v/>
      </c>
      <c r="U417" s="4" t="str">
        <f t="shared" si="26"/>
        <v/>
      </c>
    </row>
    <row r="418" spans="1:21" x14ac:dyDescent="0.25">
      <c r="A418" s="50"/>
      <c r="B418" s="51"/>
      <c r="C418" s="2"/>
      <c r="D418" s="54"/>
      <c r="E418" s="51"/>
      <c r="F418" s="2"/>
      <c r="G418" s="54"/>
      <c r="H418" s="51"/>
      <c r="I418" s="2"/>
      <c r="J418" s="54"/>
      <c r="K418" s="52"/>
      <c r="L418" s="55"/>
      <c r="T418" s="4" t="str">
        <f t="shared" si="27"/>
        <v/>
      </c>
      <c r="U418" s="4" t="str">
        <f t="shared" si="26"/>
        <v/>
      </c>
    </row>
    <row r="419" spans="1:21" x14ac:dyDescent="0.25">
      <c r="A419" s="50"/>
      <c r="B419" s="51"/>
      <c r="C419" s="2"/>
      <c r="D419" s="54"/>
      <c r="E419" s="51"/>
      <c r="F419" s="2"/>
      <c r="G419" s="54"/>
      <c r="H419" s="51"/>
      <c r="I419" s="2"/>
      <c r="J419" s="54"/>
      <c r="K419" s="52"/>
      <c r="L419" s="55"/>
      <c r="T419" s="4" t="str">
        <f t="shared" si="27"/>
        <v/>
      </c>
      <c r="U419" s="4" t="str">
        <f t="shared" si="26"/>
        <v/>
      </c>
    </row>
    <row r="420" spans="1:21" x14ac:dyDescent="0.25">
      <c r="A420" s="50"/>
      <c r="B420" s="51"/>
      <c r="C420" s="2"/>
      <c r="D420" s="54"/>
      <c r="E420" s="51"/>
      <c r="F420" s="2"/>
      <c r="G420" s="54"/>
      <c r="H420" s="51"/>
      <c r="I420" s="2"/>
      <c r="J420" s="54"/>
      <c r="K420" s="52"/>
      <c r="L420" s="55"/>
      <c r="T420" s="4" t="str">
        <f t="shared" si="27"/>
        <v/>
      </c>
      <c r="U420" s="4" t="str">
        <f t="shared" si="26"/>
        <v/>
      </c>
    </row>
    <row r="421" spans="1:21" x14ac:dyDescent="0.25">
      <c r="A421" s="50"/>
      <c r="B421" s="51"/>
      <c r="C421" s="2"/>
      <c r="D421" s="54"/>
      <c r="E421" s="51"/>
      <c r="F421" s="2"/>
      <c r="G421" s="54"/>
      <c r="H421" s="51"/>
      <c r="I421" s="2"/>
      <c r="J421" s="54"/>
      <c r="K421" s="52"/>
      <c r="L421" s="55"/>
      <c r="T421" s="4" t="str">
        <f t="shared" si="27"/>
        <v/>
      </c>
      <c r="U421" s="4" t="str">
        <f t="shared" si="26"/>
        <v/>
      </c>
    </row>
    <row r="422" spans="1:21" x14ac:dyDescent="0.25">
      <c r="A422" s="50"/>
      <c r="B422" s="51"/>
      <c r="C422" s="2"/>
      <c r="D422" s="54"/>
      <c r="E422" s="51"/>
      <c r="F422" s="2"/>
      <c r="G422" s="54"/>
      <c r="H422" s="51"/>
      <c r="I422" s="2"/>
      <c r="J422" s="54"/>
      <c r="K422" s="52"/>
      <c r="L422" s="55"/>
      <c r="T422" s="4" t="str">
        <f t="shared" si="27"/>
        <v/>
      </c>
      <c r="U422" s="4" t="str">
        <f t="shared" si="26"/>
        <v/>
      </c>
    </row>
    <row r="423" spans="1:21" x14ac:dyDescent="0.25">
      <c r="A423" s="50"/>
      <c r="B423" s="51"/>
      <c r="C423" s="2"/>
      <c r="D423" s="54"/>
      <c r="E423" s="51"/>
      <c r="F423" s="2"/>
      <c r="G423" s="54"/>
      <c r="H423" s="51"/>
      <c r="I423" s="2"/>
      <c r="J423" s="54"/>
      <c r="K423" s="52"/>
      <c r="L423" s="55"/>
      <c r="T423" s="4" t="str">
        <f t="shared" si="27"/>
        <v/>
      </c>
      <c r="U423" s="4" t="str">
        <f t="shared" si="26"/>
        <v/>
      </c>
    </row>
    <row r="424" spans="1:21" x14ac:dyDescent="0.25">
      <c r="A424" s="50"/>
      <c r="B424" s="51"/>
      <c r="C424" s="2"/>
      <c r="D424" s="54"/>
      <c r="E424" s="51"/>
      <c r="F424" s="2"/>
      <c r="G424" s="54"/>
      <c r="H424" s="51"/>
      <c r="I424" s="2"/>
      <c r="J424" s="54"/>
      <c r="K424" s="52"/>
      <c r="L424" s="55"/>
      <c r="T424" s="4" t="str">
        <f t="shared" si="27"/>
        <v/>
      </c>
      <c r="U424" s="4" t="str">
        <f t="shared" si="26"/>
        <v/>
      </c>
    </row>
    <row r="425" spans="1:21" x14ac:dyDescent="0.25">
      <c r="A425" s="50"/>
      <c r="B425" s="51"/>
      <c r="C425" s="2"/>
      <c r="D425" s="54"/>
      <c r="E425" s="51"/>
      <c r="F425" s="2"/>
      <c r="G425" s="54"/>
      <c r="H425" s="51"/>
      <c r="I425" s="2"/>
      <c r="J425" s="54"/>
      <c r="K425" s="52"/>
      <c r="L425" s="55"/>
      <c r="T425" s="4" t="str">
        <f t="shared" si="27"/>
        <v/>
      </c>
      <c r="U425" s="4" t="str">
        <f t="shared" si="26"/>
        <v/>
      </c>
    </row>
    <row r="426" spans="1:21" x14ac:dyDescent="0.25">
      <c r="A426" s="50"/>
      <c r="B426" s="51"/>
      <c r="C426" s="2"/>
      <c r="D426" s="54"/>
      <c r="E426" s="51"/>
      <c r="F426" s="2"/>
      <c r="G426" s="54"/>
      <c r="H426" s="51"/>
      <c r="I426" s="2"/>
      <c r="J426" s="54"/>
      <c r="K426" s="52"/>
      <c r="L426" s="55"/>
      <c r="T426" s="4" t="str">
        <f t="shared" si="27"/>
        <v/>
      </c>
      <c r="U426" s="4" t="str">
        <f t="shared" si="26"/>
        <v/>
      </c>
    </row>
    <row r="427" spans="1:21" x14ac:dyDescent="0.25">
      <c r="A427" s="50"/>
      <c r="B427" s="51"/>
      <c r="C427" s="2"/>
      <c r="D427" s="54"/>
      <c r="E427" s="51"/>
      <c r="F427" s="2"/>
      <c r="G427" s="54"/>
      <c r="H427" s="51"/>
      <c r="I427" s="2"/>
      <c r="J427" s="54"/>
      <c r="K427" s="52"/>
      <c r="L427" s="55"/>
      <c r="T427" s="4" t="str">
        <f t="shared" si="27"/>
        <v/>
      </c>
      <c r="U427" s="4" t="str">
        <f t="shared" si="26"/>
        <v/>
      </c>
    </row>
    <row r="428" spans="1:21" x14ac:dyDescent="0.25">
      <c r="A428" s="50"/>
      <c r="B428" s="51"/>
      <c r="C428" s="2"/>
      <c r="D428" s="54"/>
      <c r="E428" s="51"/>
      <c r="F428" s="2"/>
      <c r="G428" s="54"/>
      <c r="H428" s="51"/>
      <c r="I428" s="2"/>
      <c r="J428" s="54"/>
      <c r="K428" s="52"/>
      <c r="L428" s="55"/>
      <c r="T428" s="4" t="str">
        <f t="shared" si="27"/>
        <v/>
      </c>
      <c r="U428" s="4" t="str">
        <f t="shared" si="26"/>
        <v/>
      </c>
    </row>
    <row r="429" spans="1:21" x14ac:dyDescent="0.25">
      <c r="A429" s="50"/>
      <c r="B429" s="51"/>
      <c r="C429" s="2"/>
      <c r="D429" s="54"/>
      <c r="E429" s="51"/>
      <c r="F429" s="2"/>
      <c r="G429" s="54"/>
      <c r="H429" s="51"/>
      <c r="I429" s="2"/>
      <c r="J429" s="54"/>
      <c r="K429" s="52"/>
      <c r="L429" s="55"/>
      <c r="T429" s="4" t="str">
        <f t="shared" si="27"/>
        <v/>
      </c>
      <c r="U429" s="4" t="str">
        <f t="shared" si="26"/>
        <v/>
      </c>
    </row>
    <row r="430" spans="1:21" x14ac:dyDescent="0.25">
      <c r="A430" s="50"/>
      <c r="B430" s="51"/>
      <c r="C430" s="2"/>
      <c r="D430" s="54"/>
      <c r="E430" s="51"/>
      <c r="F430" s="2"/>
      <c r="G430" s="54"/>
      <c r="H430" s="51"/>
      <c r="I430" s="2"/>
      <c r="J430" s="54"/>
      <c r="K430" s="52"/>
      <c r="L430" s="55"/>
      <c r="T430" s="4" t="str">
        <f t="shared" si="27"/>
        <v/>
      </c>
      <c r="U430" s="4" t="str">
        <f t="shared" si="26"/>
        <v/>
      </c>
    </row>
    <row r="431" spans="1:21" x14ac:dyDescent="0.25">
      <c r="A431" s="50"/>
      <c r="B431" s="51"/>
      <c r="C431" s="2"/>
      <c r="D431" s="54"/>
      <c r="E431" s="51"/>
      <c r="F431" s="2"/>
      <c r="G431" s="54"/>
      <c r="H431" s="51"/>
      <c r="I431" s="2"/>
      <c r="J431" s="54"/>
      <c r="K431" s="52"/>
      <c r="L431" s="55"/>
      <c r="T431" s="4" t="str">
        <f t="shared" si="27"/>
        <v/>
      </c>
      <c r="U431" s="4" t="str">
        <f t="shared" si="26"/>
        <v/>
      </c>
    </row>
    <row r="432" spans="1:21" x14ac:dyDescent="0.25">
      <c r="A432" s="50"/>
      <c r="B432" s="51"/>
      <c r="C432" s="2"/>
      <c r="D432" s="54"/>
      <c r="E432" s="51"/>
      <c r="F432" s="2"/>
      <c r="G432" s="54"/>
      <c r="H432" s="51"/>
      <c r="I432" s="2"/>
      <c r="J432" s="54"/>
      <c r="K432" s="52"/>
      <c r="L432" s="55"/>
      <c r="T432" s="4" t="str">
        <f t="shared" si="27"/>
        <v/>
      </c>
      <c r="U432" s="4" t="str">
        <f t="shared" si="26"/>
        <v/>
      </c>
    </row>
    <row r="433" spans="1:21" x14ac:dyDescent="0.25">
      <c r="A433" s="50"/>
      <c r="B433" s="51"/>
      <c r="C433" s="2"/>
      <c r="D433" s="54"/>
      <c r="E433" s="51"/>
      <c r="F433" s="2"/>
      <c r="G433" s="54"/>
      <c r="H433" s="51"/>
      <c r="I433" s="2"/>
      <c r="J433" s="54"/>
      <c r="K433" s="52"/>
      <c r="L433" s="55"/>
      <c r="T433" s="4" t="str">
        <f t="shared" si="27"/>
        <v/>
      </c>
      <c r="U433" s="4" t="str">
        <f t="shared" si="26"/>
        <v/>
      </c>
    </row>
    <row r="434" spans="1:21" x14ac:dyDescent="0.25">
      <c r="A434" s="50"/>
      <c r="B434" s="51"/>
      <c r="C434" s="2"/>
      <c r="D434" s="54"/>
      <c r="E434" s="51"/>
      <c r="F434" s="2"/>
      <c r="G434" s="54"/>
      <c r="H434" s="51"/>
      <c r="I434" s="2"/>
      <c r="J434" s="54"/>
      <c r="K434" s="52"/>
      <c r="L434" s="55"/>
      <c r="T434" s="4" t="str">
        <f t="shared" si="27"/>
        <v/>
      </c>
      <c r="U434" s="4" t="str">
        <f t="shared" si="26"/>
        <v/>
      </c>
    </row>
    <row r="435" spans="1:21" x14ac:dyDescent="0.25">
      <c r="A435" s="50"/>
      <c r="B435" s="51"/>
      <c r="C435" s="2"/>
      <c r="D435" s="54"/>
      <c r="E435" s="51"/>
      <c r="F435" s="2"/>
      <c r="G435" s="54"/>
      <c r="H435" s="51"/>
      <c r="I435" s="2"/>
      <c r="J435" s="54"/>
      <c r="K435" s="52"/>
      <c r="L435" s="55"/>
      <c r="T435" s="4" t="str">
        <f t="shared" si="27"/>
        <v/>
      </c>
      <c r="U435" s="4" t="str">
        <f t="shared" si="26"/>
        <v/>
      </c>
    </row>
    <row r="436" spans="1:21" x14ac:dyDescent="0.25">
      <c r="A436" s="50"/>
      <c r="B436" s="51"/>
      <c r="C436" s="2"/>
      <c r="D436" s="54"/>
      <c r="E436" s="51"/>
      <c r="F436" s="2"/>
      <c r="G436" s="54"/>
      <c r="H436" s="51"/>
      <c r="I436" s="2"/>
      <c r="J436" s="54"/>
      <c r="K436" s="52"/>
      <c r="L436" s="55"/>
      <c r="T436" s="4" t="str">
        <f t="shared" si="27"/>
        <v/>
      </c>
      <c r="U436" s="4" t="str">
        <f t="shared" si="26"/>
        <v/>
      </c>
    </row>
    <row r="437" spans="1:21" x14ac:dyDescent="0.25">
      <c r="A437" s="50"/>
      <c r="B437" s="51"/>
      <c r="C437" s="2"/>
      <c r="D437" s="54"/>
      <c r="E437" s="51"/>
      <c r="F437" s="2"/>
      <c r="G437" s="54"/>
      <c r="H437" s="51"/>
      <c r="I437" s="2"/>
      <c r="J437" s="54"/>
      <c r="K437" s="52"/>
      <c r="L437" s="55"/>
      <c r="T437" s="4" t="str">
        <f t="shared" si="27"/>
        <v/>
      </c>
      <c r="U437" s="4" t="str">
        <f t="shared" si="26"/>
        <v/>
      </c>
    </row>
    <row r="438" spans="1:21" x14ac:dyDescent="0.25">
      <c r="A438" s="50"/>
      <c r="B438" s="51"/>
      <c r="C438" s="2"/>
      <c r="D438" s="54"/>
      <c r="E438" s="51"/>
      <c r="F438" s="2"/>
      <c r="G438" s="54"/>
      <c r="H438" s="51"/>
      <c r="I438" s="2"/>
      <c r="J438" s="54"/>
      <c r="K438" s="52"/>
      <c r="L438" s="55"/>
      <c r="T438" s="4" t="str">
        <f t="shared" si="27"/>
        <v/>
      </c>
      <c r="U438" s="4" t="str">
        <f t="shared" si="26"/>
        <v/>
      </c>
    </row>
    <row r="439" spans="1:21" x14ac:dyDescent="0.25">
      <c r="A439" s="50"/>
      <c r="B439" s="51"/>
      <c r="C439" s="2"/>
      <c r="D439" s="54"/>
      <c r="E439" s="51"/>
      <c r="F439" s="2"/>
      <c r="G439" s="54"/>
      <c r="H439" s="51"/>
      <c r="I439" s="2"/>
      <c r="J439" s="54"/>
      <c r="K439" s="52"/>
      <c r="L439" s="55"/>
      <c r="T439" s="4" t="str">
        <f t="shared" si="27"/>
        <v/>
      </c>
      <c r="U439" s="4" t="str">
        <f t="shared" si="26"/>
        <v/>
      </c>
    </row>
    <row r="440" spans="1:21" x14ac:dyDescent="0.25">
      <c r="A440" s="50"/>
      <c r="B440" s="51"/>
      <c r="C440" s="2"/>
      <c r="D440" s="54"/>
      <c r="E440" s="51"/>
      <c r="F440" s="2"/>
      <c r="G440" s="54"/>
      <c r="H440" s="51"/>
      <c r="I440" s="2"/>
      <c r="J440" s="54"/>
      <c r="K440" s="52"/>
      <c r="L440" s="55"/>
      <c r="T440" s="4" t="str">
        <f t="shared" si="27"/>
        <v/>
      </c>
      <c r="U440" s="4" t="str">
        <f t="shared" si="26"/>
        <v/>
      </c>
    </row>
    <row r="441" spans="1:21" x14ac:dyDescent="0.25">
      <c r="A441" s="50"/>
      <c r="B441" s="51"/>
      <c r="C441" s="2"/>
      <c r="D441" s="54"/>
      <c r="E441" s="51"/>
      <c r="F441" s="2"/>
      <c r="G441" s="54"/>
      <c r="H441" s="51"/>
      <c r="I441" s="2"/>
      <c r="J441" s="54"/>
      <c r="K441" s="52"/>
      <c r="L441" s="55"/>
      <c r="T441" s="4" t="str">
        <f t="shared" si="27"/>
        <v/>
      </c>
      <c r="U441" s="4" t="str">
        <f t="shared" si="26"/>
        <v/>
      </c>
    </row>
    <row r="442" spans="1:21" x14ac:dyDescent="0.25">
      <c r="A442" s="50"/>
      <c r="B442" s="51"/>
      <c r="C442" s="2"/>
      <c r="D442" s="54"/>
      <c r="E442" s="51"/>
      <c r="F442" s="2"/>
      <c r="G442" s="54"/>
      <c r="H442" s="51"/>
      <c r="I442" s="2"/>
      <c r="J442" s="54"/>
      <c r="K442" s="52"/>
      <c r="L442" s="55"/>
      <c r="T442" s="4" t="str">
        <f t="shared" si="27"/>
        <v/>
      </c>
      <c r="U442" s="4" t="str">
        <f t="shared" si="26"/>
        <v/>
      </c>
    </row>
    <row r="443" spans="1:21" x14ac:dyDescent="0.25">
      <c r="A443" s="50"/>
      <c r="B443" s="51"/>
      <c r="C443" s="2"/>
      <c r="D443" s="54"/>
      <c r="E443" s="51"/>
      <c r="F443" s="2"/>
      <c r="G443" s="54"/>
      <c r="H443" s="51"/>
      <c r="I443" s="2"/>
      <c r="J443" s="54"/>
      <c r="K443" s="52"/>
      <c r="L443" s="55"/>
      <c r="T443" s="4" t="str">
        <f t="shared" si="27"/>
        <v/>
      </c>
      <c r="U443" s="4" t="str">
        <f t="shared" si="26"/>
        <v/>
      </c>
    </row>
    <row r="444" spans="1:21" x14ac:dyDescent="0.25">
      <c r="A444" s="50"/>
      <c r="B444" s="51"/>
      <c r="C444" s="2"/>
      <c r="D444" s="54"/>
      <c r="E444" s="51"/>
      <c r="F444" s="2"/>
      <c r="G444" s="54"/>
      <c r="H444" s="51"/>
      <c r="I444" s="2"/>
      <c r="J444" s="54"/>
      <c r="K444" s="52"/>
      <c r="L444" s="55"/>
      <c r="T444" s="4" t="str">
        <f t="shared" si="27"/>
        <v/>
      </c>
      <c r="U444" s="4" t="str">
        <f t="shared" si="26"/>
        <v/>
      </c>
    </row>
    <row r="445" spans="1:21" x14ac:dyDescent="0.25">
      <c r="A445" s="50"/>
      <c r="B445" s="51"/>
      <c r="C445" s="2"/>
      <c r="D445" s="54"/>
      <c r="E445" s="51"/>
      <c r="F445" s="2"/>
      <c r="G445" s="54"/>
      <c r="H445" s="51"/>
      <c r="I445" s="2"/>
      <c r="J445" s="54"/>
      <c r="K445" s="52"/>
      <c r="L445" s="55"/>
      <c r="T445" s="4" t="str">
        <f t="shared" si="27"/>
        <v/>
      </c>
      <c r="U445" s="4" t="str">
        <f t="shared" si="26"/>
        <v/>
      </c>
    </row>
    <row r="446" spans="1:21" x14ac:dyDescent="0.25">
      <c r="A446" s="50"/>
      <c r="B446" s="51"/>
      <c r="C446" s="2"/>
      <c r="D446" s="54"/>
      <c r="E446" s="51"/>
      <c r="F446" s="2"/>
      <c r="G446" s="54"/>
      <c r="H446" s="51"/>
      <c r="I446" s="2"/>
      <c r="J446" s="54"/>
      <c r="K446" s="52"/>
      <c r="L446" s="55"/>
      <c r="T446" s="4" t="str">
        <f t="shared" si="27"/>
        <v/>
      </c>
      <c r="U446" s="4" t="str">
        <f t="shared" si="26"/>
        <v/>
      </c>
    </row>
    <row r="447" spans="1:21" x14ac:dyDescent="0.25">
      <c r="A447" s="50"/>
      <c r="B447" s="51"/>
      <c r="C447" s="2"/>
      <c r="D447" s="54"/>
      <c r="E447" s="51"/>
      <c r="F447" s="2"/>
      <c r="G447" s="54"/>
      <c r="H447" s="51"/>
      <c r="I447" s="2"/>
      <c r="J447" s="54"/>
      <c r="K447" s="52"/>
      <c r="L447" s="55"/>
      <c r="T447" s="4" t="str">
        <f t="shared" si="27"/>
        <v/>
      </c>
      <c r="U447" s="4" t="str">
        <f t="shared" si="26"/>
        <v/>
      </c>
    </row>
    <row r="448" spans="1:21" x14ac:dyDescent="0.25">
      <c r="A448" s="50"/>
      <c r="B448" s="51"/>
      <c r="C448" s="2"/>
      <c r="D448" s="54"/>
      <c r="E448" s="51"/>
      <c r="F448" s="2"/>
      <c r="G448" s="54"/>
      <c r="H448" s="51"/>
      <c r="I448" s="2"/>
      <c r="J448" s="54"/>
      <c r="K448" s="52"/>
      <c r="L448" s="55"/>
      <c r="T448" s="4" t="str">
        <f t="shared" si="27"/>
        <v/>
      </c>
      <c r="U448" s="4" t="str">
        <f t="shared" si="26"/>
        <v/>
      </c>
    </row>
    <row r="449" spans="1:21" x14ac:dyDescent="0.25">
      <c r="A449" s="50"/>
      <c r="B449" s="51"/>
      <c r="C449" s="2"/>
      <c r="D449" s="54"/>
      <c r="E449" s="51"/>
      <c r="F449" s="2"/>
      <c r="G449" s="54"/>
      <c r="H449" s="51"/>
      <c r="I449" s="2"/>
      <c r="J449" s="54"/>
      <c r="K449" s="52"/>
      <c r="L449" s="55"/>
      <c r="T449" s="4" t="str">
        <f t="shared" si="27"/>
        <v/>
      </c>
      <c r="U449" s="4" t="str">
        <f t="shared" si="26"/>
        <v/>
      </c>
    </row>
    <row r="450" spans="1:21" x14ac:dyDescent="0.25">
      <c r="A450" s="50"/>
      <c r="B450" s="51"/>
      <c r="C450" s="2"/>
      <c r="D450" s="54"/>
      <c r="E450" s="51"/>
      <c r="F450" s="2"/>
      <c r="G450" s="54"/>
      <c r="H450" s="51"/>
      <c r="I450" s="2"/>
      <c r="J450" s="54"/>
      <c r="K450" s="52"/>
      <c r="L450" s="55"/>
      <c r="T450" s="4" t="str">
        <f t="shared" si="27"/>
        <v/>
      </c>
      <c r="U450" s="4" t="str">
        <f t="shared" si="26"/>
        <v/>
      </c>
    </row>
    <row r="451" spans="1:21" x14ac:dyDescent="0.25">
      <c r="A451" s="50"/>
      <c r="B451" s="51"/>
      <c r="C451" s="2"/>
      <c r="D451" s="54"/>
      <c r="E451" s="51"/>
      <c r="F451" s="2"/>
      <c r="G451" s="54"/>
      <c r="H451" s="51"/>
      <c r="I451" s="2"/>
      <c r="J451" s="54"/>
      <c r="K451" s="52"/>
      <c r="L451" s="55"/>
      <c r="T451" s="4" t="str">
        <f t="shared" si="27"/>
        <v/>
      </c>
      <c r="U451" s="4" t="str">
        <f t="shared" ref="U451:U514" si="28">IF(T451&gt;$A$14,T451,"")</f>
        <v/>
      </c>
    </row>
    <row r="452" spans="1:21" x14ac:dyDescent="0.25">
      <c r="A452" s="50"/>
      <c r="B452" s="51"/>
      <c r="C452" s="2"/>
      <c r="D452" s="54"/>
      <c r="E452" s="51"/>
      <c r="F452" s="2"/>
      <c r="G452" s="54"/>
      <c r="H452" s="51"/>
      <c r="I452" s="2"/>
      <c r="J452" s="54"/>
      <c r="K452" s="52"/>
      <c r="L452" s="55"/>
      <c r="T452" s="4" t="str">
        <f t="shared" ref="T452:T515" si="29">IF(COUNTIF(P:P,N452)*COUNTIF(R:R,N452),N452,"")</f>
        <v/>
      </c>
      <c r="U452" s="4" t="str">
        <f t="shared" si="28"/>
        <v/>
      </c>
    </row>
    <row r="453" spans="1:21" x14ac:dyDescent="0.25">
      <c r="A453" s="50"/>
      <c r="B453" s="51"/>
      <c r="C453" s="2"/>
      <c r="D453" s="54"/>
      <c r="E453" s="51"/>
      <c r="F453" s="2"/>
      <c r="G453" s="54"/>
      <c r="H453" s="51"/>
      <c r="I453" s="2"/>
      <c r="J453" s="54"/>
      <c r="K453" s="52"/>
      <c r="L453" s="55"/>
      <c r="T453" s="4" t="str">
        <f t="shared" si="29"/>
        <v/>
      </c>
      <c r="U453" s="4" t="str">
        <f t="shared" si="28"/>
        <v/>
      </c>
    </row>
    <row r="454" spans="1:21" x14ac:dyDescent="0.25">
      <c r="A454" s="50"/>
      <c r="B454" s="51"/>
      <c r="C454" s="2"/>
      <c r="D454" s="54"/>
      <c r="E454" s="51"/>
      <c r="F454" s="2"/>
      <c r="G454" s="54"/>
      <c r="H454" s="51"/>
      <c r="I454" s="2"/>
      <c r="J454" s="54"/>
      <c r="K454" s="52"/>
      <c r="L454" s="55"/>
      <c r="T454" s="4" t="str">
        <f t="shared" si="29"/>
        <v/>
      </c>
      <c r="U454" s="4" t="str">
        <f t="shared" si="28"/>
        <v/>
      </c>
    </row>
    <row r="455" spans="1:21" x14ac:dyDescent="0.25">
      <c r="A455" s="50"/>
      <c r="B455" s="51"/>
      <c r="C455" s="2"/>
      <c r="D455" s="54"/>
      <c r="E455" s="51"/>
      <c r="F455" s="2"/>
      <c r="G455" s="54"/>
      <c r="H455" s="51"/>
      <c r="I455" s="2"/>
      <c r="J455" s="54"/>
      <c r="K455" s="52"/>
      <c r="L455" s="55"/>
      <c r="T455" s="4" t="str">
        <f t="shared" si="29"/>
        <v/>
      </c>
      <c r="U455" s="4" t="str">
        <f t="shared" si="28"/>
        <v/>
      </c>
    </row>
    <row r="456" spans="1:21" x14ac:dyDescent="0.25">
      <c r="A456" s="50"/>
      <c r="B456" s="51"/>
      <c r="C456" s="2"/>
      <c r="D456" s="54"/>
      <c r="E456" s="51"/>
      <c r="F456" s="2"/>
      <c r="G456" s="54"/>
      <c r="H456" s="51"/>
      <c r="I456" s="2"/>
      <c r="J456" s="54"/>
      <c r="K456" s="52"/>
      <c r="L456" s="55"/>
      <c r="T456" s="4" t="str">
        <f t="shared" si="29"/>
        <v/>
      </c>
      <c r="U456" s="4" t="str">
        <f t="shared" si="28"/>
        <v/>
      </c>
    </row>
    <row r="457" spans="1:21" x14ac:dyDescent="0.25">
      <c r="A457" s="50"/>
      <c r="B457" s="51"/>
      <c r="C457" s="2"/>
      <c r="D457" s="54"/>
      <c r="E457" s="51"/>
      <c r="F457" s="2"/>
      <c r="G457" s="54"/>
      <c r="H457" s="51"/>
      <c r="I457" s="2"/>
      <c r="J457" s="54"/>
      <c r="K457" s="52"/>
      <c r="L457" s="55"/>
      <c r="T457" s="4" t="str">
        <f t="shared" si="29"/>
        <v/>
      </c>
      <c r="U457" s="4" t="str">
        <f t="shared" si="28"/>
        <v/>
      </c>
    </row>
    <row r="458" spans="1:21" x14ac:dyDescent="0.25">
      <c r="A458" s="50"/>
      <c r="B458" s="51"/>
      <c r="C458" s="2"/>
      <c r="D458" s="54"/>
      <c r="E458" s="51"/>
      <c r="F458" s="2"/>
      <c r="G458" s="54"/>
      <c r="H458" s="51"/>
      <c r="I458" s="2"/>
      <c r="J458" s="54"/>
      <c r="K458" s="52"/>
      <c r="L458" s="55"/>
      <c r="T458" s="4" t="str">
        <f t="shared" si="29"/>
        <v/>
      </c>
      <c r="U458" s="4" t="str">
        <f t="shared" si="28"/>
        <v/>
      </c>
    </row>
    <row r="459" spans="1:21" x14ac:dyDescent="0.25">
      <c r="A459" s="50"/>
      <c r="B459" s="51"/>
      <c r="C459" s="2"/>
      <c r="D459" s="54"/>
      <c r="E459" s="51"/>
      <c r="F459" s="2"/>
      <c r="G459" s="54"/>
      <c r="H459" s="51"/>
      <c r="I459" s="2"/>
      <c r="J459" s="54"/>
      <c r="K459" s="52"/>
      <c r="L459" s="55"/>
      <c r="T459" s="4" t="str">
        <f t="shared" si="29"/>
        <v/>
      </c>
      <c r="U459" s="4" t="str">
        <f t="shared" si="28"/>
        <v/>
      </c>
    </row>
    <row r="460" spans="1:21" x14ac:dyDescent="0.25">
      <c r="A460" s="50"/>
      <c r="B460" s="51"/>
      <c r="C460" s="2"/>
      <c r="D460" s="54"/>
      <c r="E460" s="51"/>
      <c r="F460" s="2"/>
      <c r="G460" s="54"/>
      <c r="H460" s="51"/>
      <c r="I460" s="2"/>
      <c r="J460" s="54"/>
      <c r="K460" s="52"/>
      <c r="L460" s="55"/>
      <c r="T460" s="4" t="str">
        <f t="shared" si="29"/>
        <v/>
      </c>
      <c r="U460" s="4" t="str">
        <f t="shared" si="28"/>
        <v/>
      </c>
    </row>
    <row r="461" spans="1:21" x14ac:dyDescent="0.25">
      <c r="A461" s="50"/>
      <c r="B461" s="51"/>
      <c r="C461" s="2"/>
      <c r="D461" s="54"/>
      <c r="E461" s="51"/>
      <c r="F461" s="2"/>
      <c r="G461" s="54"/>
      <c r="H461" s="51"/>
      <c r="I461" s="2"/>
      <c r="J461" s="54"/>
      <c r="K461" s="52"/>
      <c r="L461" s="55"/>
      <c r="T461" s="4" t="str">
        <f t="shared" si="29"/>
        <v/>
      </c>
      <c r="U461" s="4" t="str">
        <f t="shared" si="28"/>
        <v/>
      </c>
    </row>
    <row r="462" spans="1:21" x14ac:dyDescent="0.25">
      <c r="A462" s="50"/>
      <c r="B462" s="51"/>
      <c r="C462" s="2"/>
      <c r="D462" s="54"/>
      <c r="E462" s="51"/>
      <c r="F462" s="2"/>
      <c r="G462" s="54"/>
      <c r="H462" s="51"/>
      <c r="I462" s="2"/>
      <c r="J462" s="54"/>
      <c r="K462" s="52"/>
      <c r="L462" s="55"/>
      <c r="T462" s="4" t="str">
        <f t="shared" si="29"/>
        <v/>
      </c>
      <c r="U462" s="4" t="str">
        <f t="shared" si="28"/>
        <v/>
      </c>
    </row>
    <row r="463" spans="1:21" x14ac:dyDescent="0.25">
      <c r="A463" s="50"/>
      <c r="B463" s="51"/>
      <c r="C463" s="2"/>
      <c r="D463" s="54"/>
      <c r="E463" s="51"/>
      <c r="F463" s="2"/>
      <c r="G463" s="54"/>
      <c r="H463" s="51"/>
      <c r="I463" s="2"/>
      <c r="J463" s="54"/>
      <c r="K463" s="52"/>
      <c r="L463" s="55"/>
      <c r="T463" s="4" t="str">
        <f t="shared" si="29"/>
        <v/>
      </c>
      <c r="U463" s="4" t="str">
        <f t="shared" si="28"/>
        <v/>
      </c>
    </row>
    <row r="464" spans="1:21" x14ac:dyDescent="0.25">
      <c r="A464" s="50"/>
      <c r="B464" s="51"/>
      <c r="C464" s="2"/>
      <c r="D464" s="54"/>
      <c r="E464" s="51"/>
      <c r="F464" s="2"/>
      <c r="G464" s="54"/>
      <c r="H464" s="51"/>
      <c r="I464" s="2"/>
      <c r="J464" s="54"/>
      <c r="K464" s="52"/>
      <c r="L464" s="55"/>
      <c r="T464" s="4" t="str">
        <f t="shared" si="29"/>
        <v/>
      </c>
      <c r="U464" s="4" t="str">
        <f t="shared" si="28"/>
        <v/>
      </c>
    </row>
    <row r="465" spans="1:21" x14ac:dyDescent="0.25">
      <c r="A465" s="50"/>
      <c r="B465" s="51"/>
      <c r="C465" s="2"/>
      <c r="D465" s="54"/>
      <c r="E465" s="51"/>
      <c r="F465" s="2"/>
      <c r="G465" s="54"/>
      <c r="H465" s="51"/>
      <c r="I465" s="2"/>
      <c r="J465" s="54"/>
      <c r="K465" s="52"/>
      <c r="L465" s="55"/>
      <c r="T465" s="4" t="str">
        <f t="shared" si="29"/>
        <v/>
      </c>
      <c r="U465" s="4" t="str">
        <f t="shared" si="28"/>
        <v/>
      </c>
    </row>
    <row r="466" spans="1:21" x14ac:dyDescent="0.25">
      <c r="A466" s="50"/>
      <c r="B466" s="51"/>
      <c r="C466" s="2"/>
      <c r="D466" s="54"/>
      <c r="E466" s="51"/>
      <c r="F466" s="2"/>
      <c r="G466" s="54"/>
      <c r="H466" s="51"/>
      <c r="I466" s="2"/>
      <c r="J466" s="54"/>
      <c r="K466" s="52"/>
      <c r="L466" s="55"/>
      <c r="T466" s="4" t="str">
        <f t="shared" si="29"/>
        <v/>
      </c>
      <c r="U466" s="4" t="str">
        <f t="shared" si="28"/>
        <v/>
      </c>
    </row>
    <row r="467" spans="1:21" x14ac:dyDescent="0.25">
      <c r="A467" s="50"/>
      <c r="B467" s="51"/>
      <c r="C467" s="2"/>
      <c r="D467" s="54"/>
      <c r="E467" s="51"/>
      <c r="F467" s="2"/>
      <c r="G467" s="54"/>
      <c r="H467" s="51"/>
      <c r="I467" s="2"/>
      <c r="J467" s="54"/>
      <c r="K467" s="52"/>
      <c r="L467" s="55"/>
      <c r="T467" s="4" t="str">
        <f t="shared" si="29"/>
        <v/>
      </c>
      <c r="U467" s="4" t="str">
        <f t="shared" si="28"/>
        <v/>
      </c>
    </row>
    <row r="468" spans="1:21" x14ac:dyDescent="0.25">
      <c r="A468" s="50"/>
      <c r="B468" s="51"/>
      <c r="C468" s="2"/>
      <c r="D468" s="54"/>
      <c r="E468" s="51"/>
      <c r="F468" s="2"/>
      <c r="G468" s="54"/>
      <c r="H468" s="51"/>
      <c r="I468" s="2"/>
      <c r="J468" s="54"/>
      <c r="K468" s="52"/>
      <c r="L468" s="55"/>
      <c r="T468" s="4" t="str">
        <f t="shared" si="29"/>
        <v/>
      </c>
      <c r="U468" s="4" t="str">
        <f t="shared" si="28"/>
        <v/>
      </c>
    </row>
    <row r="469" spans="1:21" x14ac:dyDescent="0.25">
      <c r="A469" s="50"/>
      <c r="B469" s="51"/>
      <c r="C469" s="2"/>
      <c r="D469" s="54"/>
      <c r="E469" s="51"/>
      <c r="F469" s="2"/>
      <c r="G469" s="54"/>
      <c r="H469" s="51"/>
      <c r="I469" s="2"/>
      <c r="J469" s="54"/>
      <c r="K469" s="52"/>
      <c r="L469" s="55"/>
      <c r="T469" s="4" t="str">
        <f t="shared" si="29"/>
        <v/>
      </c>
      <c r="U469" s="4" t="str">
        <f t="shared" si="28"/>
        <v/>
      </c>
    </row>
    <row r="470" spans="1:21" x14ac:dyDescent="0.25">
      <c r="A470" s="50"/>
      <c r="B470" s="51"/>
      <c r="C470" s="2"/>
      <c r="D470" s="54"/>
      <c r="E470" s="51"/>
      <c r="F470" s="2"/>
      <c r="G470" s="54"/>
      <c r="H470" s="51"/>
      <c r="I470" s="2"/>
      <c r="J470" s="54"/>
      <c r="K470" s="52"/>
      <c r="L470" s="55"/>
      <c r="T470" s="4" t="str">
        <f t="shared" si="29"/>
        <v/>
      </c>
      <c r="U470" s="4" t="str">
        <f t="shared" si="28"/>
        <v/>
      </c>
    </row>
    <row r="471" spans="1:21" x14ac:dyDescent="0.25">
      <c r="A471" s="50"/>
      <c r="B471" s="51"/>
      <c r="C471" s="2"/>
      <c r="D471" s="54"/>
      <c r="E471" s="51"/>
      <c r="F471" s="2"/>
      <c r="G471" s="54"/>
      <c r="H471" s="51"/>
      <c r="I471" s="2"/>
      <c r="J471" s="54"/>
      <c r="K471" s="52"/>
      <c r="L471" s="55"/>
      <c r="T471" s="4" t="str">
        <f t="shared" si="29"/>
        <v/>
      </c>
      <c r="U471" s="4" t="str">
        <f t="shared" si="28"/>
        <v/>
      </c>
    </row>
    <row r="472" spans="1:21" x14ac:dyDescent="0.25">
      <c r="A472" s="50"/>
      <c r="B472" s="51"/>
      <c r="C472" s="2"/>
      <c r="D472" s="54"/>
      <c r="E472" s="51"/>
      <c r="F472" s="2"/>
      <c r="G472" s="54"/>
      <c r="H472" s="51"/>
      <c r="I472" s="2"/>
      <c r="J472" s="54"/>
      <c r="K472" s="52"/>
      <c r="L472" s="55"/>
      <c r="T472" s="4" t="str">
        <f t="shared" si="29"/>
        <v/>
      </c>
      <c r="U472" s="4" t="str">
        <f t="shared" si="28"/>
        <v/>
      </c>
    </row>
    <row r="473" spans="1:21" x14ac:dyDescent="0.25">
      <c r="A473" s="50"/>
      <c r="B473" s="51"/>
      <c r="C473" s="2"/>
      <c r="D473" s="54"/>
      <c r="E473" s="51"/>
      <c r="F473" s="2"/>
      <c r="G473" s="54"/>
      <c r="H473" s="51"/>
      <c r="I473" s="2"/>
      <c r="J473" s="54"/>
      <c r="K473" s="52"/>
      <c r="L473" s="55"/>
      <c r="T473" s="4" t="str">
        <f t="shared" si="29"/>
        <v/>
      </c>
      <c r="U473" s="4" t="str">
        <f t="shared" si="28"/>
        <v/>
      </c>
    </row>
    <row r="474" spans="1:21" x14ac:dyDescent="0.25">
      <c r="A474" s="50"/>
      <c r="B474" s="51"/>
      <c r="C474" s="2"/>
      <c r="D474" s="54"/>
      <c r="E474" s="51"/>
      <c r="F474" s="2"/>
      <c r="G474" s="54"/>
      <c r="H474" s="51"/>
      <c r="I474" s="2"/>
      <c r="J474" s="54"/>
      <c r="K474" s="52"/>
      <c r="L474" s="55"/>
      <c r="T474" s="4" t="str">
        <f t="shared" si="29"/>
        <v/>
      </c>
      <c r="U474" s="4" t="str">
        <f t="shared" si="28"/>
        <v/>
      </c>
    </row>
    <row r="475" spans="1:21" x14ac:dyDescent="0.25">
      <c r="A475" s="50"/>
      <c r="B475" s="51"/>
      <c r="C475" s="2"/>
      <c r="D475" s="54"/>
      <c r="E475" s="51"/>
      <c r="F475" s="2"/>
      <c r="G475" s="54"/>
      <c r="H475" s="51"/>
      <c r="I475" s="2"/>
      <c r="J475" s="54"/>
      <c r="K475" s="52"/>
      <c r="L475" s="55"/>
      <c r="T475" s="4" t="str">
        <f t="shared" si="29"/>
        <v/>
      </c>
      <c r="U475" s="4" t="str">
        <f t="shared" si="28"/>
        <v/>
      </c>
    </row>
    <row r="476" spans="1:21" x14ac:dyDescent="0.25">
      <c r="A476" s="50"/>
      <c r="B476" s="51"/>
      <c r="C476" s="2"/>
      <c r="D476" s="54"/>
      <c r="E476" s="51"/>
      <c r="F476" s="2"/>
      <c r="G476" s="54"/>
      <c r="H476" s="51"/>
      <c r="I476" s="2"/>
      <c r="J476" s="54"/>
      <c r="K476" s="52"/>
      <c r="L476" s="55"/>
      <c r="T476" s="4" t="str">
        <f t="shared" si="29"/>
        <v/>
      </c>
      <c r="U476" s="4" t="str">
        <f t="shared" si="28"/>
        <v/>
      </c>
    </row>
    <row r="477" spans="1:21" x14ac:dyDescent="0.25">
      <c r="A477" s="50"/>
      <c r="B477" s="51"/>
      <c r="C477" s="2"/>
      <c r="D477" s="54"/>
      <c r="E477" s="51"/>
      <c r="F477" s="2"/>
      <c r="G477" s="54"/>
      <c r="H477" s="51"/>
      <c r="I477" s="2"/>
      <c r="J477" s="54"/>
      <c r="K477" s="52"/>
      <c r="L477" s="55"/>
      <c r="T477" s="4" t="str">
        <f t="shared" si="29"/>
        <v/>
      </c>
      <c r="U477" s="4" t="str">
        <f t="shared" si="28"/>
        <v/>
      </c>
    </row>
    <row r="478" spans="1:21" x14ac:dyDescent="0.25">
      <c r="A478" s="50"/>
      <c r="B478" s="51"/>
      <c r="C478" s="2"/>
      <c r="D478" s="54"/>
      <c r="E478" s="51"/>
      <c r="F478" s="2"/>
      <c r="G478" s="54"/>
      <c r="H478" s="51"/>
      <c r="I478" s="2"/>
      <c r="J478" s="54"/>
      <c r="K478" s="52"/>
      <c r="L478" s="55"/>
      <c r="T478" s="4" t="str">
        <f t="shared" si="29"/>
        <v/>
      </c>
      <c r="U478" s="4" t="str">
        <f t="shared" si="28"/>
        <v/>
      </c>
    </row>
    <row r="479" spans="1:21" x14ac:dyDescent="0.25">
      <c r="A479" s="50"/>
      <c r="B479" s="51"/>
      <c r="C479" s="2"/>
      <c r="D479" s="54"/>
      <c r="E479" s="51"/>
      <c r="F479" s="2"/>
      <c r="G479" s="54"/>
      <c r="H479" s="51"/>
      <c r="I479" s="2"/>
      <c r="J479" s="54"/>
      <c r="K479" s="52"/>
      <c r="L479" s="55"/>
      <c r="T479" s="4" t="str">
        <f t="shared" si="29"/>
        <v/>
      </c>
      <c r="U479" s="4" t="str">
        <f t="shared" si="28"/>
        <v/>
      </c>
    </row>
    <row r="480" spans="1:21" x14ac:dyDescent="0.25">
      <c r="A480" s="50"/>
      <c r="B480" s="51"/>
      <c r="C480" s="2"/>
      <c r="D480" s="54"/>
      <c r="E480" s="51"/>
      <c r="F480" s="2"/>
      <c r="G480" s="54"/>
      <c r="H480" s="51"/>
      <c r="I480" s="2"/>
      <c r="J480" s="54"/>
      <c r="K480" s="52"/>
      <c r="L480" s="55"/>
      <c r="T480" s="4" t="str">
        <f t="shared" si="29"/>
        <v/>
      </c>
      <c r="U480" s="4" t="str">
        <f t="shared" si="28"/>
        <v/>
      </c>
    </row>
    <row r="481" spans="1:21" x14ac:dyDescent="0.25">
      <c r="A481" s="50"/>
      <c r="B481" s="51"/>
      <c r="C481" s="2"/>
      <c r="D481" s="54"/>
      <c r="E481" s="51"/>
      <c r="F481" s="2"/>
      <c r="G481" s="54"/>
      <c r="H481" s="51"/>
      <c r="I481" s="2"/>
      <c r="J481" s="54"/>
      <c r="K481" s="52"/>
      <c r="L481" s="55"/>
      <c r="T481" s="4" t="str">
        <f t="shared" si="29"/>
        <v/>
      </c>
      <c r="U481" s="4" t="str">
        <f t="shared" si="28"/>
        <v/>
      </c>
    </row>
    <row r="482" spans="1:21" x14ac:dyDescent="0.25">
      <c r="A482" s="50"/>
      <c r="B482" s="51"/>
      <c r="C482" s="2"/>
      <c r="D482" s="54"/>
      <c r="E482" s="51"/>
      <c r="F482" s="2"/>
      <c r="G482" s="54"/>
      <c r="H482" s="51"/>
      <c r="I482" s="2"/>
      <c r="J482" s="54"/>
      <c r="K482" s="52"/>
      <c r="L482" s="55"/>
      <c r="T482" s="4" t="str">
        <f t="shared" si="29"/>
        <v/>
      </c>
      <c r="U482" s="4" t="str">
        <f t="shared" si="28"/>
        <v/>
      </c>
    </row>
    <row r="483" spans="1:21" x14ac:dyDescent="0.25">
      <c r="A483" s="50"/>
      <c r="B483" s="51"/>
      <c r="C483" s="2"/>
      <c r="D483" s="54"/>
      <c r="E483" s="51"/>
      <c r="F483" s="2"/>
      <c r="G483" s="54"/>
      <c r="H483" s="51"/>
      <c r="I483" s="2"/>
      <c r="J483" s="54"/>
      <c r="K483" s="52"/>
      <c r="L483" s="55"/>
      <c r="T483" s="4" t="str">
        <f t="shared" si="29"/>
        <v/>
      </c>
      <c r="U483" s="4" t="str">
        <f t="shared" si="28"/>
        <v/>
      </c>
    </row>
    <row r="484" spans="1:21" x14ac:dyDescent="0.25">
      <c r="A484" s="50"/>
      <c r="B484" s="51"/>
      <c r="C484" s="2"/>
      <c r="D484" s="54"/>
      <c r="E484" s="51"/>
      <c r="F484" s="2"/>
      <c r="G484" s="54"/>
      <c r="H484" s="51"/>
      <c r="I484" s="2"/>
      <c r="J484" s="54"/>
      <c r="K484" s="52"/>
      <c r="L484" s="55"/>
      <c r="T484" s="4" t="str">
        <f t="shared" si="29"/>
        <v/>
      </c>
      <c r="U484" s="4" t="str">
        <f t="shared" si="28"/>
        <v/>
      </c>
    </row>
    <row r="485" spans="1:21" x14ac:dyDescent="0.25">
      <c r="A485" s="50"/>
      <c r="B485" s="51"/>
      <c r="C485" s="2"/>
      <c r="D485" s="54"/>
      <c r="E485" s="51"/>
      <c r="F485" s="2"/>
      <c r="G485" s="54"/>
      <c r="H485" s="51"/>
      <c r="I485" s="2"/>
      <c r="J485" s="54"/>
      <c r="K485" s="52"/>
      <c r="L485" s="55"/>
      <c r="T485" s="4" t="str">
        <f t="shared" si="29"/>
        <v/>
      </c>
      <c r="U485" s="4" t="str">
        <f t="shared" si="28"/>
        <v/>
      </c>
    </row>
    <row r="486" spans="1:21" x14ac:dyDescent="0.25">
      <c r="A486" s="50"/>
      <c r="B486" s="51"/>
      <c r="C486" s="2"/>
      <c r="D486" s="54"/>
      <c r="E486" s="51"/>
      <c r="F486" s="2"/>
      <c r="G486" s="54"/>
      <c r="H486" s="51"/>
      <c r="I486" s="2"/>
      <c r="J486" s="54"/>
      <c r="K486" s="52"/>
      <c r="L486" s="55"/>
      <c r="T486" s="4" t="str">
        <f t="shared" si="29"/>
        <v/>
      </c>
      <c r="U486" s="4" t="str">
        <f t="shared" si="28"/>
        <v/>
      </c>
    </row>
    <row r="487" spans="1:21" x14ac:dyDescent="0.25">
      <c r="A487" s="50"/>
      <c r="B487" s="51"/>
      <c r="C487" s="2"/>
      <c r="D487" s="54"/>
      <c r="E487" s="51"/>
      <c r="F487" s="2"/>
      <c r="G487" s="54"/>
      <c r="H487" s="51"/>
      <c r="I487" s="2"/>
      <c r="J487" s="54"/>
      <c r="K487" s="52"/>
      <c r="L487" s="55"/>
      <c r="T487" s="4" t="str">
        <f t="shared" si="29"/>
        <v/>
      </c>
      <c r="U487" s="4" t="str">
        <f t="shared" si="28"/>
        <v/>
      </c>
    </row>
    <row r="488" spans="1:21" x14ac:dyDescent="0.25">
      <c r="A488" s="50"/>
      <c r="B488" s="51"/>
      <c r="C488" s="2"/>
      <c r="D488" s="54"/>
      <c r="E488" s="51"/>
      <c r="F488" s="2"/>
      <c r="G488" s="54"/>
      <c r="H488" s="51"/>
      <c r="I488" s="2"/>
      <c r="J488" s="54"/>
      <c r="K488" s="52"/>
      <c r="L488" s="55"/>
      <c r="T488" s="4" t="str">
        <f t="shared" si="29"/>
        <v/>
      </c>
      <c r="U488" s="4" t="str">
        <f t="shared" si="28"/>
        <v/>
      </c>
    </row>
    <row r="489" spans="1:21" x14ac:dyDescent="0.25">
      <c r="A489" s="50"/>
      <c r="B489" s="51"/>
      <c r="C489" s="2"/>
      <c r="D489" s="54"/>
      <c r="E489" s="51"/>
      <c r="F489" s="2"/>
      <c r="G489" s="54"/>
      <c r="H489" s="51"/>
      <c r="I489" s="2"/>
      <c r="J489" s="54"/>
      <c r="K489" s="52"/>
      <c r="L489" s="55"/>
      <c r="T489" s="4" t="str">
        <f t="shared" si="29"/>
        <v/>
      </c>
      <c r="U489" s="4" t="str">
        <f t="shared" si="28"/>
        <v/>
      </c>
    </row>
    <row r="490" spans="1:21" x14ac:dyDescent="0.25">
      <c r="A490" s="50"/>
      <c r="B490" s="51"/>
      <c r="C490" s="2"/>
      <c r="D490" s="54"/>
      <c r="E490" s="51"/>
      <c r="F490" s="2"/>
      <c r="G490" s="54"/>
      <c r="H490" s="51"/>
      <c r="I490" s="2"/>
      <c r="J490" s="54"/>
      <c r="K490" s="52"/>
      <c r="L490" s="55"/>
      <c r="T490" s="4" t="str">
        <f t="shared" si="29"/>
        <v/>
      </c>
      <c r="U490" s="4" t="str">
        <f t="shared" si="28"/>
        <v/>
      </c>
    </row>
    <row r="491" spans="1:21" x14ac:dyDescent="0.25">
      <c r="A491" s="50"/>
      <c r="B491" s="51"/>
      <c r="C491" s="2"/>
      <c r="D491" s="54"/>
      <c r="E491" s="51"/>
      <c r="F491" s="2"/>
      <c r="G491" s="54"/>
      <c r="H491" s="51"/>
      <c r="I491" s="2"/>
      <c r="J491" s="54"/>
      <c r="K491" s="52"/>
      <c r="L491" s="55"/>
      <c r="T491" s="4" t="str">
        <f t="shared" si="29"/>
        <v/>
      </c>
      <c r="U491" s="4" t="str">
        <f t="shared" si="28"/>
        <v/>
      </c>
    </row>
    <row r="492" spans="1:21" x14ac:dyDescent="0.25">
      <c r="A492" s="50"/>
      <c r="B492" s="51"/>
      <c r="C492" s="2"/>
      <c r="D492" s="54"/>
      <c r="E492" s="51"/>
      <c r="F492" s="2"/>
      <c r="G492" s="54"/>
      <c r="H492" s="51"/>
      <c r="I492" s="2"/>
      <c r="J492" s="54"/>
      <c r="K492" s="52"/>
      <c r="L492" s="55"/>
      <c r="T492" s="4" t="str">
        <f t="shared" si="29"/>
        <v/>
      </c>
      <c r="U492" s="4" t="str">
        <f t="shared" si="28"/>
        <v/>
      </c>
    </row>
    <row r="493" spans="1:21" x14ac:dyDescent="0.25">
      <c r="A493" s="50"/>
      <c r="B493" s="51"/>
      <c r="C493" s="2"/>
      <c r="D493" s="54"/>
      <c r="E493" s="51"/>
      <c r="F493" s="2"/>
      <c r="G493" s="54"/>
      <c r="H493" s="51"/>
      <c r="I493" s="2"/>
      <c r="J493" s="54"/>
      <c r="K493" s="52"/>
      <c r="L493" s="55"/>
      <c r="T493" s="4" t="str">
        <f t="shared" si="29"/>
        <v/>
      </c>
      <c r="U493" s="4" t="str">
        <f t="shared" si="28"/>
        <v/>
      </c>
    </row>
    <row r="494" spans="1:21" x14ac:dyDescent="0.25">
      <c r="A494" s="50"/>
      <c r="B494" s="51"/>
      <c r="C494" s="2"/>
      <c r="D494" s="54"/>
      <c r="E494" s="51"/>
      <c r="F494" s="2"/>
      <c r="G494" s="54"/>
      <c r="H494" s="51"/>
      <c r="I494" s="2"/>
      <c r="J494" s="54"/>
      <c r="K494" s="52"/>
      <c r="L494" s="55"/>
      <c r="T494" s="4" t="str">
        <f t="shared" si="29"/>
        <v/>
      </c>
      <c r="U494" s="4" t="str">
        <f t="shared" si="28"/>
        <v/>
      </c>
    </row>
    <row r="495" spans="1:21" x14ac:dyDescent="0.25">
      <c r="A495" s="50"/>
      <c r="B495" s="51"/>
      <c r="C495" s="2"/>
      <c r="D495" s="54"/>
      <c r="E495" s="51"/>
      <c r="F495" s="2"/>
      <c r="G495" s="54"/>
      <c r="H495" s="51"/>
      <c r="I495" s="2"/>
      <c r="J495" s="54"/>
      <c r="K495" s="52"/>
      <c r="L495" s="55"/>
      <c r="T495" s="4" t="str">
        <f t="shared" si="29"/>
        <v/>
      </c>
      <c r="U495" s="4" t="str">
        <f t="shared" si="28"/>
        <v/>
      </c>
    </row>
    <row r="496" spans="1:21" x14ac:dyDescent="0.25">
      <c r="A496" s="50"/>
      <c r="B496" s="51"/>
      <c r="C496" s="2"/>
      <c r="D496" s="54"/>
      <c r="E496" s="51"/>
      <c r="F496" s="2"/>
      <c r="G496" s="54"/>
      <c r="H496" s="51"/>
      <c r="I496" s="2"/>
      <c r="J496" s="54"/>
      <c r="K496" s="52"/>
      <c r="L496" s="55"/>
      <c r="T496" s="4" t="str">
        <f t="shared" si="29"/>
        <v/>
      </c>
      <c r="U496" s="4" t="str">
        <f t="shared" si="28"/>
        <v/>
      </c>
    </row>
    <row r="497" spans="1:21" x14ac:dyDescent="0.25">
      <c r="A497" s="50"/>
      <c r="B497" s="51"/>
      <c r="C497" s="2"/>
      <c r="D497" s="54"/>
      <c r="E497" s="51"/>
      <c r="F497" s="2"/>
      <c r="G497" s="54"/>
      <c r="H497" s="51"/>
      <c r="I497" s="2"/>
      <c r="J497" s="54"/>
      <c r="K497" s="52"/>
      <c r="L497" s="55"/>
      <c r="T497" s="4" t="str">
        <f t="shared" si="29"/>
        <v/>
      </c>
      <c r="U497" s="4" t="str">
        <f t="shared" si="28"/>
        <v/>
      </c>
    </row>
    <row r="498" spans="1:21" x14ac:dyDescent="0.25">
      <c r="A498" s="50"/>
      <c r="B498" s="51"/>
      <c r="C498" s="2"/>
      <c r="D498" s="54"/>
      <c r="E498" s="51"/>
      <c r="F498" s="2"/>
      <c r="G498" s="54"/>
      <c r="H498" s="51"/>
      <c r="I498" s="2"/>
      <c r="J498" s="54"/>
      <c r="K498" s="52"/>
      <c r="L498" s="55"/>
      <c r="T498" s="4" t="str">
        <f t="shared" si="29"/>
        <v/>
      </c>
      <c r="U498" s="4" t="str">
        <f t="shared" si="28"/>
        <v/>
      </c>
    </row>
    <row r="499" spans="1:21" x14ac:dyDescent="0.25">
      <c r="A499" s="50"/>
      <c r="B499" s="51"/>
      <c r="C499" s="2"/>
      <c r="D499" s="54"/>
      <c r="E499" s="51"/>
      <c r="F499" s="2"/>
      <c r="G499" s="54"/>
      <c r="H499" s="51"/>
      <c r="I499" s="2"/>
      <c r="J499" s="54"/>
      <c r="K499" s="52"/>
      <c r="L499" s="55"/>
      <c r="T499" s="4" t="str">
        <f t="shared" si="29"/>
        <v/>
      </c>
      <c r="U499" s="4" t="str">
        <f t="shared" si="28"/>
        <v/>
      </c>
    </row>
    <row r="500" spans="1:21" x14ac:dyDescent="0.25">
      <c r="A500" s="50"/>
      <c r="B500" s="51"/>
      <c r="C500" s="2"/>
      <c r="D500" s="54"/>
      <c r="E500" s="51"/>
      <c r="F500" s="2"/>
      <c r="G500" s="54"/>
      <c r="H500" s="51"/>
      <c r="I500" s="2"/>
      <c r="J500" s="54"/>
      <c r="K500" s="52"/>
      <c r="L500" s="55"/>
      <c r="T500" s="4" t="str">
        <f t="shared" si="29"/>
        <v/>
      </c>
      <c r="U500" s="4" t="str">
        <f t="shared" si="28"/>
        <v/>
      </c>
    </row>
    <row r="501" spans="1:21" x14ac:dyDescent="0.25">
      <c r="A501" s="50"/>
      <c r="B501" s="51"/>
      <c r="C501" s="2"/>
      <c r="D501" s="54"/>
      <c r="E501" s="51"/>
      <c r="F501" s="2"/>
      <c r="G501" s="54"/>
      <c r="H501" s="51"/>
      <c r="I501" s="2"/>
      <c r="J501" s="54"/>
      <c r="K501" s="52"/>
      <c r="L501" s="55"/>
      <c r="T501" s="4" t="str">
        <f t="shared" si="29"/>
        <v/>
      </c>
      <c r="U501" s="4" t="str">
        <f t="shared" si="28"/>
        <v/>
      </c>
    </row>
    <row r="502" spans="1:21" x14ac:dyDescent="0.25">
      <c r="A502" s="50"/>
      <c r="B502" s="51"/>
      <c r="C502" s="2"/>
      <c r="D502" s="54"/>
      <c r="E502" s="51"/>
      <c r="F502" s="2"/>
      <c r="G502" s="54"/>
      <c r="H502" s="51"/>
      <c r="I502" s="2"/>
      <c r="J502" s="54"/>
      <c r="K502" s="52"/>
      <c r="L502" s="55"/>
      <c r="T502" s="4" t="str">
        <f t="shared" si="29"/>
        <v/>
      </c>
      <c r="U502" s="4" t="str">
        <f t="shared" si="28"/>
        <v/>
      </c>
    </row>
    <row r="503" spans="1:21" x14ac:dyDescent="0.25">
      <c r="A503" s="50"/>
      <c r="B503" s="51"/>
      <c r="C503" s="2"/>
      <c r="D503" s="54"/>
      <c r="E503" s="51"/>
      <c r="F503" s="2"/>
      <c r="G503" s="54"/>
      <c r="H503" s="51"/>
      <c r="I503" s="2"/>
      <c r="J503" s="54"/>
      <c r="K503" s="52"/>
      <c r="L503" s="55"/>
      <c r="T503" s="4" t="str">
        <f t="shared" si="29"/>
        <v/>
      </c>
      <c r="U503" s="4" t="str">
        <f t="shared" si="28"/>
        <v/>
      </c>
    </row>
    <row r="504" spans="1:21" x14ac:dyDescent="0.25">
      <c r="A504" s="50"/>
      <c r="B504" s="51"/>
      <c r="C504" s="2"/>
      <c r="D504" s="54"/>
      <c r="E504" s="51"/>
      <c r="F504" s="2"/>
      <c r="G504" s="54"/>
      <c r="H504" s="51"/>
      <c r="I504" s="2"/>
      <c r="J504" s="54"/>
      <c r="K504" s="52"/>
      <c r="L504" s="55"/>
      <c r="T504" s="4" t="str">
        <f t="shared" si="29"/>
        <v/>
      </c>
      <c r="U504" s="4" t="str">
        <f t="shared" si="28"/>
        <v/>
      </c>
    </row>
    <row r="505" spans="1:21" x14ac:dyDescent="0.25">
      <c r="A505" s="50"/>
      <c r="B505" s="51"/>
      <c r="C505" s="2"/>
      <c r="D505" s="54"/>
      <c r="E505" s="51"/>
      <c r="F505" s="2"/>
      <c r="G505" s="54"/>
      <c r="H505" s="51"/>
      <c r="I505" s="2"/>
      <c r="J505" s="54"/>
      <c r="K505" s="52"/>
      <c r="L505" s="55"/>
      <c r="T505" s="4" t="str">
        <f t="shared" si="29"/>
        <v/>
      </c>
      <c r="U505" s="4" t="str">
        <f t="shared" si="28"/>
        <v/>
      </c>
    </row>
    <row r="506" spans="1:21" x14ac:dyDescent="0.25">
      <c r="A506" s="50"/>
      <c r="B506" s="51"/>
      <c r="C506" s="2"/>
      <c r="D506" s="54"/>
      <c r="E506" s="51"/>
      <c r="F506" s="2"/>
      <c r="G506" s="54"/>
      <c r="H506" s="51"/>
      <c r="I506" s="2"/>
      <c r="J506" s="54"/>
      <c r="K506" s="52"/>
      <c r="L506" s="55"/>
      <c r="T506" s="4" t="str">
        <f t="shared" si="29"/>
        <v/>
      </c>
      <c r="U506" s="4" t="str">
        <f t="shared" si="28"/>
        <v/>
      </c>
    </row>
    <row r="507" spans="1:21" x14ac:dyDescent="0.25">
      <c r="A507" s="50"/>
      <c r="B507" s="51"/>
      <c r="C507" s="2"/>
      <c r="D507" s="54"/>
      <c r="E507" s="51"/>
      <c r="F507" s="2"/>
      <c r="G507" s="54"/>
      <c r="H507" s="51"/>
      <c r="I507" s="2"/>
      <c r="J507" s="54"/>
      <c r="K507" s="52"/>
      <c r="L507" s="55"/>
      <c r="T507" s="4" t="str">
        <f t="shared" si="29"/>
        <v/>
      </c>
      <c r="U507" s="4" t="str">
        <f t="shared" si="28"/>
        <v/>
      </c>
    </row>
    <row r="508" spans="1:21" x14ac:dyDescent="0.25">
      <c r="A508" s="50"/>
      <c r="B508" s="51"/>
      <c r="C508" s="2"/>
      <c r="D508" s="54"/>
      <c r="E508" s="51"/>
      <c r="F508" s="2"/>
      <c r="G508" s="54"/>
      <c r="H508" s="51"/>
      <c r="I508" s="2"/>
      <c r="J508" s="54"/>
      <c r="K508" s="52"/>
      <c r="L508" s="55"/>
      <c r="T508" s="4" t="str">
        <f t="shared" si="29"/>
        <v/>
      </c>
      <c r="U508" s="4" t="str">
        <f t="shared" si="28"/>
        <v/>
      </c>
    </row>
    <row r="509" spans="1:21" x14ac:dyDescent="0.25">
      <c r="A509" s="50"/>
      <c r="B509" s="51"/>
      <c r="C509" s="2"/>
      <c r="D509" s="54"/>
      <c r="E509" s="51"/>
      <c r="F509" s="2"/>
      <c r="G509" s="54"/>
      <c r="H509" s="51"/>
      <c r="I509" s="2"/>
      <c r="J509" s="54"/>
      <c r="K509" s="52"/>
      <c r="L509" s="55"/>
      <c r="T509" s="4" t="str">
        <f t="shared" si="29"/>
        <v/>
      </c>
      <c r="U509" s="4" t="str">
        <f t="shared" si="28"/>
        <v/>
      </c>
    </row>
    <row r="510" spans="1:21" x14ac:dyDescent="0.25">
      <c r="A510" s="50"/>
      <c r="B510" s="51"/>
      <c r="C510" s="2"/>
      <c r="D510" s="54"/>
      <c r="E510" s="51"/>
      <c r="F510" s="2"/>
      <c r="G510" s="54"/>
      <c r="H510" s="51"/>
      <c r="I510" s="2"/>
      <c r="J510" s="54"/>
      <c r="K510" s="52"/>
      <c r="L510" s="55"/>
      <c r="T510" s="4" t="str">
        <f t="shared" si="29"/>
        <v/>
      </c>
      <c r="U510" s="4" t="str">
        <f t="shared" si="28"/>
        <v/>
      </c>
    </row>
    <row r="511" spans="1:21" x14ac:dyDescent="0.25">
      <c r="A511" s="50"/>
      <c r="B511" s="51"/>
      <c r="C511" s="2"/>
      <c r="D511" s="54"/>
      <c r="E511" s="51"/>
      <c r="F511" s="2"/>
      <c r="G511" s="54"/>
      <c r="H511" s="51"/>
      <c r="I511" s="2"/>
      <c r="J511" s="54"/>
      <c r="K511" s="52"/>
      <c r="L511" s="55"/>
      <c r="T511" s="4" t="str">
        <f t="shared" si="29"/>
        <v/>
      </c>
      <c r="U511" s="4" t="str">
        <f t="shared" si="28"/>
        <v/>
      </c>
    </row>
    <row r="512" spans="1:21" x14ac:dyDescent="0.25">
      <c r="A512" s="50"/>
      <c r="B512" s="51"/>
      <c r="C512" s="2"/>
      <c r="D512" s="54"/>
      <c r="E512" s="51"/>
      <c r="F512" s="2"/>
      <c r="G512" s="54"/>
      <c r="H512" s="51"/>
      <c r="I512" s="2"/>
      <c r="J512" s="54"/>
      <c r="K512" s="52"/>
      <c r="L512" s="55"/>
      <c r="T512" s="4" t="str">
        <f t="shared" si="29"/>
        <v/>
      </c>
      <c r="U512" s="4" t="str">
        <f t="shared" si="28"/>
        <v/>
      </c>
    </row>
    <row r="513" spans="1:21" x14ac:dyDescent="0.25">
      <c r="A513" s="50"/>
      <c r="B513" s="51"/>
      <c r="C513" s="2"/>
      <c r="D513" s="54"/>
      <c r="E513" s="51"/>
      <c r="F513" s="2"/>
      <c r="G513" s="54"/>
      <c r="H513" s="51"/>
      <c r="I513" s="2"/>
      <c r="J513" s="54"/>
      <c r="K513" s="52"/>
      <c r="L513" s="55"/>
      <c r="T513" s="4" t="str">
        <f t="shared" si="29"/>
        <v/>
      </c>
      <c r="U513" s="4" t="str">
        <f t="shared" si="28"/>
        <v/>
      </c>
    </row>
    <row r="514" spans="1:21" x14ac:dyDescent="0.25">
      <c r="A514" s="50"/>
      <c r="B514" s="51"/>
      <c r="C514" s="2"/>
      <c r="D514" s="54"/>
      <c r="E514" s="51"/>
      <c r="F514" s="2"/>
      <c r="G514" s="54"/>
      <c r="H514" s="51"/>
      <c r="I514" s="2"/>
      <c r="J514" s="54"/>
      <c r="K514" s="52"/>
      <c r="L514" s="55"/>
      <c r="T514" s="4" t="str">
        <f t="shared" si="29"/>
        <v/>
      </c>
      <c r="U514" s="4" t="str">
        <f t="shared" si="28"/>
        <v/>
      </c>
    </row>
    <row r="515" spans="1:21" x14ac:dyDescent="0.25">
      <c r="A515" s="50"/>
      <c r="B515" s="51"/>
      <c r="C515" s="2"/>
      <c r="D515" s="54"/>
      <c r="E515" s="51"/>
      <c r="F515" s="2"/>
      <c r="G515" s="54"/>
      <c r="H515" s="51"/>
      <c r="I515" s="2"/>
      <c r="J515" s="54"/>
      <c r="K515" s="52"/>
      <c r="L515" s="55"/>
      <c r="T515" s="4" t="str">
        <f t="shared" si="29"/>
        <v/>
      </c>
      <c r="U515" s="4" t="str">
        <f t="shared" ref="U515:U569" si="30">IF(T515&gt;$A$14,T515,"")</f>
        <v/>
      </c>
    </row>
    <row r="516" spans="1:21" x14ac:dyDescent="0.25">
      <c r="A516" s="50"/>
      <c r="B516" s="51"/>
      <c r="C516" s="2"/>
      <c r="D516" s="54"/>
      <c r="E516" s="51"/>
      <c r="F516" s="2"/>
      <c r="G516" s="54"/>
      <c r="H516" s="51"/>
      <c r="I516" s="2"/>
      <c r="J516" s="54"/>
      <c r="K516" s="52"/>
      <c r="L516" s="55"/>
      <c r="T516" s="4" t="str">
        <f t="shared" ref="T516:T567" si="31">IF(COUNTIF(P:P,N516)*COUNTIF(R:R,N516),N516,"")</f>
        <v/>
      </c>
      <c r="U516" s="4" t="str">
        <f t="shared" si="30"/>
        <v/>
      </c>
    </row>
    <row r="517" spans="1:21" x14ac:dyDescent="0.25">
      <c r="A517" s="50"/>
      <c r="B517" s="51"/>
      <c r="C517" s="2"/>
      <c r="D517" s="54"/>
      <c r="E517" s="51"/>
      <c r="F517" s="2"/>
      <c r="G517" s="54"/>
      <c r="H517" s="51"/>
      <c r="I517" s="2"/>
      <c r="J517" s="54"/>
      <c r="K517" s="52"/>
      <c r="L517" s="55"/>
      <c r="T517" s="4" t="str">
        <f t="shared" si="31"/>
        <v/>
      </c>
      <c r="U517" s="4" t="str">
        <f t="shared" si="30"/>
        <v/>
      </c>
    </row>
    <row r="518" spans="1:21" x14ac:dyDescent="0.25">
      <c r="A518" s="50"/>
      <c r="B518" s="51"/>
      <c r="C518" s="2"/>
      <c r="D518" s="54"/>
      <c r="E518" s="51"/>
      <c r="F518" s="2"/>
      <c r="G518" s="54"/>
      <c r="H518" s="51"/>
      <c r="I518" s="2"/>
      <c r="J518" s="54"/>
      <c r="K518" s="52"/>
      <c r="L518" s="55"/>
      <c r="T518" s="4" t="str">
        <f t="shared" si="31"/>
        <v/>
      </c>
      <c r="U518" s="4" t="str">
        <f t="shared" si="30"/>
        <v/>
      </c>
    </row>
    <row r="519" spans="1:21" x14ac:dyDescent="0.25">
      <c r="A519" s="50"/>
      <c r="B519" s="51"/>
      <c r="C519" s="2"/>
      <c r="D519" s="54"/>
      <c r="E519" s="51"/>
      <c r="F519" s="2"/>
      <c r="G519" s="54"/>
      <c r="H519" s="51"/>
      <c r="I519" s="2"/>
      <c r="J519" s="54"/>
      <c r="K519" s="52"/>
      <c r="L519" s="55"/>
      <c r="T519" s="4" t="str">
        <f t="shared" si="31"/>
        <v/>
      </c>
      <c r="U519" s="4" t="str">
        <f t="shared" si="30"/>
        <v/>
      </c>
    </row>
    <row r="520" spans="1:21" x14ac:dyDescent="0.25">
      <c r="A520" s="50"/>
      <c r="B520" s="51"/>
      <c r="C520" s="2"/>
      <c r="D520" s="54"/>
      <c r="E520" s="51"/>
      <c r="F520" s="2"/>
      <c r="G520" s="54"/>
      <c r="H520" s="51"/>
      <c r="I520" s="2"/>
      <c r="J520" s="54"/>
      <c r="K520" s="52"/>
      <c r="L520" s="55"/>
      <c r="T520" s="4" t="str">
        <f t="shared" si="31"/>
        <v/>
      </c>
      <c r="U520" s="4" t="str">
        <f t="shared" si="30"/>
        <v/>
      </c>
    </row>
    <row r="521" spans="1:21" x14ac:dyDescent="0.25">
      <c r="A521" s="50"/>
      <c r="B521" s="51"/>
      <c r="C521" s="2"/>
      <c r="D521" s="54"/>
      <c r="E521" s="51"/>
      <c r="F521" s="2"/>
      <c r="G521" s="54"/>
      <c r="H521" s="51"/>
      <c r="I521" s="2"/>
      <c r="J521" s="54"/>
      <c r="K521" s="52"/>
      <c r="L521" s="55"/>
      <c r="T521" s="4" t="str">
        <f t="shared" si="31"/>
        <v/>
      </c>
      <c r="U521" s="4" t="str">
        <f t="shared" si="30"/>
        <v/>
      </c>
    </row>
    <row r="522" spans="1:21" x14ac:dyDescent="0.25">
      <c r="A522" s="50"/>
      <c r="B522" s="51"/>
      <c r="C522" s="2"/>
      <c r="D522" s="54"/>
      <c r="E522" s="51"/>
      <c r="F522" s="2"/>
      <c r="G522" s="54"/>
      <c r="H522" s="51"/>
      <c r="I522" s="2"/>
      <c r="J522" s="54"/>
      <c r="K522" s="52"/>
      <c r="L522" s="55"/>
      <c r="T522" s="4" t="str">
        <f t="shared" si="31"/>
        <v/>
      </c>
      <c r="U522" s="4" t="str">
        <f t="shared" si="30"/>
        <v/>
      </c>
    </row>
    <row r="523" spans="1:21" x14ac:dyDescent="0.25">
      <c r="A523" s="50"/>
      <c r="B523" s="51"/>
      <c r="C523" s="2"/>
      <c r="D523" s="54"/>
      <c r="E523" s="51"/>
      <c r="F523" s="2"/>
      <c r="G523" s="54"/>
      <c r="H523" s="51"/>
      <c r="I523" s="2"/>
      <c r="J523" s="54"/>
      <c r="K523" s="52"/>
      <c r="L523" s="55"/>
      <c r="T523" s="4" t="str">
        <f t="shared" si="31"/>
        <v/>
      </c>
      <c r="U523" s="4" t="str">
        <f t="shared" si="30"/>
        <v/>
      </c>
    </row>
    <row r="524" spans="1:21" x14ac:dyDescent="0.25">
      <c r="A524" s="50"/>
      <c r="B524" s="51"/>
      <c r="C524" s="2"/>
      <c r="D524" s="54"/>
      <c r="E524" s="51"/>
      <c r="F524" s="2"/>
      <c r="G524" s="54"/>
      <c r="H524" s="51"/>
      <c r="I524" s="2"/>
      <c r="J524" s="54"/>
      <c r="K524" s="52"/>
      <c r="L524" s="55"/>
      <c r="T524" s="4" t="str">
        <f t="shared" si="31"/>
        <v/>
      </c>
      <c r="U524" s="4" t="str">
        <f t="shared" si="30"/>
        <v/>
      </c>
    </row>
    <row r="525" spans="1:21" x14ac:dyDescent="0.25">
      <c r="A525" s="50"/>
      <c r="B525" s="51"/>
      <c r="C525" s="2"/>
      <c r="D525" s="54"/>
      <c r="E525" s="51"/>
      <c r="F525" s="2"/>
      <c r="G525" s="54"/>
      <c r="H525" s="51"/>
      <c r="I525" s="2"/>
      <c r="J525" s="54"/>
      <c r="K525" s="52"/>
      <c r="L525" s="55"/>
      <c r="T525" s="4" t="str">
        <f t="shared" si="31"/>
        <v/>
      </c>
      <c r="U525" s="4" t="str">
        <f t="shared" si="30"/>
        <v/>
      </c>
    </row>
    <row r="526" spans="1:21" x14ac:dyDescent="0.25">
      <c r="A526" s="50"/>
      <c r="B526" s="51"/>
      <c r="C526" s="2"/>
      <c r="D526" s="54"/>
      <c r="E526" s="51"/>
      <c r="F526" s="2"/>
      <c r="G526" s="54"/>
      <c r="H526" s="51"/>
      <c r="I526" s="2"/>
      <c r="J526" s="54"/>
      <c r="K526" s="52"/>
      <c r="L526" s="55"/>
      <c r="T526" s="4" t="str">
        <f t="shared" si="31"/>
        <v/>
      </c>
      <c r="U526" s="4" t="str">
        <f t="shared" si="30"/>
        <v/>
      </c>
    </row>
    <row r="527" spans="1:21" x14ac:dyDescent="0.25">
      <c r="A527" s="50"/>
      <c r="B527" s="51"/>
      <c r="C527" s="2"/>
      <c r="D527" s="54"/>
      <c r="E527" s="51"/>
      <c r="F527" s="2"/>
      <c r="G527" s="54"/>
      <c r="H527" s="51"/>
      <c r="I527" s="2"/>
      <c r="J527" s="54"/>
      <c r="K527" s="52"/>
      <c r="L527" s="55"/>
      <c r="T527" s="4" t="str">
        <f t="shared" si="31"/>
        <v/>
      </c>
      <c r="U527" s="4" t="str">
        <f t="shared" si="30"/>
        <v/>
      </c>
    </row>
    <row r="528" spans="1:21" x14ac:dyDescent="0.25">
      <c r="A528" s="50"/>
      <c r="B528" s="51"/>
      <c r="C528" s="2"/>
      <c r="D528" s="54"/>
      <c r="E528" s="51"/>
      <c r="F528" s="2"/>
      <c r="G528" s="54"/>
      <c r="H528" s="51"/>
      <c r="I528" s="2"/>
      <c r="J528" s="54"/>
      <c r="K528" s="52"/>
      <c r="L528" s="55"/>
      <c r="T528" s="4" t="str">
        <f t="shared" si="31"/>
        <v/>
      </c>
      <c r="U528" s="4" t="str">
        <f t="shared" si="30"/>
        <v/>
      </c>
    </row>
    <row r="529" spans="1:21" x14ac:dyDescent="0.25">
      <c r="A529" s="50"/>
      <c r="B529" s="51"/>
      <c r="C529" s="2"/>
      <c r="D529" s="54"/>
      <c r="E529" s="51"/>
      <c r="F529" s="2"/>
      <c r="G529" s="54"/>
      <c r="H529" s="51"/>
      <c r="I529" s="2"/>
      <c r="J529" s="54"/>
      <c r="K529" s="52"/>
      <c r="L529" s="55"/>
      <c r="T529" s="4" t="str">
        <f t="shared" si="31"/>
        <v/>
      </c>
      <c r="U529" s="4" t="str">
        <f t="shared" si="30"/>
        <v/>
      </c>
    </row>
    <row r="530" spans="1:21" x14ac:dyDescent="0.25">
      <c r="A530" s="50"/>
      <c r="B530" s="51"/>
      <c r="C530" s="2"/>
      <c r="D530" s="54"/>
      <c r="E530" s="51"/>
      <c r="F530" s="2"/>
      <c r="G530" s="54"/>
      <c r="H530" s="51"/>
      <c r="I530" s="2"/>
      <c r="J530" s="54"/>
      <c r="K530" s="52"/>
      <c r="L530" s="55"/>
      <c r="T530" s="4" t="str">
        <f t="shared" si="31"/>
        <v/>
      </c>
      <c r="U530" s="4" t="str">
        <f t="shared" si="30"/>
        <v/>
      </c>
    </row>
    <row r="531" spans="1:21" x14ac:dyDescent="0.25">
      <c r="A531" s="50"/>
      <c r="B531" s="51"/>
      <c r="C531" s="2"/>
      <c r="D531" s="54"/>
      <c r="E531" s="51"/>
      <c r="F531" s="2"/>
      <c r="G531" s="54"/>
      <c r="H531" s="51"/>
      <c r="I531" s="2"/>
      <c r="J531" s="54"/>
      <c r="K531" s="52"/>
      <c r="L531" s="55"/>
      <c r="T531" s="4" t="str">
        <f t="shared" si="31"/>
        <v/>
      </c>
      <c r="U531" s="4" t="str">
        <f t="shared" si="30"/>
        <v/>
      </c>
    </row>
    <row r="532" spans="1:21" x14ac:dyDescent="0.25">
      <c r="A532" s="50"/>
      <c r="B532" s="51"/>
      <c r="C532" s="2"/>
      <c r="D532" s="54"/>
      <c r="E532" s="51"/>
      <c r="F532" s="2"/>
      <c r="G532" s="54"/>
      <c r="H532" s="51"/>
      <c r="I532" s="2"/>
      <c r="J532" s="54"/>
      <c r="K532" s="52"/>
      <c r="L532" s="55"/>
      <c r="T532" s="4" t="str">
        <f t="shared" si="31"/>
        <v/>
      </c>
      <c r="U532" s="4" t="str">
        <f t="shared" si="30"/>
        <v/>
      </c>
    </row>
    <row r="533" spans="1:21" x14ac:dyDescent="0.25">
      <c r="A533" s="50"/>
      <c r="B533" s="51"/>
      <c r="C533" s="2"/>
      <c r="D533" s="54"/>
      <c r="E533" s="51"/>
      <c r="F533" s="2"/>
      <c r="G533" s="54"/>
      <c r="H533" s="51"/>
      <c r="I533" s="2"/>
      <c r="J533" s="54"/>
      <c r="K533" s="52"/>
      <c r="L533" s="55"/>
      <c r="T533" s="4" t="str">
        <f t="shared" si="31"/>
        <v/>
      </c>
      <c r="U533" s="4" t="str">
        <f t="shared" si="30"/>
        <v/>
      </c>
    </row>
    <row r="534" spans="1:21" x14ac:dyDescent="0.25">
      <c r="A534" s="50"/>
      <c r="B534" s="51"/>
      <c r="C534" s="2"/>
      <c r="D534" s="54"/>
      <c r="E534" s="51"/>
      <c r="F534" s="2"/>
      <c r="G534" s="54"/>
      <c r="H534" s="51"/>
      <c r="I534" s="2"/>
      <c r="J534" s="54"/>
      <c r="K534" s="52"/>
      <c r="L534" s="55"/>
      <c r="T534" s="4" t="str">
        <f t="shared" si="31"/>
        <v/>
      </c>
      <c r="U534" s="4" t="str">
        <f t="shared" si="30"/>
        <v/>
      </c>
    </row>
    <row r="535" spans="1:21" x14ac:dyDescent="0.25">
      <c r="A535" s="50"/>
      <c r="B535" s="51"/>
      <c r="C535" s="2"/>
      <c r="D535" s="54"/>
      <c r="E535" s="51"/>
      <c r="F535" s="2"/>
      <c r="G535" s="54"/>
      <c r="H535" s="51"/>
      <c r="I535" s="2"/>
      <c r="J535" s="54"/>
      <c r="K535" s="52"/>
      <c r="L535" s="55"/>
      <c r="T535" s="4" t="str">
        <f t="shared" si="31"/>
        <v/>
      </c>
      <c r="U535" s="4" t="str">
        <f t="shared" si="30"/>
        <v/>
      </c>
    </row>
    <row r="536" spans="1:21" x14ac:dyDescent="0.25">
      <c r="A536" s="50"/>
      <c r="B536" s="51"/>
      <c r="C536" s="2"/>
      <c r="D536" s="54"/>
      <c r="E536" s="51"/>
      <c r="F536" s="2"/>
      <c r="G536" s="54"/>
      <c r="H536" s="51"/>
      <c r="I536" s="2"/>
      <c r="J536" s="54"/>
      <c r="K536" s="52"/>
      <c r="L536" s="55"/>
      <c r="T536" s="4" t="str">
        <f t="shared" si="31"/>
        <v/>
      </c>
      <c r="U536" s="4" t="str">
        <f t="shared" si="30"/>
        <v/>
      </c>
    </row>
    <row r="537" spans="1:21" x14ac:dyDescent="0.25">
      <c r="A537" s="50"/>
      <c r="B537" s="51"/>
      <c r="C537" s="2"/>
      <c r="D537" s="54"/>
      <c r="E537" s="51"/>
      <c r="F537" s="2"/>
      <c r="G537" s="54"/>
      <c r="H537" s="51"/>
      <c r="I537" s="2"/>
      <c r="J537" s="54"/>
      <c r="K537" s="52"/>
      <c r="L537" s="55"/>
      <c r="T537" s="4" t="str">
        <f t="shared" si="31"/>
        <v/>
      </c>
      <c r="U537" s="4" t="str">
        <f t="shared" si="30"/>
        <v/>
      </c>
    </row>
    <row r="538" spans="1:21" x14ac:dyDescent="0.25">
      <c r="A538" s="50"/>
      <c r="B538" s="51"/>
      <c r="C538" s="2"/>
      <c r="D538" s="54"/>
      <c r="E538" s="51"/>
      <c r="F538" s="2"/>
      <c r="G538" s="54"/>
      <c r="H538" s="51"/>
      <c r="I538" s="2"/>
      <c r="J538" s="54"/>
      <c r="K538" s="52"/>
      <c r="L538" s="55"/>
      <c r="T538" s="4" t="str">
        <f t="shared" si="31"/>
        <v/>
      </c>
      <c r="U538" s="4" t="str">
        <f t="shared" si="30"/>
        <v/>
      </c>
    </row>
    <row r="539" spans="1:21" x14ac:dyDescent="0.25">
      <c r="A539" s="50"/>
      <c r="B539" s="51"/>
      <c r="C539" s="2"/>
      <c r="D539" s="54"/>
      <c r="E539" s="51"/>
      <c r="F539" s="2"/>
      <c r="G539" s="54"/>
      <c r="H539" s="51"/>
      <c r="I539" s="2"/>
      <c r="J539" s="54"/>
      <c r="K539" s="52"/>
      <c r="L539" s="55"/>
      <c r="T539" s="4" t="str">
        <f t="shared" si="31"/>
        <v/>
      </c>
      <c r="U539" s="4" t="str">
        <f t="shared" si="30"/>
        <v/>
      </c>
    </row>
    <row r="540" spans="1:21" x14ac:dyDescent="0.25">
      <c r="A540" s="50"/>
      <c r="B540" s="51"/>
      <c r="C540" s="2"/>
      <c r="D540" s="54"/>
      <c r="E540" s="51"/>
      <c r="F540" s="2"/>
      <c r="G540" s="54"/>
      <c r="H540" s="51"/>
      <c r="I540" s="2"/>
      <c r="J540" s="54"/>
      <c r="K540" s="52"/>
      <c r="L540" s="55"/>
      <c r="T540" s="4" t="str">
        <f t="shared" si="31"/>
        <v/>
      </c>
      <c r="U540" s="4" t="str">
        <f t="shared" si="30"/>
        <v/>
      </c>
    </row>
    <row r="541" spans="1:21" x14ac:dyDescent="0.25">
      <c r="A541" s="50"/>
      <c r="B541" s="51"/>
      <c r="C541" s="2"/>
      <c r="D541" s="54"/>
      <c r="E541" s="51"/>
      <c r="F541" s="2"/>
      <c r="G541" s="54"/>
      <c r="H541" s="51"/>
      <c r="I541" s="2"/>
      <c r="J541" s="54"/>
      <c r="K541" s="52"/>
      <c r="L541" s="55"/>
      <c r="T541" s="4" t="str">
        <f t="shared" si="31"/>
        <v/>
      </c>
      <c r="U541" s="4" t="str">
        <f t="shared" si="30"/>
        <v/>
      </c>
    </row>
    <row r="542" spans="1:21" x14ac:dyDescent="0.25">
      <c r="A542" s="50"/>
      <c r="B542" s="51"/>
      <c r="C542" s="2"/>
      <c r="D542" s="54"/>
      <c r="E542" s="51"/>
      <c r="F542" s="2"/>
      <c r="G542" s="54"/>
      <c r="H542" s="51"/>
      <c r="I542" s="2"/>
      <c r="J542" s="54"/>
      <c r="K542" s="52"/>
      <c r="L542" s="55"/>
      <c r="T542" s="4" t="str">
        <f t="shared" si="31"/>
        <v/>
      </c>
      <c r="U542" s="4" t="str">
        <f t="shared" si="30"/>
        <v/>
      </c>
    </row>
    <row r="543" spans="1:21" x14ac:dyDescent="0.25">
      <c r="A543" s="50"/>
      <c r="B543" s="51"/>
      <c r="C543" s="2"/>
      <c r="D543" s="54"/>
      <c r="E543" s="51"/>
      <c r="F543" s="2"/>
      <c r="G543" s="54"/>
      <c r="H543" s="51"/>
      <c r="I543" s="2"/>
      <c r="J543" s="54"/>
      <c r="K543" s="52"/>
      <c r="L543" s="55"/>
      <c r="T543" s="4" t="str">
        <f t="shared" si="31"/>
        <v/>
      </c>
      <c r="U543" s="4" t="str">
        <f t="shared" si="30"/>
        <v/>
      </c>
    </row>
    <row r="544" spans="1:21" x14ac:dyDescent="0.25">
      <c r="A544" s="50"/>
      <c r="B544" s="51"/>
      <c r="C544" s="2"/>
      <c r="D544" s="54"/>
      <c r="E544" s="51"/>
      <c r="F544" s="2"/>
      <c r="G544" s="54"/>
      <c r="H544" s="51"/>
      <c r="I544" s="2"/>
      <c r="J544" s="54"/>
      <c r="K544" s="52"/>
      <c r="L544" s="55"/>
      <c r="T544" s="4" t="str">
        <f t="shared" si="31"/>
        <v/>
      </c>
      <c r="U544" s="4" t="str">
        <f t="shared" si="30"/>
        <v/>
      </c>
    </row>
    <row r="545" spans="1:21" x14ac:dyDescent="0.25">
      <c r="A545" s="50"/>
      <c r="B545" s="51"/>
      <c r="C545" s="2"/>
      <c r="D545" s="54"/>
      <c r="E545" s="51"/>
      <c r="F545" s="2"/>
      <c r="G545" s="54"/>
      <c r="H545" s="51"/>
      <c r="I545" s="2"/>
      <c r="J545" s="54"/>
      <c r="K545" s="52"/>
      <c r="L545" s="55"/>
      <c r="T545" s="4" t="str">
        <f t="shared" si="31"/>
        <v/>
      </c>
      <c r="U545" s="4" t="str">
        <f t="shared" si="30"/>
        <v/>
      </c>
    </row>
    <row r="546" spans="1:21" x14ac:dyDescent="0.25">
      <c r="A546" s="50"/>
      <c r="B546" s="51"/>
      <c r="C546" s="2"/>
      <c r="D546" s="54"/>
      <c r="E546" s="51"/>
      <c r="F546" s="2"/>
      <c r="G546" s="54"/>
      <c r="H546" s="51"/>
      <c r="I546" s="2"/>
      <c r="J546" s="54"/>
      <c r="K546" s="52"/>
      <c r="L546" s="55"/>
      <c r="T546" s="4" t="str">
        <f t="shared" si="31"/>
        <v/>
      </c>
      <c r="U546" s="4" t="str">
        <f t="shared" si="30"/>
        <v/>
      </c>
    </row>
    <row r="547" spans="1:21" x14ac:dyDescent="0.25">
      <c r="A547" s="50"/>
      <c r="B547" s="51"/>
      <c r="C547" s="2"/>
      <c r="D547" s="54"/>
      <c r="E547" s="51"/>
      <c r="F547" s="2"/>
      <c r="G547" s="54"/>
      <c r="H547" s="51"/>
      <c r="I547" s="2"/>
      <c r="J547" s="54"/>
      <c r="K547" s="52"/>
      <c r="L547" s="55"/>
      <c r="T547" s="4" t="str">
        <f t="shared" si="31"/>
        <v/>
      </c>
      <c r="U547" s="4" t="str">
        <f t="shared" si="30"/>
        <v/>
      </c>
    </row>
    <row r="548" spans="1:21" x14ac:dyDescent="0.25">
      <c r="A548" s="50"/>
      <c r="B548" s="51"/>
      <c r="C548" s="2"/>
      <c r="D548" s="54"/>
      <c r="E548" s="51"/>
      <c r="F548" s="2"/>
      <c r="G548" s="54"/>
      <c r="H548" s="51"/>
      <c r="I548" s="2"/>
      <c r="J548" s="54"/>
      <c r="K548" s="52"/>
      <c r="L548" s="55"/>
      <c r="T548" s="4" t="str">
        <f t="shared" si="31"/>
        <v/>
      </c>
      <c r="U548" s="4" t="str">
        <f t="shared" si="30"/>
        <v/>
      </c>
    </row>
    <row r="549" spans="1:21" x14ac:dyDescent="0.25">
      <c r="A549" s="50"/>
      <c r="B549" s="51"/>
      <c r="C549" s="2"/>
      <c r="D549" s="54"/>
      <c r="E549" s="51"/>
      <c r="F549" s="2"/>
      <c r="G549" s="54"/>
      <c r="H549" s="51"/>
      <c r="I549" s="2"/>
      <c r="J549" s="54"/>
      <c r="K549" s="52"/>
      <c r="L549" s="55"/>
      <c r="T549" s="4" t="str">
        <f t="shared" si="31"/>
        <v/>
      </c>
      <c r="U549" s="4" t="str">
        <f t="shared" si="30"/>
        <v/>
      </c>
    </row>
    <row r="550" spans="1:21" x14ac:dyDescent="0.25">
      <c r="A550" s="50"/>
      <c r="B550" s="51"/>
      <c r="C550" s="2"/>
      <c r="D550" s="54"/>
      <c r="E550" s="51"/>
      <c r="F550" s="2"/>
      <c r="G550" s="54"/>
      <c r="H550" s="51"/>
      <c r="I550" s="2"/>
      <c r="J550" s="54"/>
      <c r="K550" s="52"/>
      <c r="L550" s="55"/>
      <c r="T550" s="4" t="str">
        <f t="shared" si="31"/>
        <v/>
      </c>
      <c r="U550" s="4" t="str">
        <f t="shared" si="30"/>
        <v/>
      </c>
    </row>
    <row r="551" spans="1:21" x14ac:dyDescent="0.25">
      <c r="A551" s="50"/>
      <c r="B551" s="51"/>
      <c r="C551" s="2"/>
      <c r="D551" s="54"/>
      <c r="E551" s="51"/>
      <c r="F551" s="2"/>
      <c r="G551" s="54"/>
      <c r="H551" s="51"/>
      <c r="I551" s="2"/>
      <c r="J551" s="54"/>
      <c r="K551" s="52"/>
      <c r="L551" s="55"/>
      <c r="T551" s="4" t="str">
        <f t="shared" si="31"/>
        <v/>
      </c>
      <c r="U551" s="4" t="str">
        <f t="shared" si="30"/>
        <v/>
      </c>
    </row>
    <row r="552" spans="1:21" x14ac:dyDescent="0.25">
      <c r="A552" s="50"/>
      <c r="B552" s="51"/>
      <c r="C552" s="2"/>
      <c r="D552" s="54"/>
      <c r="E552" s="51"/>
      <c r="F552" s="2"/>
      <c r="G552" s="54"/>
      <c r="H552" s="51"/>
      <c r="I552" s="2"/>
      <c r="J552" s="54"/>
      <c r="K552" s="52"/>
      <c r="L552" s="55"/>
      <c r="T552" s="4" t="str">
        <f t="shared" si="31"/>
        <v/>
      </c>
      <c r="U552" s="4" t="str">
        <f t="shared" si="30"/>
        <v/>
      </c>
    </row>
    <row r="553" spans="1:21" x14ac:dyDescent="0.25">
      <c r="A553" s="50"/>
      <c r="B553" s="51"/>
      <c r="C553" s="2"/>
      <c r="D553" s="54"/>
      <c r="E553" s="51"/>
      <c r="F553" s="2"/>
      <c r="G553" s="54"/>
      <c r="H553" s="51"/>
      <c r="I553" s="2"/>
      <c r="J553" s="54"/>
      <c r="K553" s="52"/>
      <c r="L553" s="55"/>
      <c r="T553" s="4" t="str">
        <f t="shared" si="31"/>
        <v/>
      </c>
      <c r="U553" s="4" t="str">
        <f t="shared" si="30"/>
        <v/>
      </c>
    </row>
    <row r="554" spans="1:21" x14ac:dyDescent="0.25">
      <c r="A554" s="50"/>
      <c r="B554" s="51"/>
      <c r="C554" s="2"/>
      <c r="D554" s="54"/>
      <c r="E554" s="51"/>
      <c r="F554" s="2"/>
      <c r="G554" s="54"/>
      <c r="H554" s="51"/>
      <c r="I554" s="2"/>
      <c r="J554" s="54"/>
      <c r="K554" s="52"/>
      <c r="L554" s="55"/>
      <c r="T554" s="4" t="str">
        <f t="shared" si="31"/>
        <v/>
      </c>
      <c r="U554" s="4" t="str">
        <f t="shared" si="30"/>
        <v/>
      </c>
    </row>
    <row r="555" spans="1:21" x14ac:dyDescent="0.25">
      <c r="T555" s="4" t="str">
        <f t="shared" si="31"/>
        <v/>
      </c>
      <c r="U555" s="4" t="str">
        <f t="shared" si="30"/>
        <v/>
      </c>
    </row>
    <row r="556" spans="1:21" x14ac:dyDescent="0.25">
      <c r="T556" s="4" t="str">
        <f t="shared" si="31"/>
        <v/>
      </c>
      <c r="U556" s="4" t="str">
        <f t="shared" si="30"/>
        <v/>
      </c>
    </row>
    <row r="557" spans="1:21" x14ac:dyDescent="0.25">
      <c r="T557" s="4" t="str">
        <f t="shared" si="31"/>
        <v/>
      </c>
      <c r="U557" s="4" t="str">
        <f t="shared" si="30"/>
        <v/>
      </c>
    </row>
    <row r="558" spans="1:21" x14ac:dyDescent="0.25">
      <c r="T558" s="4" t="str">
        <f t="shared" si="31"/>
        <v/>
      </c>
      <c r="U558" s="4" t="str">
        <f t="shared" si="30"/>
        <v/>
      </c>
    </row>
    <row r="559" spans="1:21" x14ac:dyDescent="0.25">
      <c r="T559" s="4" t="str">
        <f t="shared" si="31"/>
        <v/>
      </c>
      <c r="U559" s="4" t="str">
        <f t="shared" si="30"/>
        <v/>
      </c>
    </row>
    <row r="560" spans="1:21" x14ac:dyDescent="0.25">
      <c r="T560" s="4" t="str">
        <f t="shared" si="31"/>
        <v/>
      </c>
      <c r="U560" s="4" t="str">
        <f t="shared" si="30"/>
        <v/>
      </c>
    </row>
    <row r="561" spans="20:21" x14ac:dyDescent="0.25">
      <c r="T561" s="4" t="str">
        <f t="shared" si="31"/>
        <v/>
      </c>
      <c r="U561" s="4" t="str">
        <f t="shared" si="30"/>
        <v/>
      </c>
    </row>
    <row r="562" spans="20:21" x14ac:dyDescent="0.25">
      <c r="T562" s="4" t="str">
        <f t="shared" si="31"/>
        <v/>
      </c>
      <c r="U562" s="4" t="str">
        <f t="shared" si="30"/>
        <v/>
      </c>
    </row>
    <row r="563" spans="20:21" x14ac:dyDescent="0.25">
      <c r="T563" s="4" t="str">
        <f t="shared" si="31"/>
        <v/>
      </c>
      <c r="U563" s="4" t="str">
        <f t="shared" si="30"/>
        <v/>
      </c>
    </row>
    <row r="564" spans="20:21" x14ac:dyDescent="0.25">
      <c r="T564" s="4" t="str">
        <f t="shared" si="31"/>
        <v/>
      </c>
      <c r="U564" s="4" t="str">
        <f t="shared" si="30"/>
        <v/>
      </c>
    </row>
    <row r="565" spans="20:21" x14ac:dyDescent="0.25">
      <c r="T565" s="4" t="str">
        <f t="shared" si="31"/>
        <v/>
      </c>
      <c r="U565" s="4" t="str">
        <f t="shared" si="30"/>
        <v/>
      </c>
    </row>
    <row r="566" spans="20:21" x14ac:dyDescent="0.25">
      <c r="T566" s="4" t="str">
        <f t="shared" si="31"/>
        <v/>
      </c>
      <c r="U566" s="4" t="str">
        <f t="shared" si="30"/>
        <v/>
      </c>
    </row>
    <row r="567" spans="20:21" x14ac:dyDescent="0.25">
      <c r="T567" s="4" t="str">
        <f t="shared" si="31"/>
        <v/>
      </c>
      <c r="U567" s="4" t="str">
        <f t="shared" si="30"/>
        <v/>
      </c>
    </row>
    <row r="568" spans="20:21" x14ac:dyDescent="0.25">
      <c r="T568" s="4" t="str">
        <f>IF(COUNTIF(P:P,N568)*COUNTIF(R:R,N568),N568,"")</f>
        <v/>
      </c>
      <c r="U568" s="4" t="str">
        <f t="shared" si="30"/>
        <v/>
      </c>
    </row>
    <row r="569" spans="20:21" x14ac:dyDescent="0.25">
      <c r="T569" s="4" t="str">
        <f>IF(COUNTIF(P:P,N569)*COUNTIF(R:R,N569),N569,"")</f>
        <v/>
      </c>
      <c r="U569" s="4" t="str">
        <f t="shared" si="30"/>
        <v/>
      </c>
    </row>
  </sheetData>
  <mergeCells count="3">
    <mergeCell ref="B12:D12"/>
    <mergeCell ref="E12:G12"/>
    <mergeCell ref="H12:J12"/>
  </mergeCells>
  <conditionalFormatting sqref="M1 M7:M11 L12:L554 M54:M100 AE63:AE77 M116:M1048576">
    <cfRule type="cellIs" dxfId="0" priority="1" operator="lessThan">
      <formula>0</formula>
    </cfRule>
  </conditionalFormatting>
  <hyperlinks>
    <hyperlink ref="D4" r:id="rId1" xr:uid="{7B721AE8-4ADE-4DF5-9674-608C61272088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VCIT Basis</vt:lpstr>
      <vt:lpstr>VCIT Basis (2)</vt:lpstr>
      <vt:lpstr>Sheet4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2026-02-28T00:53:14Z</dcterms:modified>
</cp:coreProperties>
</file>